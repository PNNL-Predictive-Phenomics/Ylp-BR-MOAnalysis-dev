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hreeYeast/2024_PPI_threeYeast/Experiments/Biostat2L/Biostat2L_22/"/>
    </mc:Choice>
  </mc:AlternateContent>
  <xr:revisionPtr revIDLastSave="0" documentId="13_ncr:1_{70BAA990-21CB-2E4C-9811-229986CD09CB}" xr6:coauthVersionLast="47" xr6:coauthVersionMax="47" xr10:uidLastSave="{00000000-0000-0000-0000-000000000000}"/>
  <bookViews>
    <workbookView xWindow="0" yWindow="740" windowWidth="30240" windowHeight="18900" activeTab="5" xr2:uid="{467FAEBE-09CE-C84B-9320-9BCFBE0ACA4E}"/>
  </bookViews>
  <sheets>
    <sheet name="info" sheetId="1" r:id="rId1"/>
    <sheet name="medium" sheetId="2" r:id="rId2"/>
    <sheet name="vessel setup" sheetId="3" r:id="rId3"/>
    <sheet name="history_" sheetId="4" r:id="rId4"/>
    <sheet name="metadata" sheetId="5" r:id="rId5"/>
    <sheet name="data" sheetId="6" r:id="rId6"/>
    <sheet name="FAMES" sheetId="9" r:id="rId7"/>
    <sheet name="questions" sheetId="7" r:id="rId8"/>
    <sheet name="seedCultureNotes" sheetId="8" r:id="rId9"/>
  </sheets>
  <definedNames>
    <definedName name="_xlnm._FilterDatabase" localSheetId="5" hidden="1">data!$A$13:$CL$67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7" i="6" l="1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16" i="6"/>
  <c r="AR16" i="6"/>
  <c r="AQ16" i="6"/>
  <c r="AP16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M14" i="6"/>
  <c r="AO14" i="6"/>
  <c r="AF15" i="6"/>
  <c r="AG15" i="6" s="1"/>
  <c r="AF16" i="6"/>
  <c r="AG16" i="6"/>
  <c r="AF17" i="6"/>
  <c r="AG17" i="6"/>
  <c r="AF18" i="6"/>
  <c r="AG18" i="6"/>
  <c r="AF19" i="6"/>
  <c r="AG19" i="6"/>
  <c r="AF20" i="6"/>
  <c r="AG20" i="6" s="1"/>
  <c r="AF21" i="6"/>
  <c r="AG21" i="6"/>
  <c r="AF22" i="6"/>
  <c r="AG22" i="6"/>
  <c r="AF23" i="6"/>
  <c r="AG23" i="6"/>
  <c r="AF24" i="6"/>
  <c r="AG24" i="6"/>
  <c r="AF25" i="6"/>
  <c r="AG25" i="6" s="1"/>
  <c r="AF26" i="6"/>
  <c r="AG26" i="6"/>
  <c r="AF27" i="6"/>
  <c r="AG27" i="6"/>
  <c r="AF28" i="6"/>
  <c r="AG28" i="6"/>
  <c r="AF29" i="6"/>
  <c r="AG29" i="6"/>
  <c r="AF30" i="6"/>
  <c r="AG30" i="6" s="1"/>
  <c r="AF31" i="6"/>
  <c r="AG31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15" i="9"/>
  <c r="AW31" i="6" l="1"/>
  <c r="AW30" i="6"/>
  <c r="AW29" i="6"/>
  <c r="AW28" i="6"/>
  <c r="AW27" i="6"/>
  <c r="AW26" i="6"/>
  <c r="AW25" i="6"/>
  <c r="AW24" i="6"/>
  <c r="AW23" i="6"/>
  <c r="AW22" i="6"/>
  <c r="AW21" i="6"/>
  <c r="AW20" i="6"/>
  <c r="AW19" i="6"/>
  <c r="AW18" i="6"/>
  <c r="AW17" i="6"/>
  <c r="AW16" i="6"/>
  <c r="AS21" i="6"/>
  <c r="AF14" i="6"/>
  <c r="AG14" i="6"/>
  <c r="AL15" i="6"/>
  <c r="AL14" i="6"/>
  <c r="BE19" i="6" l="1"/>
  <c r="BE15" i="6"/>
  <c r="BE16" i="6"/>
  <c r="BE17" i="6"/>
  <c r="BE18" i="6"/>
  <c r="BE20" i="6"/>
  <c r="BE21" i="6"/>
  <c r="BE22" i="6"/>
  <c r="BE23" i="6"/>
  <c r="BE24" i="6"/>
  <c r="BE25" i="6"/>
  <c r="BE26" i="6"/>
  <c r="BE27" i="6"/>
  <c r="BE28" i="6"/>
  <c r="BE29" i="6"/>
  <c r="BE30" i="6"/>
  <c r="BE31" i="6"/>
  <c r="BE14" i="6"/>
  <c r="AB27" i="6"/>
  <c r="AC27" i="6" s="1"/>
  <c r="AB28" i="6"/>
  <c r="AC28" i="6" s="1"/>
  <c r="AB29" i="6"/>
  <c r="AC29" i="6" s="1"/>
  <c r="AB30" i="6"/>
  <c r="AC30" i="6" s="1"/>
  <c r="AB31" i="6"/>
  <c r="AC31" i="6" s="1"/>
  <c r="AB26" i="6"/>
  <c r="AC26" i="6" s="1"/>
  <c r="AJ17" i="6" l="1"/>
  <c r="AJ14" i="6"/>
  <c r="AJ15" i="6"/>
  <c r="BD15" i="6"/>
  <c r="BF15" i="6"/>
  <c r="BG15" i="6"/>
  <c r="BH15" i="6"/>
  <c r="BI15" i="6"/>
  <c r="BJ15" i="6"/>
  <c r="BK15" i="6"/>
  <c r="BL15" i="6"/>
  <c r="BD16" i="6"/>
  <c r="BF16" i="6"/>
  <c r="BG16" i="6"/>
  <c r="BH16" i="6"/>
  <c r="BI16" i="6"/>
  <c r="BJ16" i="6"/>
  <c r="BK16" i="6"/>
  <c r="BL16" i="6"/>
  <c r="BD17" i="6"/>
  <c r="BF17" i="6"/>
  <c r="AP19" i="6" s="1"/>
  <c r="BG17" i="6"/>
  <c r="BH17" i="6"/>
  <c r="BI17" i="6"/>
  <c r="BJ17" i="6"/>
  <c r="BK17" i="6"/>
  <c r="BL17" i="6"/>
  <c r="BD18" i="6"/>
  <c r="BF18" i="6"/>
  <c r="AP20" i="6" s="1"/>
  <c r="BG18" i="6"/>
  <c r="BH18" i="6"/>
  <c r="BI18" i="6"/>
  <c r="BJ18" i="6"/>
  <c r="BK18" i="6"/>
  <c r="BL18" i="6"/>
  <c r="BD19" i="6"/>
  <c r="BF19" i="6"/>
  <c r="BG19" i="6"/>
  <c r="BH19" i="6"/>
  <c r="BI19" i="6"/>
  <c r="BJ19" i="6"/>
  <c r="BK19" i="6"/>
  <c r="BL19" i="6"/>
  <c r="BD20" i="6"/>
  <c r="BF20" i="6"/>
  <c r="BG20" i="6"/>
  <c r="BH20" i="6"/>
  <c r="BI20" i="6"/>
  <c r="BJ20" i="6"/>
  <c r="BK20" i="6"/>
  <c r="BL20" i="6"/>
  <c r="BD21" i="6"/>
  <c r="BF21" i="6"/>
  <c r="BG21" i="6"/>
  <c r="BH21" i="6"/>
  <c r="BI21" i="6"/>
  <c r="BJ21" i="6"/>
  <c r="BK21" i="6"/>
  <c r="BL21" i="6"/>
  <c r="BD22" i="6"/>
  <c r="BF22" i="6"/>
  <c r="AP24" i="6" s="1"/>
  <c r="BG22" i="6"/>
  <c r="BH22" i="6"/>
  <c r="BI22" i="6"/>
  <c r="BJ22" i="6"/>
  <c r="BK22" i="6"/>
  <c r="BL22" i="6"/>
  <c r="BD23" i="6"/>
  <c r="BF23" i="6"/>
  <c r="AP25" i="6" s="1"/>
  <c r="BG23" i="6"/>
  <c r="BH23" i="6"/>
  <c r="BI23" i="6"/>
  <c r="BJ23" i="6"/>
  <c r="BK23" i="6"/>
  <c r="BL23" i="6"/>
  <c r="BD24" i="6"/>
  <c r="BF24" i="6"/>
  <c r="BG24" i="6"/>
  <c r="BH24" i="6"/>
  <c r="BI24" i="6"/>
  <c r="BJ24" i="6"/>
  <c r="BK24" i="6"/>
  <c r="BL24" i="6"/>
  <c r="BD25" i="6"/>
  <c r="BF25" i="6"/>
  <c r="BG25" i="6"/>
  <c r="BH25" i="6"/>
  <c r="BI25" i="6"/>
  <c r="BJ25" i="6"/>
  <c r="BK25" i="6"/>
  <c r="BL25" i="6"/>
  <c r="BD26" i="6"/>
  <c r="BF26" i="6"/>
  <c r="BG26" i="6"/>
  <c r="BH26" i="6"/>
  <c r="BI26" i="6"/>
  <c r="BJ26" i="6"/>
  <c r="BK26" i="6"/>
  <c r="BL26" i="6"/>
  <c r="BD27" i="6"/>
  <c r="BF27" i="6"/>
  <c r="AP29" i="6" s="1"/>
  <c r="BG27" i="6"/>
  <c r="BH27" i="6"/>
  <c r="BI27" i="6"/>
  <c r="BJ27" i="6"/>
  <c r="BK27" i="6"/>
  <c r="BL27" i="6"/>
  <c r="BD28" i="6"/>
  <c r="BF28" i="6"/>
  <c r="AP30" i="6" s="1"/>
  <c r="BG28" i="6"/>
  <c r="BH28" i="6"/>
  <c r="BI28" i="6"/>
  <c r="BJ28" i="6"/>
  <c r="BK28" i="6"/>
  <c r="BL28" i="6"/>
  <c r="BD29" i="6"/>
  <c r="BF29" i="6"/>
  <c r="BG29" i="6"/>
  <c r="BH29" i="6"/>
  <c r="BI29" i="6"/>
  <c r="BJ29" i="6"/>
  <c r="BK29" i="6"/>
  <c r="BL29" i="6"/>
  <c r="BD30" i="6"/>
  <c r="BF30" i="6"/>
  <c r="BG30" i="6"/>
  <c r="BH30" i="6"/>
  <c r="BI30" i="6"/>
  <c r="BJ30" i="6"/>
  <c r="BK30" i="6"/>
  <c r="BL30" i="6"/>
  <c r="BD31" i="6"/>
  <c r="BF31" i="6"/>
  <c r="BG31" i="6"/>
  <c r="BH31" i="6"/>
  <c r="BI31" i="6"/>
  <c r="BJ31" i="6"/>
  <c r="BK31" i="6"/>
  <c r="BL31" i="6"/>
  <c r="BL14" i="6"/>
  <c r="BK14" i="6"/>
  <c r="BJ14" i="6"/>
  <c r="BI14" i="6"/>
  <c r="BH14" i="6"/>
  <c r="BG14" i="6"/>
  <c r="BF14" i="6"/>
  <c r="BM30" i="6"/>
  <c r="BN30" i="6"/>
  <c r="BO30" i="6"/>
  <c r="BM31" i="6"/>
  <c r="BN31" i="6"/>
  <c r="BO31" i="6"/>
  <c r="BM15" i="6"/>
  <c r="BN15" i="6"/>
  <c r="BO15" i="6"/>
  <c r="BM16" i="6"/>
  <c r="BN16" i="6"/>
  <c r="BO16" i="6"/>
  <c r="BM17" i="6"/>
  <c r="BN17" i="6"/>
  <c r="BO17" i="6"/>
  <c r="BM18" i="6"/>
  <c r="BN18" i="6"/>
  <c r="BO18" i="6"/>
  <c r="BM19" i="6"/>
  <c r="BN19" i="6"/>
  <c r="BO19" i="6"/>
  <c r="BM20" i="6"/>
  <c r="BN20" i="6"/>
  <c r="BO20" i="6"/>
  <c r="BM21" i="6"/>
  <c r="BN21" i="6"/>
  <c r="BO21" i="6"/>
  <c r="BM22" i="6"/>
  <c r="BN22" i="6"/>
  <c r="BO22" i="6"/>
  <c r="BM23" i="6"/>
  <c r="BN23" i="6"/>
  <c r="BO23" i="6"/>
  <c r="BM24" i="6"/>
  <c r="BN24" i="6"/>
  <c r="BO24" i="6"/>
  <c r="BM25" i="6"/>
  <c r="BN25" i="6"/>
  <c r="BO25" i="6"/>
  <c r="BM26" i="6"/>
  <c r="BN26" i="6"/>
  <c r="BO26" i="6"/>
  <c r="BM27" i="6"/>
  <c r="BN27" i="6"/>
  <c r="BO27" i="6"/>
  <c r="BM28" i="6"/>
  <c r="BN28" i="6"/>
  <c r="BO28" i="6"/>
  <c r="BM29" i="6"/>
  <c r="BN29" i="6"/>
  <c r="BO29" i="6"/>
  <c r="R17" i="6"/>
  <c r="AL17" i="6" s="1"/>
  <c r="R16" i="6"/>
  <c r="AL16" i="6" s="1"/>
  <c r="F24" i="1"/>
  <c r="F23" i="1"/>
  <c r="F15" i="1"/>
  <c r="F14" i="1"/>
  <c r="C10" i="2"/>
  <c r="C9" i="2"/>
  <c r="C8" i="2"/>
  <c r="C7" i="2"/>
  <c r="AI20" i="6" l="1"/>
  <c r="AI18" i="6"/>
  <c r="AI22" i="6"/>
  <c r="AI16" i="6"/>
  <c r="AI28" i="6"/>
  <c r="AI14" i="6"/>
  <c r="AI26" i="6"/>
  <c r="AI24" i="6"/>
  <c r="AI30" i="6"/>
  <c r="AI23" i="6"/>
  <c r="AI31" i="6"/>
  <c r="AI21" i="6"/>
  <c r="AI27" i="6"/>
  <c r="AI17" i="6"/>
  <c r="AI15" i="6"/>
  <c r="AI29" i="6"/>
  <c r="AI19" i="6"/>
  <c r="AI25" i="6"/>
  <c r="AJ16" i="6"/>
  <c r="AP28" i="6"/>
  <c r="AP18" i="6"/>
  <c r="AP31" i="6"/>
  <c r="AP26" i="6"/>
  <c r="AP21" i="6"/>
  <c r="AP27" i="6"/>
  <c r="AP17" i="6"/>
  <c r="AQ17" i="6" s="1"/>
  <c r="R18" i="6"/>
  <c r="AP22" i="6"/>
  <c r="AP23" i="6"/>
  <c r="BU32" i="6"/>
  <c r="BU33" i="6"/>
  <c r="BU34" i="6"/>
  <c r="BU35" i="6"/>
  <c r="BU37" i="6"/>
  <c r="BU36" i="6"/>
  <c r="BU31" i="6"/>
  <c r="BS31" i="6"/>
  <c r="BS30" i="6"/>
  <c r="P52" i="2"/>
  <c r="P51" i="2"/>
  <c r="P50" i="2"/>
  <c r="P49" i="2"/>
  <c r="L7" i="2"/>
  <c r="G7" i="2" s="1"/>
  <c r="K7" i="2"/>
  <c r="L55" i="2"/>
  <c r="J61" i="2"/>
  <c r="M7" i="2"/>
  <c r="L61" i="2"/>
  <c r="J7" i="2"/>
  <c r="K55" i="2"/>
  <c r="J55" i="2"/>
  <c r="K61" i="2"/>
  <c r="AT30" i="6" l="1"/>
  <c r="AU30" i="6" s="1"/>
  <c r="AM30" i="6"/>
  <c r="AR30" i="6"/>
  <c r="AK30" i="6"/>
  <c r="AL18" i="6"/>
  <c r="AJ18" i="6"/>
  <c r="AM24" i="6"/>
  <c r="AR24" i="6"/>
  <c r="AK24" i="6"/>
  <c r="AT24" i="6"/>
  <c r="AU24" i="6" s="1"/>
  <c r="AK26" i="6"/>
  <c r="AT26" i="6"/>
  <c r="AU26" i="6" s="1"/>
  <c r="AR26" i="6"/>
  <c r="AM26" i="6"/>
  <c r="AR25" i="6"/>
  <c r="AM25" i="6"/>
  <c r="AK25" i="6"/>
  <c r="AT25" i="6"/>
  <c r="AU25" i="6" s="1"/>
  <c r="AM19" i="6"/>
  <c r="AR19" i="6"/>
  <c r="AK19" i="6"/>
  <c r="AT19" i="6"/>
  <c r="AU19" i="6" s="1"/>
  <c r="AK29" i="6"/>
  <c r="AR29" i="6"/>
  <c r="AT29" i="6"/>
  <c r="AU29" i="6" s="1"/>
  <c r="AM29" i="6"/>
  <c r="AM15" i="6"/>
  <c r="AK15" i="6"/>
  <c r="AK14" i="6"/>
  <c r="AR17" i="6"/>
  <c r="AS17" i="6" s="1"/>
  <c r="AM17" i="6"/>
  <c r="AT17" i="6"/>
  <c r="AU17" i="6" s="1"/>
  <c r="AK17" i="6"/>
  <c r="AM28" i="6"/>
  <c r="AK28" i="6"/>
  <c r="AR28" i="6"/>
  <c r="AT28" i="6"/>
  <c r="AU28" i="6" s="1"/>
  <c r="AK27" i="6"/>
  <c r="AT27" i="6"/>
  <c r="AU27" i="6" s="1"/>
  <c r="AR27" i="6"/>
  <c r="AM27" i="6"/>
  <c r="AS16" i="6"/>
  <c r="AM16" i="6"/>
  <c r="AT16" i="6"/>
  <c r="AU16" i="6" s="1"/>
  <c r="AK16" i="6"/>
  <c r="AR21" i="6"/>
  <c r="AM21" i="6"/>
  <c r="AK21" i="6"/>
  <c r="AT21" i="6"/>
  <c r="AU21" i="6" s="1"/>
  <c r="AR22" i="6"/>
  <c r="AM22" i="6"/>
  <c r="AK22" i="6"/>
  <c r="AT22" i="6"/>
  <c r="AU22" i="6" s="1"/>
  <c r="AK31" i="6"/>
  <c r="AM31" i="6"/>
  <c r="AT31" i="6"/>
  <c r="AU31" i="6" s="1"/>
  <c r="AR31" i="6"/>
  <c r="AM18" i="6"/>
  <c r="AR18" i="6"/>
  <c r="AS18" i="6" s="1"/>
  <c r="AT18" i="6"/>
  <c r="AU18" i="6" s="1"/>
  <c r="AK18" i="6"/>
  <c r="AM23" i="6"/>
  <c r="AR23" i="6"/>
  <c r="AT23" i="6"/>
  <c r="AU23" i="6" s="1"/>
  <c r="AK23" i="6"/>
  <c r="AM20" i="6"/>
  <c r="AR20" i="6"/>
  <c r="AS20" i="6" s="1"/>
  <c r="AK20" i="6"/>
  <c r="AT20" i="6"/>
  <c r="AU20" i="6" s="1"/>
  <c r="R20" i="6"/>
  <c r="R22" i="6"/>
  <c r="AQ20" i="6"/>
  <c r="AQ18" i="6"/>
  <c r="R19" i="6"/>
  <c r="H7" i="2"/>
  <c r="I61" i="2"/>
  <c r="H55" i="2"/>
  <c r="G61" i="2"/>
  <c r="H61" i="2"/>
  <c r="G55" i="2"/>
  <c r="I55" i="2"/>
  <c r="I7" i="2"/>
  <c r="BO14" i="6"/>
  <c r="BS29" i="6"/>
  <c r="BS28" i="6"/>
  <c r="BS27" i="6"/>
  <c r="BS26" i="6"/>
  <c r="BQ27" i="6"/>
  <c r="BQ28" i="6"/>
  <c r="BQ29" i="6"/>
  <c r="BU26" i="6"/>
  <c r="BU27" i="6"/>
  <c r="BU28" i="6"/>
  <c r="BU29" i="6"/>
  <c r="BU30" i="6"/>
  <c r="AS19" i="6" l="1"/>
  <c r="AL22" i="6"/>
  <c r="AJ22" i="6"/>
  <c r="AL19" i="6"/>
  <c r="AJ19" i="6"/>
  <c r="AL20" i="6"/>
  <c r="AJ20" i="6"/>
  <c r="AQ22" i="6"/>
  <c r="AS22" i="6" s="1"/>
  <c r="R21" i="6"/>
  <c r="AQ19" i="6"/>
  <c r="R24" i="6"/>
  <c r="F7" i="2"/>
  <c r="U71" i="6"/>
  <c r="BQ26" i="6"/>
  <c r="BS25" i="6"/>
  <c r="BQ25" i="6"/>
  <c r="BU25" i="6"/>
  <c r="BS24" i="6"/>
  <c r="BQ24" i="6"/>
  <c r="BU24" i="6"/>
  <c r="CD23" i="6"/>
  <c r="BS23" i="6"/>
  <c r="BQ23" i="6"/>
  <c r="BU23" i="6"/>
  <c r="CD22" i="6"/>
  <c r="BS22" i="6"/>
  <c r="BQ22" i="6"/>
  <c r="BU22" i="6"/>
  <c r="BS21" i="6"/>
  <c r="BQ21" i="6"/>
  <c r="BU21" i="6"/>
  <c r="BS20" i="6"/>
  <c r="BQ20" i="6"/>
  <c r="BU20" i="6"/>
  <c r="BS19" i="6"/>
  <c r="BQ19" i="6"/>
  <c r="BU19" i="6"/>
  <c r="BS18" i="6"/>
  <c r="BQ18" i="6"/>
  <c r="BU18" i="6"/>
  <c r="CD17" i="6"/>
  <c r="BS17" i="6"/>
  <c r="BQ17" i="6"/>
  <c r="BU17" i="6"/>
  <c r="CD16" i="6"/>
  <c r="BS16" i="6"/>
  <c r="BQ16" i="6"/>
  <c r="BU16" i="6"/>
  <c r="BS15" i="6"/>
  <c r="BQ15" i="6"/>
  <c r="BU15" i="6"/>
  <c r="BS14" i="6"/>
  <c r="BQ14" i="6"/>
  <c r="BN14" i="6"/>
  <c r="BM14" i="6"/>
  <c r="BU14" i="6"/>
  <c r="BD14" i="6"/>
  <c r="AL21" i="6" l="1"/>
  <c r="AJ21" i="6"/>
  <c r="AL24" i="6"/>
  <c r="AJ24" i="6"/>
  <c r="R26" i="6"/>
  <c r="AQ24" i="6"/>
  <c r="AS24" i="6" s="1"/>
  <c r="R23" i="6"/>
  <c r="AQ21" i="6"/>
  <c r="BY18" i="6"/>
  <c r="CA18" i="6" s="1"/>
  <c r="BY22" i="6"/>
  <c r="CA22" i="6" s="1"/>
  <c r="BY14" i="6"/>
  <c r="CA14" i="6" s="1"/>
  <c r="BY16" i="6"/>
  <c r="CA16" i="6" s="1"/>
  <c r="BY23" i="6"/>
  <c r="BY15" i="6"/>
  <c r="CA15" i="6" s="1"/>
  <c r="BY26" i="6"/>
  <c r="BY17" i="6"/>
  <c r="CA17" i="6" s="1"/>
  <c r="BY27" i="6"/>
  <c r="BY29" i="6"/>
  <c r="BY28" i="6"/>
  <c r="BY21" i="6"/>
  <c r="CA21" i="6" s="1"/>
  <c r="BY25" i="6"/>
  <c r="BY20" i="6"/>
  <c r="BY24" i="6"/>
  <c r="BY19" i="6"/>
  <c r="AL26" i="6" l="1"/>
  <c r="AJ26" i="6"/>
  <c r="AL23" i="6"/>
  <c r="AJ23" i="6"/>
  <c r="R25" i="6"/>
  <c r="AQ23" i="6"/>
  <c r="AS23" i="6" s="1"/>
  <c r="R28" i="6"/>
  <c r="AQ26" i="6"/>
  <c r="AS26" i="6" s="1"/>
  <c r="CB18" i="6"/>
  <c r="CC18" i="6" s="1"/>
  <c r="CB29" i="6"/>
  <c r="CB28" i="6"/>
  <c r="CB26" i="6"/>
  <c r="CB23" i="6"/>
  <c r="CB27" i="6"/>
  <c r="CB24" i="6"/>
  <c r="CC24" i="6" s="1"/>
  <c r="CA24" i="6"/>
  <c r="CB17" i="6"/>
  <c r="CA19" i="6"/>
  <c r="CB19" i="6"/>
  <c r="CC19" i="6" s="1"/>
  <c r="CB20" i="6"/>
  <c r="CC20" i="6" s="1"/>
  <c r="CA20" i="6"/>
  <c r="CB21" i="6"/>
  <c r="CC21" i="6" s="1"/>
  <c r="CB25" i="6"/>
  <c r="CB16" i="6"/>
  <c r="CB22" i="6"/>
  <c r="AJ28" i="6" l="1"/>
  <c r="AL28" i="6"/>
  <c r="AL25" i="6"/>
  <c r="AJ25" i="6"/>
  <c r="CC23" i="6"/>
  <c r="CA26" i="6"/>
  <c r="CA23" i="6"/>
  <c r="R30" i="6"/>
  <c r="AQ28" i="6"/>
  <c r="AS28" i="6" s="1"/>
  <c r="CC26" i="6"/>
  <c r="R27" i="6"/>
  <c r="AQ25" i="6"/>
  <c r="AS25" i="6" s="1"/>
  <c r="CE23" i="6"/>
  <c r="CC22" i="6"/>
  <c r="CE22" i="6"/>
  <c r="CE17" i="6"/>
  <c r="CC17" i="6"/>
  <c r="CC16" i="6"/>
  <c r="CE16" i="6"/>
  <c r="T35" i="2"/>
  <c r="X24" i="2"/>
  <c r="T21" i="2"/>
  <c r="T11" i="2"/>
  <c r="AB4" i="2"/>
  <c r="AB3" i="2"/>
  <c r="AJ30" i="6" l="1"/>
  <c r="AL30" i="6"/>
  <c r="AJ27" i="6"/>
  <c r="AL27" i="6"/>
  <c r="CC28" i="6"/>
  <c r="AQ30" i="6"/>
  <c r="AS30" i="6" s="1"/>
  <c r="CA28" i="6"/>
  <c r="R29" i="6"/>
  <c r="AQ27" i="6"/>
  <c r="AS27" i="6" s="1"/>
  <c r="CA25" i="6"/>
  <c r="CC25" i="6"/>
  <c r="AL29" i="6" l="1"/>
  <c r="AJ29" i="6"/>
  <c r="R31" i="6"/>
  <c r="AQ29" i="6"/>
  <c r="AS29" i="6" s="1"/>
  <c r="CA27" i="6"/>
  <c r="CC27" i="6"/>
  <c r="AJ31" i="6" l="1"/>
  <c r="AL31" i="6"/>
  <c r="AQ31" i="6"/>
  <c r="AS31" i="6" s="1"/>
  <c r="CA29" i="6"/>
  <c r="CC29" i="6"/>
</calcChain>
</file>

<file path=xl/sharedStrings.xml><?xml version="1.0" encoding="utf-8"?>
<sst xmlns="http://schemas.openxmlformats.org/spreadsheetml/2006/main" count="570" uniqueCount="250">
  <si>
    <t>Medium</t>
  </si>
  <si>
    <t>Initial Medium.</t>
  </si>
  <si>
    <t>Agitation Propellers.</t>
  </si>
  <si>
    <t xml:space="preserve">Adjusted propellers to account for feeding of liquid into the medium. </t>
  </si>
  <si>
    <t>Strain</t>
  </si>
  <si>
    <t>inoculation</t>
  </si>
  <si>
    <t>initial working volume (L)</t>
  </si>
  <si>
    <t xml:space="preserve">Temperature (C ) </t>
  </si>
  <si>
    <t>Agitation</t>
  </si>
  <si>
    <t>Aeration</t>
  </si>
  <si>
    <t>Initial medium</t>
  </si>
  <si>
    <t>feed</t>
  </si>
  <si>
    <t>R1</t>
  </si>
  <si>
    <t>#</t>
  </si>
  <si>
    <t>Results in g/L</t>
  </si>
  <si>
    <t>SampleName</t>
  </si>
  <si>
    <t>Citric Acid</t>
  </si>
  <si>
    <t>Glucose</t>
  </si>
  <si>
    <t>Xylose</t>
  </si>
  <si>
    <t>Erythritol</t>
  </si>
  <si>
    <t>Lactic Acid</t>
  </si>
  <si>
    <t>Glycerol</t>
  </si>
  <si>
    <t>Acetic Acid</t>
  </si>
  <si>
    <t>-</t>
  </si>
  <si>
    <t>sugar consumed (g/L)</t>
  </si>
  <si>
    <t>sugar consumption rates (g/L/h)</t>
  </si>
  <si>
    <t>Calculations</t>
  </si>
  <si>
    <t>pre</t>
  </si>
  <si>
    <t>post</t>
  </si>
  <si>
    <t>DCW (g/L)</t>
  </si>
  <si>
    <t>date</t>
  </si>
  <si>
    <t xml:space="preserve">Inoculating medium </t>
  </si>
  <si>
    <t>2 cm from bottom for bottom impeller</t>
  </si>
  <si>
    <t>4 cm from bottom impeller for top impeller</t>
  </si>
  <si>
    <t>estimated titer with evaporation</t>
  </si>
  <si>
    <t>total sugar (g/L)</t>
  </si>
  <si>
    <t>equivilant titer (g/L)</t>
  </si>
  <si>
    <t>r1</t>
  </si>
  <si>
    <t>r2</t>
  </si>
  <si>
    <t>BLANK</t>
  </si>
  <si>
    <t>R2</t>
  </si>
  <si>
    <t>2 mL YPD O/N</t>
  </si>
  <si>
    <t>Reactor</t>
  </si>
  <si>
    <t>redford ratio</t>
  </si>
  <si>
    <t>C:N:P</t>
  </si>
  <si>
    <t>C/N</t>
  </si>
  <si>
    <t>YNB-glucose</t>
  </si>
  <si>
    <t>molecular weight (m.w., g/mol)</t>
  </si>
  <si>
    <t>Yeast Nitrogen Base W/out Amino acids and Ammonium Sulfate (product number Y1251)</t>
  </si>
  <si>
    <t>C/P</t>
  </si>
  <si>
    <t>Media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</si>
  <si>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</si>
  <si>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</si>
  <si>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</si>
  <si>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Conc (g/L)</t>
  </si>
  <si>
    <t>Component</t>
  </si>
  <si>
    <t>C/N ratio</t>
  </si>
  <si>
    <t>C/P ratio*</t>
  </si>
  <si>
    <t>N/P ratio*</t>
  </si>
  <si>
    <t>mol C</t>
  </si>
  <si>
    <t>mol N/L</t>
  </si>
  <si>
    <t>mol P/L</t>
  </si>
  <si>
    <t>Ammonium Sulfate</t>
  </si>
  <si>
    <t>molecular weight (g/mol)</t>
  </si>
  <si>
    <t>mol/L</t>
  </si>
  <si>
    <t>magnesium sulfate</t>
  </si>
  <si>
    <t>sodium chloride</t>
  </si>
  <si>
    <t>Acetate</t>
  </si>
  <si>
    <t>calcium chloride</t>
  </si>
  <si>
    <t>Citric acid</t>
  </si>
  <si>
    <t>g/L total</t>
  </si>
  <si>
    <t>YNB-glucose-AC</t>
  </si>
  <si>
    <t>Ammonium Chloride</t>
  </si>
  <si>
    <t>Trace elements</t>
  </si>
  <si>
    <t>urea</t>
  </si>
  <si>
    <t>Conc (µg/L)</t>
  </si>
  <si>
    <t>Boric acid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</si>
  <si>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</si>
  <si>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</si>
  <si>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</si>
  <si>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</si>
  <si>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</si>
  <si>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</si>
  <si>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</si>
  <si>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</si>
  <si>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</si>
  <si>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10 x YNB</t>
  </si>
  <si>
    <t>Folic acid</t>
  </si>
  <si>
    <t xml:space="preserve">17 g/L yeast nitrogen base per liter. </t>
  </si>
  <si>
    <t>Inositol</t>
  </si>
  <si>
    <t xml:space="preserve">check pH, adjust to 5.6. </t>
  </si>
  <si>
    <t>Niacin</t>
  </si>
  <si>
    <t xml:space="preserve">Warm as needed to dissolve completely. </t>
  </si>
  <si>
    <t>p-Aminobeznoic acid</t>
  </si>
  <si>
    <t xml:space="preserve">Filter sterilize into steril bottle. </t>
  </si>
  <si>
    <t>Pyridoxine hydrochloride</t>
  </si>
  <si>
    <t>Riboflavin</t>
  </si>
  <si>
    <t>10 x Ammonium Sulfate</t>
  </si>
  <si>
    <t>Thiamine hydrochloride</t>
  </si>
  <si>
    <t xml:space="preserve">50 g/L Ammonium Sulfate. </t>
  </si>
  <si>
    <t>check pH, adjust to 5.6</t>
  </si>
  <si>
    <t xml:space="preserve">Warm as needed, filter sterilize. </t>
  </si>
  <si>
    <t xml:space="preserve">Carbon sources. </t>
  </si>
  <si>
    <t>Volume (no seed)</t>
  </si>
  <si>
    <t>Volume (w/seed)</t>
  </si>
  <si>
    <t>OD600 initial</t>
  </si>
  <si>
    <t>pH initial</t>
  </si>
  <si>
    <t>Time of inoculation</t>
  </si>
  <si>
    <t>date of Inoculation</t>
  </si>
  <si>
    <t xml:space="preserve">RPM control </t>
  </si>
  <si>
    <t>Aeration Control</t>
  </si>
  <si>
    <t>pH setpoint</t>
  </si>
  <si>
    <t>Species</t>
  </si>
  <si>
    <t>400 (0%)-600(50%)-800(100%)</t>
  </si>
  <si>
    <t>0.375 (0%)- 0.375 (50%) - 1.5 (100%)</t>
  </si>
  <si>
    <t>Ylp (W29)</t>
  </si>
  <si>
    <t>Note</t>
  </si>
  <si>
    <t>moxiflow</t>
  </si>
  <si>
    <t>DCW</t>
  </si>
  <si>
    <t>Trehalose</t>
  </si>
  <si>
    <t>Ethanol</t>
  </si>
  <si>
    <t>Oxalic Acid</t>
  </si>
  <si>
    <t>Succinic Acid</t>
  </si>
  <si>
    <t>time</t>
  </si>
  <si>
    <t>hour</t>
  </si>
  <si>
    <t>reactor</t>
  </si>
  <si>
    <t>sample number</t>
  </si>
  <si>
    <t>sample volume (mL)</t>
  </si>
  <si>
    <t>moxiflow D (µm)</t>
  </si>
  <si>
    <t>OD600</t>
  </si>
  <si>
    <t>BASE (mL)</t>
  </si>
  <si>
    <t>volume</t>
  </si>
  <si>
    <t>weight (g)</t>
  </si>
  <si>
    <t>sugar consumed / timepoint</t>
  </si>
  <si>
    <t>specific sugar consumption rate (g/L/h)</t>
  </si>
  <si>
    <t xml:space="preserve">specifc biomass formation </t>
  </si>
  <si>
    <t>biomass yield</t>
  </si>
  <si>
    <t>Fumaric</t>
  </si>
  <si>
    <t>Fumaric Acid</t>
  </si>
  <si>
    <t>A seed culture was grown in the sixfors (250 mL, 400 rpm, 1 vvm, pH 5.6, 10% inoculation from YPD) over the weekend.</t>
  </si>
  <si>
    <t xml:space="preserve">YNB Seeds. </t>
  </si>
  <si>
    <t>YNB 2 L</t>
  </si>
  <si>
    <t>OD600 final</t>
  </si>
  <si>
    <t>Description</t>
  </si>
  <si>
    <t>file</t>
  </si>
  <si>
    <t>Ylip (W29)</t>
  </si>
  <si>
    <t>Temp setpoint ©</t>
  </si>
  <si>
    <t>1 vvm</t>
  </si>
  <si>
    <t>250 mL</t>
  </si>
  <si>
    <t>Culture</t>
  </si>
  <si>
    <t>Initial seed</t>
  </si>
  <si>
    <t>Sixfor seed</t>
  </si>
  <si>
    <t>Biostat2L</t>
  </si>
  <si>
    <t>OD600 initial$</t>
  </si>
  <si>
    <t>#estimated initial OD</t>
  </si>
  <si>
    <t>seed for Biostat20_2L</t>
  </si>
  <si>
    <t>PPI Biostat Run #5.</t>
  </si>
  <si>
    <t>R3</t>
  </si>
  <si>
    <t>Yeast extract</t>
  </si>
  <si>
    <t>low (%)</t>
  </si>
  <si>
    <t>high (%)</t>
  </si>
  <si>
    <t>Peptone Nitrogen range</t>
  </si>
  <si>
    <t>Yeast extract Nitrogen range</t>
  </si>
  <si>
    <t>low</t>
  </si>
  <si>
    <t>high</t>
  </si>
  <si>
    <t>to add</t>
  </si>
  <si>
    <t>High</t>
  </si>
  <si>
    <t xml:space="preserve"> </t>
  </si>
  <si>
    <t>Citrate (g/L)</t>
  </si>
  <si>
    <t>YNB50-CN40</t>
  </si>
  <si>
    <t>PPI_Bst22_seed_R1</t>
  </si>
  <si>
    <t>PPI_Bst22_seed_R3</t>
  </si>
  <si>
    <t>*pH overshot to 6.7 when changed a parameter on pH PID.</t>
  </si>
  <si>
    <t xml:space="preserve">*combined two reactors for seed OD600 measurement. </t>
  </si>
  <si>
    <t>Control</t>
  </si>
  <si>
    <t>Oscillations</t>
  </si>
  <si>
    <t>YNB100-0.5g/LYE-CN100</t>
  </si>
  <si>
    <t xml:space="preserve">500 (4 h) - 600 </t>
  </si>
  <si>
    <t>0.5 (4 h) - 1.125</t>
  </si>
  <si>
    <t xml:space="preserve">Oscillations Controls * Changing O2 to N2 </t>
  </si>
  <si>
    <t>count_BDCU2</t>
  </si>
  <si>
    <t>Caculations active:</t>
  </si>
  <si>
    <t>formula</t>
  </si>
  <si>
    <t>count_BDCU2.Value = Shared._MFCSCalcCycle.Value</t>
  </si>
  <si>
    <t>STIRR_step</t>
  </si>
  <si>
    <t>STIRR.setpoint = (_BatchAge.Value &gt;= 4) * 600 + (_BatchAge.Value &lt; 4) * 500</t>
  </si>
  <si>
    <t>AIRSP_A_Setpoint = 0.375 * (_BatchAge.Value &lt; 4) + (Count.Value &lt;= 60)*1.125 *(_BatchAge.Value &gt; 4)</t>
  </si>
  <si>
    <t>Counter</t>
  </si>
  <si>
    <t>Count.Value = (Count.Value+ Shared._MFCSCalcCycle.Value)*(Count.Value &lt; 120)</t>
  </si>
  <si>
    <t>O2SP_A.Setpoint = (Count.Value &gt;60)*1.125 * (_BatchAge.Value &gt;4)</t>
  </si>
  <si>
    <t>O2SP_A_oscillate</t>
  </si>
  <si>
    <t>AIRSP_A_Oscilate</t>
  </si>
  <si>
    <t>logic</t>
  </si>
  <si>
    <t>Variable for counting hours</t>
  </si>
  <si>
    <t>Notes</t>
  </si>
  <si>
    <t>NOT USED IN control</t>
  </si>
  <si>
    <t>500 rpm till 4 h, then 600 rpm</t>
  </si>
  <si>
    <t>0.375 LPM of air until 4 hour, then 1.125 when Counter is less than 1 min (60 sec)</t>
  </si>
  <si>
    <t>Counter - counts to 120 sec, then resets to 0</t>
  </si>
  <si>
    <t>0 LPM until 4 h, then 1.125 when Counter is greater than 60 sec.</t>
  </si>
  <si>
    <t>Jeff_SloHot50_Biostat 2L-22-1</t>
  </si>
  <si>
    <t>Jeff_SloHot50_Biostat 2L-22-2</t>
  </si>
  <si>
    <t>Jeff_SloHot50_Biostat 2L-22-3</t>
  </si>
  <si>
    <t>Jeff_SloHot50_Biostat 2L-22-4</t>
  </si>
  <si>
    <t>Jeff_SloHot50_Biostat 2L-22-5</t>
  </si>
  <si>
    <t>Jeff_SloHot50_Biostat 2L-22-6</t>
  </si>
  <si>
    <t>Jeff_SloHot50_Biostat 2L-22-7</t>
  </si>
  <si>
    <t>Jeff_SloHot50_Biostat 2L-22-8</t>
  </si>
  <si>
    <t>Jeff_SloHot50_Biostat 2L-22-9</t>
  </si>
  <si>
    <t>Jeff_SloHot50_Biostat 2L-22-10</t>
  </si>
  <si>
    <t>Jeff_SloHot50_Biostat 2L-22-11</t>
  </si>
  <si>
    <t>Jeff_SloHot50_Biostat 2L-22-12</t>
  </si>
  <si>
    <t>Jeff_SloHot50_Biostat 2L-22-13</t>
  </si>
  <si>
    <t>Jeff_SloHot50_Biostat 2L-22-14</t>
  </si>
  <si>
    <t>Jeff_SloHot50_Biostat 2L-22-15</t>
  </si>
  <si>
    <t>Jeff_SloHot50_Biostat 2L-22-16</t>
  </si>
  <si>
    <t>Jeff_SloHot50_Biostat 2L-22-17</t>
  </si>
  <si>
    <t>Jeff_SloHot50_Biostat 2L-22-18</t>
  </si>
  <si>
    <t xml:space="preserve">rate </t>
  </si>
  <si>
    <t>sugar consumed</t>
  </si>
  <si>
    <t>citrate yield</t>
  </si>
  <si>
    <t>specific biomass yield (g/g substrate)</t>
  </si>
  <si>
    <t>citrate rate</t>
  </si>
  <si>
    <t>biomass rate</t>
  </si>
  <si>
    <t>Fame rate (g/L/h)</t>
  </si>
  <si>
    <t>FAME yield (g/g substrate)</t>
  </si>
  <si>
    <t>specific sugar consumed (g/L)</t>
  </si>
  <si>
    <t>specific sugar consumed (g/L/h)</t>
  </si>
  <si>
    <t>specific biomass rate (g/L/h)</t>
  </si>
  <si>
    <t>specific citrate rate (g/L/h)</t>
  </si>
  <si>
    <t>specific citrate yield (g/g substrate)</t>
  </si>
  <si>
    <t>specific Fame (g/L/h)</t>
  </si>
  <si>
    <t>FAME bio weight (mg)</t>
  </si>
  <si>
    <t>FAME (mg)</t>
  </si>
  <si>
    <t>FAME yield (g/g biomass)</t>
  </si>
  <si>
    <t>FAME titer (g/L)</t>
  </si>
  <si>
    <t>total yields (g/g substrate)</t>
  </si>
  <si>
    <t>This biostat run will examine the oscillations vs control conditions.</t>
  </si>
  <si>
    <t>N.D.</t>
  </si>
  <si>
    <t>C13:0</t>
  </si>
  <si>
    <t>C14:0</t>
  </si>
  <si>
    <t>C16:0</t>
  </si>
  <si>
    <t>C16:1</t>
  </si>
  <si>
    <t>C18:0</t>
  </si>
  <si>
    <t>C18:1</t>
  </si>
  <si>
    <t>C18:2</t>
  </si>
  <si>
    <t>C21:0</t>
  </si>
  <si>
    <t>C24:0</t>
  </si>
  <si>
    <t>total mg/mL</t>
  </si>
  <si>
    <t>mg in 500 uL hexane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</si>
</sst>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73" formatCode="0.0000"/>
  </numFmts>
  <fonts count="10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9" fontId="8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14" fontId="0" fillId="0" borderId="0" xfId="0" applyNumberFormat="1"/>
    <xf numFmtId="0" fontId="0" fillId="0" borderId="2" xfId="0" applyBorder="1"/>
    <xf numFmtId="1" fontId="0" fillId="0" borderId="0" xfId="0" applyNumberFormat="1"/>
    <xf numFmtId="0" fontId="0" fillId="0" borderId="3" xfId="0" applyBorder="1"/>
    <xf numFmtId="164" fontId="0" fillId="0" borderId="0" xfId="0" applyNumberFormat="1"/>
    <xf numFmtId="0" fontId="0" fillId="0" borderId="0" xfId="0" applyAlignment="1">
      <alignment horizontal="center" wrapText="1"/>
    </xf>
    <xf numFmtId="165" fontId="0" fillId="0" borderId="0" xfId="0" applyNumberFormat="1"/>
    <xf numFmtId="2" fontId="0" fillId="0" borderId="0" xfId="0" applyNumberFormat="1"/>
    <xf numFmtId="0" fontId="0" fillId="0" borderId="5" xfId="0" applyBorder="1"/>
    <xf numFmtId="16" fontId="0" fillId="0" borderId="0" xfId="0" applyNumberFormat="1"/>
    <xf numFmtId="0" fontId="4" fillId="0" borderId="0" xfId="0" applyFont="1"/>
    <xf numFmtId="164" fontId="3" fillId="0" borderId="0" xfId="0" applyNumberFormat="1" applyFont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wrapText="1"/>
    </xf>
    <xf numFmtId="164" fontId="0" fillId="0" borderId="8" xfId="0" applyNumberFormat="1" applyBorder="1"/>
    <xf numFmtId="165" fontId="0" fillId="0" borderId="8" xfId="0" applyNumberFormat="1" applyBorder="1"/>
    <xf numFmtId="0" fontId="0" fillId="0" borderId="10" xfId="0" applyBorder="1" applyAlignment="1">
      <alignment horizontal="center" wrapText="1"/>
    </xf>
    <xf numFmtId="165" fontId="0" fillId="0" borderId="7" xfId="0" applyNumberFormat="1" applyBorder="1"/>
    <xf numFmtId="0" fontId="5" fillId="0" borderId="0" xfId="0" applyFont="1"/>
    <xf numFmtId="165" fontId="0" fillId="0" borderId="7" xfId="0" quotePrefix="1" applyNumberFormat="1" applyBorder="1"/>
    <xf numFmtId="0" fontId="0" fillId="0" borderId="11" xfId="0" applyBorder="1"/>
    <xf numFmtId="2" fontId="0" fillId="0" borderId="11" xfId="0" applyNumberFormat="1" applyBorder="1"/>
    <xf numFmtId="3" fontId="0" fillId="0" borderId="0" xfId="0" applyNumberFormat="1"/>
    <xf numFmtId="0" fontId="0" fillId="0" borderId="10" xfId="0" applyBorder="1"/>
    <xf numFmtId="0" fontId="0" fillId="0" borderId="12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18" fontId="0" fillId="0" borderId="0" xfId="0" applyNumberFormat="1"/>
    <xf numFmtId="46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3" borderId="0" xfId="2" applyBorder="1" applyAlignment="1">
      <alignment horizontal="center"/>
    </xf>
    <xf numFmtId="0" fontId="1" fillId="2" borderId="0" xfId="1" applyBorder="1" applyAlignment="1">
      <alignment horizontal="center"/>
    </xf>
    <xf numFmtId="0" fontId="0" fillId="7" borderId="0" xfId="0" applyFill="1"/>
    <xf numFmtId="0" fontId="0" fillId="0" borderId="0" xfId="0" applyAlignment="1">
      <alignment wrapText="1"/>
    </xf>
    <xf numFmtId="165" fontId="7" fillId="0" borderId="0" xfId="0" applyNumberFormat="1" applyFont="1"/>
    <xf numFmtId="0" fontId="1" fillId="2" borderId="4" xfId="1" applyBorder="1" applyAlignment="1">
      <alignment horizontal="center"/>
    </xf>
    <xf numFmtId="0" fontId="2" fillId="3" borderId="6" xfId="2" applyBorder="1" applyAlignment="1">
      <alignment horizontal="center"/>
    </xf>
    <xf numFmtId="0" fontId="2" fillId="3" borderId="0" xfId="2" applyBorder="1" applyAlignment="1">
      <alignment horizontal="center"/>
    </xf>
    <xf numFmtId="0" fontId="9" fillId="0" borderId="0" xfId="0" applyFont="1" applyAlignment="1">
      <alignment horizontal="center"/>
    </xf>
    <xf numFmtId="9" fontId="0" fillId="0" borderId="0" xfId="3" applyFont="1"/>
    <xf numFmtId="173" fontId="0" fillId="0" borderId="0" xfId="0" applyNumberFormat="1"/>
  </cellXfs>
  <cellStyles count="4">
    <cellStyle name="Calculation 2" xfId="2" xr:uid="{06963B33-0368-4743-9D6F-4480FB79EB78}"/>
    <cellStyle name="Good 2" xfId="1" xr:uid="{C73EABD3-7392-AD48-9677-784C96F12C21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352F-9567-9A4D-B6FE-EE3DF8026B49}">
  <dimension ref="A1:R35"/>
  <sheetViews>
    <sheetView workbookViewId="0">
      <selection activeCell="C19" sqref="C19"/>
    </sheetView>
  </sheetViews>
  <sheetFormatPr baseColWidth="10" defaultColWidth="11" defaultRowHeight="16" x14ac:dyDescent="0.2"/>
  <cols>
    <col min="3" max="3" width="24.6640625" customWidth="1"/>
  </cols>
  <sheetData>
    <row r="1" spans="1:18" x14ac:dyDescent="0.2">
      <c r="A1" t="s">
        <v>156</v>
      </c>
    </row>
    <row r="3" spans="1:18" x14ac:dyDescent="0.2">
      <c r="B3" t="s">
        <v>237</v>
      </c>
    </row>
    <row r="4" spans="1:18" x14ac:dyDescent="0.2">
      <c r="B4" t="s">
        <v>139</v>
      </c>
    </row>
    <row r="7" spans="1:18" x14ac:dyDescent="0.2">
      <c r="A7" t="s">
        <v>150</v>
      </c>
      <c r="C7" t="s">
        <v>149</v>
      </c>
      <c r="D7" t="s">
        <v>142</v>
      </c>
    </row>
    <row r="8" spans="1:18" x14ac:dyDescent="0.2">
      <c r="C8" t="s">
        <v>41</v>
      </c>
      <c r="D8">
        <v>15.6</v>
      </c>
      <c r="E8" s="2">
        <v>45593</v>
      </c>
    </row>
    <row r="12" spans="1:18" x14ac:dyDescent="0.2">
      <c r="A12" t="s">
        <v>151</v>
      </c>
      <c r="F12" t="s">
        <v>154</v>
      </c>
    </row>
    <row r="13" spans="1:18" x14ac:dyDescent="0.2">
      <c r="B13" t="s">
        <v>42</v>
      </c>
      <c r="C13" t="s">
        <v>143</v>
      </c>
      <c r="D13" t="s">
        <v>103</v>
      </c>
      <c r="E13" t="s">
        <v>104</v>
      </c>
      <c r="F13" t="s">
        <v>153</v>
      </c>
      <c r="G13" t="s">
        <v>142</v>
      </c>
      <c r="H13" t="s">
        <v>106</v>
      </c>
      <c r="I13" t="s">
        <v>107</v>
      </c>
      <c r="J13" t="s">
        <v>108</v>
      </c>
      <c r="K13" t="s">
        <v>109</v>
      </c>
      <c r="L13" t="s">
        <v>110</v>
      </c>
      <c r="M13" t="s">
        <v>111</v>
      </c>
      <c r="N13" t="s">
        <v>146</v>
      </c>
      <c r="O13" t="s">
        <v>0</v>
      </c>
      <c r="P13" t="s">
        <v>112</v>
      </c>
      <c r="Q13" t="s">
        <v>144</v>
      </c>
      <c r="R13" t="s">
        <v>116</v>
      </c>
    </row>
    <row r="14" spans="1:18" x14ac:dyDescent="0.2">
      <c r="B14" t="s">
        <v>12</v>
      </c>
      <c r="C14" t="s">
        <v>155</v>
      </c>
      <c r="D14" t="s">
        <v>148</v>
      </c>
      <c r="E14">
        <v>251.5</v>
      </c>
      <c r="F14" s="8">
        <f>D8*1.5/E14</f>
        <v>9.3041749502982107E-2</v>
      </c>
      <c r="G14">
        <v>9.26</v>
      </c>
      <c r="I14" s="31">
        <v>0.69791666666666663</v>
      </c>
      <c r="J14" s="2">
        <v>45594</v>
      </c>
      <c r="K14">
        <v>400</v>
      </c>
      <c r="L14" t="s">
        <v>147</v>
      </c>
      <c r="M14">
        <v>5.6</v>
      </c>
      <c r="N14">
        <v>30</v>
      </c>
      <c r="O14" t="s">
        <v>169</v>
      </c>
      <c r="P14" t="s">
        <v>145</v>
      </c>
      <c r="Q14" t="s">
        <v>170</v>
      </c>
      <c r="R14" t="s">
        <v>172</v>
      </c>
    </row>
    <row r="15" spans="1:18" x14ac:dyDescent="0.2">
      <c r="B15" t="s">
        <v>157</v>
      </c>
      <c r="C15" t="s">
        <v>155</v>
      </c>
      <c r="D15" t="s">
        <v>148</v>
      </c>
      <c r="E15">
        <v>251.5</v>
      </c>
      <c r="F15" s="8">
        <f>D8*1.5/E15</f>
        <v>9.3041749502982107E-2</v>
      </c>
      <c r="G15">
        <v>9.26</v>
      </c>
      <c r="I15" s="31">
        <v>0.69791666666666663</v>
      </c>
      <c r="J15" s="2">
        <v>45594</v>
      </c>
      <c r="K15">
        <v>400</v>
      </c>
      <c r="L15" t="s">
        <v>147</v>
      </c>
      <c r="M15">
        <v>5.6</v>
      </c>
      <c r="N15">
        <v>30</v>
      </c>
      <c r="O15" t="s">
        <v>169</v>
      </c>
      <c r="P15" t="s">
        <v>145</v>
      </c>
      <c r="Q15" t="s">
        <v>171</v>
      </c>
      <c r="R15" t="s">
        <v>173</v>
      </c>
    </row>
    <row r="16" spans="1:18" x14ac:dyDescent="0.2">
      <c r="J16" s="2"/>
    </row>
    <row r="17" spans="1:16" x14ac:dyDescent="0.2">
      <c r="J17" s="2"/>
    </row>
    <row r="21" spans="1:16" x14ac:dyDescent="0.2">
      <c r="A21" t="s">
        <v>152</v>
      </c>
    </row>
    <row r="22" spans="1:16" x14ac:dyDescent="0.2">
      <c r="B22" t="s">
        <v>42</v>
      </c>
      <c r="C22" t="s">
        <v>143</v>
      </c>
      <c r="D22" t="s">
        <v>103</v>
      </c>
      <c r="E22" t="s">
        <v>104</v>
      </c>
      <c r="F22" t="s">
        <v>105</v>
      </c>
      <c r="G22" t="s">
        <v>106</v>
      </c>
      <c r="H22" t="s">
        <v>107</v>
      </c>
      <c r="I22" t="s">
        <v>108</v>
      </c>
      <c r="J22" t="s">
        <v>109</v>
      </c>
      <c r="K22" t="s">
        <v>110</v>
      </c>
      <c r="L22" t="s">
        <v>111</v>
      </c>
      <c r="M22" t="s">
        <v>146</v>
      </c>
      <c r="N22" t="s">
        <v>0</v>
      </c>
      <c r="O22" t="s">
        <v>112</v>
      </c>
      <c r="P22" t="s">
        <v>116</v>
      </c>
    </row>
    <row r="23" spans="1:16" x14ac:dyDescent="0.2">
      <c r="B23" t="s">
        <v>12</v>
      </c>
      <c r="C23" t="s">
        <v>174</v>
      </c>
      <c r="D23">
        <v>1.35</v>
      </c>
      <c r="E23">
        <v>1.45</v>
      </c>
      <c r="F23" s="8">
        <f>0.1*9.26/1.45</f>
        <v>0.63862068965517249</v>
      </c>
      <c r="H23" s="31">
        <v>0.67708333333333337</v>
      </c>
      <c r="I23" s="2">
        <v>45595</v>
      </c>
      <c r="J23" t="s">
        <v>113</v>
      </c>
      <c r="K23" t="s">
        <v>114</v>
      </c>
      <c r="L23">
        <v>5.6</v>
      </c>
      <c r="M23">
        <v>28</v>
      </c>
      <c r="N23" t="s">
        <v>176</v>
      </c>
      <c r="O23" t="s">
        <v>115</v>
      </c>
      <c r="P23" t="s">
        <v>174</v>
      </c>
    </row>
    <row r="24" spans="1:16" x14ac:dyDescent="0.2">
      <c r="B24" t="s">
        <v>40</v>
      </c>
      <c r="C24" t="s">
        <v>175</v>
      </c>
      <c r="D24">
        <v>1.35</v>
      </c>
      <c r="E24">
        <v>1.45</v>
      </c>
      <c r="F24" s="8">
        <f>0.1*9.26/1.45</f>
        <v>0.63862068965517249</v>
      </c>
      <c r="G24" s="12"/>
      <c r="H24" s="31">
        <v>0.67708333333333337</v>
      </c>
      <c r="I24" s="2">
        <v>45595</v>
      </c>
      <c r="J24" s="12" t="s">
        <v>177</v>
      </c>
      <c r="K24" s="12" t="s">
        <v>178</v>
      </c>
      <c r="L24">
        <v>5.6</v>
      </c>
      <c r="M24">
        <v>28</v>
      </c>
      <c r="N24" t="s">
        <v>176</v>
      </c>
      <c r="O24" t="s">
        <v>115</v>
      </c>
      <c r="P24" t="s">
        <v>175</v>
      </c>
    </row>
    <row r="28" spans="1:16" x14ac:dyDescent="0.2">
      <c r="G28" t="s">
        <v>179</v>
      </c>
    </row>
    <row r="30" spans="1:16" x14ac:dyDescent="0.2">
      <c r="G30" t="s">
        <v>181</v>
      </c>
      <c r="I30" t="s">
        <v>182</v>
      </c>
      <c r="K30" t="s">
        <v>192</v>
      </c>
      <c r="L30" t="s">
        <v>194</v>
      </c>
    </row>
    <row r="31" spans="1:16" x14ac:dyDescent="0.2">
      <c r="H31" t="s">
        <v>180</v>
      </c>
      <c r="I31" t="s">
        <v>183</v>
      </c>
      <c r="K31" t="s">
        <v>193</v>
      </c>
      <c r="L31" t="s">
        <v>195</v>
      </c>
    </row>
    <row r="32" spans="1:16" x14ac:dyDescent="0.2">
      <c r="H32" t="s">
        <v>184</v>
      </c>
      <c r="I32" t="s">
        <v>185</v>
      </c>
      <c r="K32" t="s">
        <v>196</v>
      </c>
    </row>
    <row r="33" spans="8:11" x14ac:dyDescent="0.2">
      <c r="H33" t="s">
        <v>191</v>
      </c>
      <c r="I33" t="s">
        <v>186</v>
      </c>
      <c r="K33" t="s">
        <v>197</v>
      </c>
    </row>
    <row r="34" spans="8:11" x14ac:dyDescent="0.2">
      <c r="H34" t="s">
        <v>187</v>
      </c>
      <c r="I34" t="s">
        <v>188</v>
      </c>
      <c r="K34" t="s">
        <v>198</v>
      </c>
    </row>
    <row r="35" spans="8:11" x14ac:dyDescent="0.2">
      <c r="H35" t="s">
        <v>190</v>
      </c>
      <c r="I35" t="s">
        <v>189</v>
      </c>
      <c r="K35" t="s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D888-B5FC-A446-AC4D-3A672F4F3AD3}">
  <dimension ref="A1:AB84"/>
  <sheetViews>
    <sheetView workbookViewId="0">
      <selection activeCell="F16" sqref="F16"/>
    </sheetView>
  </sheetViews>
  <sheetFormatPr baseColWidth="10" defaultColWidth="11" defaultRowHeight="16" x14ac:dyDescent="0.2"/>
  <cols>
    <col min="5" max="5" width="26.6640625" customWidth="1"/>
  </cols>
  <sheetData>
    <row r="1" spans="1:28" x14ac:dyDescent="0.2">
      <c r="A1" t="s">
        <v>0</v>
      </c>
      <c r="AA1" t="s">
        <v>43</v>
      </c>
    </row>
    <row r="2" spans="1:28" x14ac:dyDescent="0.2">
      <c r="B2" s="1" t="s">
        <v>1</v>
      </c>
      <c r="AA2" s="32">
        <v>4.4277893518518523</v>
      </c>
      <c r="AB2" t="s">
        <v>44</v>
      </c>
    </row>
    <row r="3" spans="1:28" x14ac:dyDescent="0.2">
      <c r="AA3" t="s">
        <v>45</v>
      </c>
      <c r="AB3">
        <f>106/16</f>
        <v>6.625</v>
      </c>
    </row>
    <row r="4" spans="1:28" x14ac:dyDescent="0.2">
      <c r="D4" t="s">
        <v>46</v>
      </c>
      <c r="P4" t="s">
        <v>47</v>
      </c>
      <c r="S4" s="1" t="s">
        <v>48</v>
      </c>
      <c r="AA4" t="s">
        <v>49</v>
      </c>
      <c r="AB4">
        <f>106</f>
        <v>106</v>
      </c>
    </row>
    <row r="5" spans="1:28" x14ac:dyDescent="0.2">
      <c r="B5" s="1" t="s">
        <v>50</v>
      </c>
      <c r="C5" s="33" t="s">
        <v>140</v>
      </c>
      <c r="F5" t="s">
        <v>166</v>
      </c>
      <c r="G5" t="s">
        <v>163</v>
      </c>
      <c r="K5" t="s">
        <v>163</v>
      </c>
      <c r="L5" t="s">
        <v>164</v>
      </c>
      <c r="O5" t="s">
        <v>51</v>
      </c>
      <c r="P5">
        <v>136.08600000000001</v>
      </c>
      <c r="T5" t="s">
        <v>52</v>
      </c>
      <c r="AA5" t="s">
        <v>53</v>
      </c>
      <c r="AB5">
        <v>16</v>
      </c>
    </row>
    <row r="6" spans="1:28" x14ac:dyDescent="0.2">
      <c r="B6">
        <v>1</v>
      </c>
      <c r="C6" s="1" t="s">
        <v>71</v>
      </c>
      <c r="D6" s="1" t="s">
        <v>54</v>
      </c>
      <c r="E6" s="1" t="s">
        <v>55</v>
      </c>
      <c r="F6" s="1" t="s">
        <v>56</v>
      </c>
      <c r="G6" s="1" t="s">
        <v>56</v>
      </c>
      <c r="H6" s="1" t="s">
        <v>57</v>
      </c>
      <c r="I6" s="1" t="s">
        <v>58</v>
      </c>
      <c r="J6" s="1" t="s">
        <v>59</v>
      </c>
      <c r="K6" s="1" t="s">
        <v>60</v>
      </c>
      <c r="L6" s="1" t="s">
        <v>60</v>
      </c>
      <c r="M6" s="1" t="s">
        <v>61</v>
      </c>
      <c r="O6" t="s">
        <v>62</v>
      </c>
      <c r="P6">
        <v>132.13999999999999</v>
      </c>
      <c r="T6" s="1" t="s">
        <v>54</v>
      </c>
      <c r="U6" s="1" t="s">
        <v>55</v>
      </c>
      <c r="V6" t="s">
        <v>63</v>
      </c>
      <c r="X6" t="s">
        <v>64</v>
      </c>
    </row>
    <row r="7" spans="1:28" x14ac:dyDescent="0.2">
      <c r="C7">
        <f>D7*3.2</f>
        <v>5.44</v>
      </c>
      <c r="D7" s="38">
        <v>1.7</v>
      </c>
      <c r="E7" t="s">
        <v>48</v>
      </c>
      <c r="F7" s="6">
        <f>J7/K7</f>
        <v>100.53918551220686</v>
      </c>
      <c r="G7" s="6">
        <f>J7/L7</f>
        <v>97.389211885917888</v>
      </c>
      <c r="H7" s="6">
        <f>J7/M7</f>
        <v>453.22720309065477</v>
      </c>
      <c r="I7" s="6">
        <f>K7/M7</f>
        <v>4.5079657327801472</v>
      </c>
      <c r="J7" s="8">
        <f>D9/$P$7*6</f>
        <v>3.3304469459801505</v>
      </c>
      <c r="K7" s="8">
        <f>D8/P$12+D10*F14/100*1/14</f>
        <v>3.3125859623915371E-2</v>
      </c>
      <c r="L7" s="8">
        <f>D8/P$12+D10*G14/100*1/14</f>
        <v>3.4197288195343949E-2</v>
      </c>
      <c r="M7" s="8">
        <f>T7/$P$5</f>
        <v>7.3482944608556349E-3</v>
      </c>
      <c r="O7" t="s">
        <v>17</v>
      </c>
      <c r="P7">
        <v>180.15600000000001</v>
      </c>
      <c r="T7">
        <v>1</v>
      </c>
      <c r="U7" t="s">
        <v>51</v>
      </c>
      <c r="V7">
        <v>136.08600000000001</v>
      </c>
    </row>
    <row r="8" spans="1:28" x14ac:dyDescent="0.2">
      <c r="C8">
        <f>D8*3.2</f>
        <v>5.120000000000001</v>
      </c>
      <c r="D8" s="38">
        <v>1.6</v>
      </c>
      <c r="E8" t="s">
        <v>72</v>
      </c>
      <c r="O8" t="s">
        <v>18</v>
      </c>
      <c r="P8">
        <v>150.13</v>
      </c>
      <c r="T8">
        <v>0.5</v>
      </c>
      <c r="U8" t="s">
        <v>65</v>
      </c>
    </row>
    <row r="9" spans="1:28" x14ac:dyDescent="0.2">
      <c r="C9">
        <f>D9*3.2</f>
        <v>320</v>
      </c>
      <c r="D9" s="38">
        <v>100</v>
      </c>
      <c r="E9" t="s">
        <v>17</v>
      </c>
      <c r="O9" t="s">
        <v>21</v>
      </c>
      <c r="P9" s="8">
        <v>92.093999999999994</v>
      </c>
      <c r="T9">
        <v>0.1</v>
      </c>
      <c r="U9" t="s">
        <v>66</v>
      </c>
    </row>
    <row r="10" spans="1:28" x14ac:dyDescent="0.2">
      <c r="C10">
        <f>D10*3.2</f>
        <v>1.6</v>
      </c>
      <c r="D10" s="38">
        <v>0.5</v>
      </c>
      <c r="E10" t="s">
        <v>158</v>
      </c>
      <c r="O10" t="s">
        <v>67</v>
      </c>
      <c r="P10">
        <v>59.043999999999997</v>
      </c>
      <c r="T10">
        <v>0.1</v>
      </c>
      <c r="U10" t="s">
        <v>68</v>
      </c>
    </row>
    <row r="11" spans="1:28" x14ac:dyDescent="0.2">
      <c r="D11" s="38"/>
      <c r="O11" s="1" t="s">
        <v>69</v>
      </c>
      <c r="P11">
        <v>192.19399999999999</v>
      </c>
      <c r="T11">
        <f>SUM(T7:T10)</f>
        <v>1.7000000000000002</v>
      </c>
      <c r="U11" t="s">
        <v>70</v>
      </c>
    </row>
    <row r="12" spans="1:28" x14ac:dyDescent="0.2">
      <c r="F12" t="s">
        <v>159</v>
      </c>
      <c r="G12" t="s">
        <v>160</v>
      </c>
      <c r="O12" t="s">
        <v>72</v>
      </c>
      <c r="P12">
        <v>53.491</v>
      </c>
      <c r="T12" t="s">
        <v>73</v>
      </c>
    </row>
    <row r="13" spans="1:28" x14ac:dyDescent="0.2">
      <c r="C13" s="1"/>
      <c r="E13" t="s">
        <v>161</v>
      </c>
      <c r="F13">
        <v>14.2</v>
      </c>
      <c r="G13">
        <v>17.399999999999999</v>
      </c>
      <c r="O13" t="s">
        <v>74</v>
      </c>
      <c r="P13">
        <v>60.06</v>
      </c>
      <c r="T13" s="1" t="s">
        <v>75</v>
      </c>
      <c r="U13" s="1" t="s">
        <v>55</v>
      </c>
    </row>
    <row r="14" spans="1:28" x14ac:dyDescent="0.2">
      <c r="E14" t="s">
        <v>162</v>
      </c>
      <c r="F14">
        <v>9</v>
      </c>
      <c r="G14">
        <v>12</v>
      </c>
      <c r="T14">
        <v>500</v>
      </c>
      <c r="U14" t="s">
        <v>76</v>
      </c>
    </row>
    <row r="15" spans="1:28" x14ac:dyDescent="0.2">
      <c r="T15">
        <v>40</v>
      </c>
      <c r="U15" t="s">
        <v>77</v>
      </c>
    </row>
    <row r="16" spans="1:28" x14ac:dyDescent="0.2">
      <c r="T16">
        <v>100</v>
      </c>
      <c r="U16" t="s">
        <v>78</v>
      </c>
    </row>
    <row r="17" spans="20:24" x14ac:dyDescent="0.2">
      <c r="T17">
        <v>200</v>
      </c>
      <c r="U17" t="s">
        <v>79</v>
      </c>
    </row>
    <row r="18" spans="20:24" x14ac:dyDescent="0.2">
      <c r="T18">
        <v>400</v>
      </c>
      <c r="U18" t="s">
        <v>80</v>
      </c>
    </row>
    <row r="19" spans="20:24" x14ac:dyDescent="0.2">
      <c r="T19">
        <v>200</v>
      </c>
      <c r="U19" t="s">
        <v>81</v>
      </c>
    </row>
    <row r="20" spans="20:24" x14ac:dyDescent="0.2">
      <c r="T20">
        <v>400</v>
      </c>
      <c r="U20" t="s">
        <v>82</v>
      </c>
    </row>
    <row r="21" spans="20:24" x14ac:dyDescent="0.2">
      <c r="T21">
        <f>SUM(T14:T20)/1000000</f>
        <v>1.8400000000000001E-3</v>
      </c>
      <c r="U21" t="s">
        <v>70</v>
      </c>
    </row>
    <row r="22" spans="20:24" x14ac:dyDescent="0.2">
      <c r="T22" t="s">
        <v>83</v>
      </c>
    </row>
    <row r="23" spans="20:24" x14ac:dyDescent="0.2">
      <c r="T23" s="1" t="s">
        <v>75</v>
      </c>
      <c r="U23" s="1" t="s">
        <v>55</v>
      </c>
    </row>
    <row r="24" spans="20:24" x14ac:dyDescent="0.2">
      <c r="T24">
        <v>2</v>
      </c>
      <c r="U24" t="s">
        <v>84</v>
      </c>
      <c r="X24">
        <f>550*0.3</f>
        <v>165</v>
      </c>
    </row>
    <row r="25" spans="20:24" x14ac:dyDescent="0.2">
      <c r="T25">
        <v>400</v>
      </c>
      <c r="U25" t="s">
        <v>85</v>
      </c>
    </row>
    <row r="26" spans="20:24" x14ac:dyDescent="0.2">
      <c r="T26">
        <v>2</v>
      </c>
      <c r="U26" t="s">
        <v>87</v>
      </c>
    </row>
    <row r="27" spans="20:24" x14ac:dyDescent="0.2">
      <c r="T27" s="25">
        <v>2000</v>
      </c>
      <c r="U27" t="s">
        <v>89</v>
      </c>
    </row>
    <row r="28" spans="20:24" x14ac:dyDescent="0.2">
      <c r="T28">
        <v>400</v>
      </c>
      <c r="U28" t="s">
        <v>91</v>
      </c>
    </row>
    <row r="29" spans="20:24" x14ac:dyDescent="0.2">
      <c r="T29">
        <v>200</v>
      </c>
      <c r="U29" t="s">
        <v>93</v>
      </c>
    </row>
    <row r="30" spans="20:24" x14ac:dyDescent="0.2">
      <c r="T30">
        <v>400</v>
      </c>
      <c r="U30" t="s">
        <v>95</v>
      </c>
    </row>
    <row r="31" spans="20:24" x14ac:dyDescent="0.2">
      <c r="T31">
        <v>200</v>
      </c>
      <c r="U31" t="s">
        <v>96</v>
      </c>
    </row>
    <row r="32" spans="20:24" x14ac:dyDescent="0.2">
      <c r="T32">
        <v>400</v>
      </c>
      <c r="U32" t="s">
        <v>98</v>
      </c>
    </row>
    <row r="35" spans="16:21" x14ac:dyDescent="0.2">
      <c r="T35">
        <f>SUM(T24:T32)/1000000</f>
        <v>4.0039999999999997E-3</v>
      </c>
      <c r="U35" t="s">
        <v>70</v>
      </c>
    </row>
    <row r="48" spans="16:21" x14ac:dyDescent="0.2">
      <c r="P48" s="1" t="s">
        <v>165</v>
      </c>
    </row>
    <row r="49" spans="2:16" x14ac:dyDescent="0.2">
      <c r="P49">
        <f>D7*1.5</f>
        <v>2.5499999999999998</v>
      </c>
    </row>
    <row r="50" spans="2:16" x14ac:dyDescent="0.2">
      <c r="P50">
        <f>D8*1.5</f>
        <v>2.4000000000000004</v>
      </c>
    </row>
    <row r="51" spans="2:16" x14ac:dyDescent="0.2">
      <c r="P51">
        <f>D9*1.5</f>
        <v>150</v>
      </c>
    </row>
    <row r="52" spans="2:16" x14ac:dyDescent="0.2">
      <c r="P52">
        <f>D10*1.5</f>
        <v>0.75</v>
      </c>
    </row>
    <row r="54" spans="2:16" x14ac:dyDescent="0.2">
      <c r="C54">
        <v>2</v>
      </c>
      <c r="D54" s="1" t="s">
        <v>71</v>
      </c>
      <c r="E54" s="1" t="s">
        <v>54</v>
      </c>
      <c r="F54" s="1" t="s">
        <v>55</v>
      </c>
      <c r="G54" s="1" t="s">
        <v>56</v>
      </c>
      <c r="H54" s="1" t="s">
        <v>57</v>
      </c>
      <c r="I54" s="1" t="s">
        <v>58</v>
      </c>
      <c r="J54" s="1" t="s">
        <v>59</v>
      </c>
      <c r="K54" s="1" t="s">
        <v>60</v>
      </c>
      <c r="L54" s="1" t="s">
        <v>61</v>
      </c>
    </row>
    <row r="55" spans="2:16" x14ac:dyDescent="0.2">
      <c r="E55">
        <v>1.7</v>
      </c>
      <c r="F55" t="s">
        <v>48</v>
      </c>
      <c r="G55" s="6">
        <f>J55/K55</f>
        <v>60.594876730416402</v>
      </c>
      <c r="H55" s="6">
        <f>J55/L55</f>
        <v>226.61360154532738</v>
      </c>
      <c r="I55" s="6">
        <f>K55/L55</f>
        <v>3.7398145482417608</v>
      </c>
      <c r="J55" s="8">
        <f>E57/$P$7*6</f>
        <v>1.6652234729900752</v>
      </c>
      <c r="K55" s="8">
        <f>E56/P$12</f>
        <v>2.7481258529472249E-2</v>
      </c>
      <c r="L55" s="8">
        <f>T7/$P$5</f>
        <v>7.3482944608556349E-3</v>
      </c>
    </row>
    <row r="56" spans="2:16" x14ac:dyDescent="0.2">
      <c r="E56">
        <v>1.47</v>
      </c>
      <c r="F56" t="s">
        <v>72</v>
      </c>
    </row>
    <row r="57" spans="2:16" x14ac:dyDescent="0.2">
      <c r="E57">
        <v>50</v>
      </c>
      <c r="F57" t="s">
        <v>17</v>
      </c>
    </row>
    <row r="59" spans="2:16" x14ac:dyDescent="0.2">
      <c r="D59" s="34" t="s">
        <v>141</v>
      </c>
    </row>
    <row r="60" spans="2:16" x14ac:dyDescent="0.2">
      <c r="B60" s="1"/>
      <c r="D60" s="1" t="s">
        <v>71</v>
      </c>
      <c r="E60" s="1" t="s">
        <v>54</v>
      </c>
      <c r="F60" s="1" t="s">
        <v>55</v>
      </c>
      <c r="G60" s="1" t="s">
        <v>56</v>
      </c>
      <c r="H60" s="1" t="s">
        <v>57</v>
      </c>
      <c r="I60" s="1" t="s">
        <v>58</v>
      </c>
      <c r="J60" s="1" t="s">
        <v>59</v>
      </c>
      <c r="K60" s="1" t="s">
        <v>60</v>
      </c>
      <c r="L60" s="1" t="s">
        <v>61</v>
      </c>
    </row>
    <row r="61" spans="2:16" x14ac:dyDescent="0.2">
      <c r="E61">
        <v>1.7</v>
      </c>
      <c r="F61" t="s">
        <v>48</v>
      </c>
      <c r="G61" s="6">
        <f>J61/K61</f>
        <v>80.247269183524409</v>
      </c>
      <c r="H61" s="6">
        <f>J61/L61</f>
        <v>226.61360154532738</v>
      </c>
      <c r="I61" s="6">
        <f>K61/L61</f>
        <v>2.8239415976519422</v>
      </c>
      <c r="J61" s="8">
        <f>E63/$P$7*6</f>
        <v>1.6652234729900752</v>
      </c>
      <c r="K61" s="8">
        <f>E62/P$12</f>
        <v>2.0751154399805578E-2</v>
      </c>
      <c r="L61" s="8">
        <f>T7/$P$5</f>
        <v>7.3482944608556349E-3</v>
      </c>
    </row>
    <row r="62" spans="2:16" x14ac:dyDescent="0.2">
      <c r="E62">
        <v>1.1100000000000001</v>
      </c>
      <c r="F62" t="s">
        <v>72</v>
      </c>
    </row>
    <row r="63" spans="2:16" x14ac:dyDescent="0.2">
      <c r="E63">
        <v>50</v>
      </c>
      <c r="F63" t="s">
        <v>17</v>
      </c>
    </row>
    <row r="67" spans="2:12" x14ac:dyDescent="0.2">
      <c r="C67" s="35"/>
      <c r="D67" s="35"/>
      <c r="E67" s="35"/>
      <c r="F67" s="35"/>
      <c r="G67" s="35"/>
      <c r="H67" s="35"/>
      <c r="I67" s="35"/>
      <c r="J67" s="35"/>
      <c r="K67" s="35"/>
      <c r="L67" s="35"/>
    </row>
    <row r="68" spans="2:12" x14ac:dyDescent="0.2">
      <c r="B68" s="1"/>
    </row>
    <row r="70" spans="2:12" x14ac:dyDescent="0.2">
      <c r="B70" s="21" t="s">
        <v>31</v>
      </c>
    </row>
    <row r="73" spans="2:12" x14ac:dyDescent="0.2">
      <c r="D73" t="s">
        <v>86</v>
      </c>
    </row>
    <row r="74" spans="2:12" x14ac:dyDescent="0.2">
      <c r="E74" t="s">
        <v>88</v>
      </c>
    </row>
    <row r="75" spans="2:12" x14ac:dyDescent="0.2">
      <c r="E75" t="s">
        <v>90</v>
      </c>
    </row>
    <row r="76" spans="2:12" x14ac:dyDescent="0.2">
      <c r="E76" t="s">
        <v>92</v>
      </c>
    </row>
    <row r="77" spans="2:12" x14ac:dyDescent="0.2">
      <c r="E77" t="s">
        <v>94</v>
      </c>
    </row>
    <row r="79" spans="2:12" x14ac:dyDescent="0.2">
      <c r="D79" t="s">
        <v>97</v>
      </c>
    </row>
    <row r="80" spans="2:12" x14ac:dyDescent="0.2">
      <c r="E80" t="s">
        <v>99</v>
      </c>
    </row>
    <row r="81" spans="4:5" x14ac:dyDescent="0.2">
      <c r="E81" t="s">
        <v>100</v>
      </c>
    </row>
    <row r="82" spans="4:5" x14ac:dyDescent="0.2">
      <c r="E82" t="s">
        <v>101</v>
      </c>
    </row>
    <row r="84" spans="4:5" x14ac:dyDescent="0.2">
      <c r="D84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5956-F128-6947-A020-51EE5ED03271}">
  <dimension ref="A1:B5"/>
  <sheetViews>
    <sheetView workbookViewId="0">
      <selection activeCell="D33" sqref="D33"/>
    </sheetView>
  </sheetViews>
  <sheetFormatPr baseColWidth="10" defaultColWidth="11" defaultRowHeight="16" x14ac:dyDescent="0.2"/>
  <sheetData>
    <row r="1" spans="1:2" x14ac:dyDescent="0.2">
      <c r="A1" t="s">
        <v>2</v>
      </c>
    </row>
    <row r="2" spans="1:2" x14ac:dyDescent="0.2">
      <c r="B2" t="s">
        <v>3</v>
      </c>
    </row>
    <row r="4" spans="1:2" x14ac:dyDescent="0.2">
      <c r="B4" t="s">
        <v>32</v>
      </c>
    </row>
    <row r="5" spans="1:2" x14ac:dyDescent="0.2">
      <c r="B5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D596-F9AE-2A45-B718-02D336B14C72}">
  <dimension ref="A2:E9"/>
  <sheetViews>
    <sheetView workbookViewId="0">
      <selection activeCell="F24" sqref="F24"/>
    </sheetView>
  </sheetViews>
  <sheetFormatPr baseColWidth="10" defaultColWidth="11" defaultRowHeight="16" x14ac:dyDescent="0.2"/>
  <sheetData>
    <row r="2" spans="1:5" x14ac:dyDescent="0.2">
      <c r="C2" s="25"/>
    </row>
    <row r="7" spans="1:5" x14ac:dyDescent="0.2">
      <c r="E7" s="12"/>
    </row>
    <row r="9" spans="1:5" x14ac:dyDescent="0.2">
      <c r="A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50F9-56E4-9A4C-A6C4-722407ADC1C6}">
  <dimension ref="B4:I4"/>
  <sheetViews>
    <sheetView workbookViewId="0">
      <selection activeCell="I27" sqref="B6:I27"/>
    </sheetView>
  </sheetViews>
  <sheetFormatPr baseColWidth="10" defaultColWidth="11" defaultRowHeight="16" x14ac:dyDescent="0.2"/>
  <sheetData>
    <row r="4" spans="2:9" x14ac:dyDescent="0.2"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077A-180E-2048-ACB0-3483679027C1}">
  <dimension ref="A2:DB76"/>
  <sheetViews>
    <sheetView showGridLines="0" tabSelected="1" topLeftCell="AP2" zoomScaleNormal="125" workbookViewId="0">
      <selection activeCell="BG27" sqref="BG27"/>
    </sheetView>
  </sheetViews>
  <sheetFormatPr baseColWidth="10" defaultColWidth="11.1640625" defaultRowHeight="16" x14ac:dyDescent="0.2"/>
  <cols>
    <col min="2" max="2" width="36.1640625" customWidth="1"/>
    <col min="64" max="67" width="9.5" customWidth="1"/>
    <col min="68" max="68" width="10.6640625" customWidth="1"/>
    <col min="69" max="69" width="11.6640625" bestFit="1" customWidth="1"/>
    <col min="70" max="70" width="11.1640625" style="5"/>
    <col min="74" max="74" width="14" customWidth="1"/>
    <col min="75" max="75" width="14.6640625" customWidth="1"/>
    <col min="76" max="77" width="18.83203125" customWidth="1"/>
    <col min="78" max="78" width="18.33203125" style="15" customWidth="1"/>
    <col min="79" max="79" width="24.83203125" style="27" customWidth="1"/>
    <col min="80" max="82" width="24.83203125" customWidth="1"/>
    <col min="89" max="90" width="13.83203125" customWidth="1"/>
    <col min="91" max="91" width="19" customWidth="1"/>
    <col min="92" max="92" width="27" customWidth="1"/>
    <col min="93" max="93" width="20.33203125" customWidth="1"/>
    <col min="94" max="94" width="18.33203125" customWidth="1"/>
    <col min="95" max="96" width="11.6640625" bestFit="1" customWidth="1"/>
  </cols>
  <sheetData>
    <row r="2" spans="1:106" x14ac:dyDescent="0.2">
      <c r="BR2"/>
      <c r="BZ2"/>
      <c r="CA2"/>
    </row>
    <row r="3" spans="1:106" x14ac:dyDescent="0.2">
      <c r="BR3"/>
      <c r="BZ3"/>
      <c r="CA3"/>
    </row>
    <row r="4" spans="1:106" x14ac:dyDescent="0.2">
      <c r="BR4"/>
      <c r="BZ4"/>
      <c r="CA4"/>
    </row>
    <row r="5" spans="1:106" x14ac:dyDescent="0.2">
      <c r="BR5"/>
      <c r="BZ5"/>
      <c r="CA5"/>
    </row>
    <row r="6" spans="1:106" x14ac:dyDescent="0.2">
      <c r="BR6"/>
      <c r="BZ6"/>
      <c r="CA6"/>
    </row>
    <row r="7" spans="1:106" x14ac:dyDescent="0.2">
      <c r="BR7"/>
      <c r="BZ7"/>
      <c r="CA7"/>
    </row>
    <row r="8" spans="1:106" x14ac:dyDescent="0.2">
      <c r="BR8"/>
      <c r="BZ8"/>
      <c r="CA8"/>
    </row>
    <row r="9" spans="1:106" x14ac:dyDescent="0.2">
      <c r="BR9"/>
      <c r="BZ9"/>
      <c r="CA9"/>
    </row>
    <row r="10" spans="1:106" x14ac:dyDescent="0.2">
      <c r="BR10"/>
      <c r="BZ10"/>
      <c r="CA10"/>
    </row>
    <row r="11" spans="1:106" x14ac:dyDescent="0.2">
      <c r="BR11"/>
      <c r="BZ11"/>
      <c r="CA11"/>
    </row>
    <row r="12" spans="1:106" x14ac:dyDescent="0.2">
      <c r="V12" t="s">
        <v>117</v>
      </c>
      <c r="Y12" t="s">
        <v>118</v>
      </c>
      <c r="AO12" t="s">
        <v>218</v>
      </c>
      <c r="BD12" s="41" t="s">
        <v>14</v>
      </c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37"/>
      <c r="BQ12" s="42" t="s">
        <v>26</v>
      </c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36"/>
    </row>
    <row r="13" spans="1:106" ht="68" x14ac:dyDescent="0.2">
      <c r="A13" s="3" t="s">
        <v>13</v>
      </c>
      <c r="B13" s="3" t="s">
        <v>15</v>
      </c>
      <c r="C13" s="3" t="s">
        <v>119</v>
      </c>
      <c r="D13" s="3" t="s">
        <v>16</v>
      </c>
      <c r="E13" s="3" t="s">
        <v>17</v>
      </c>
      <c r="F13" s="3" t="s">
        <v>18</v>
      </c>
      <c r="G13" s="3" t="s">
        <v>19</v>
      </c>
      <c r="H13" s="3" t="s">
        <v>20</v>
      </c>
      <c r="I13" s="3" t="s">
        <v>21</v>
      </c>
      <c r="J13" s="3" t="s">
        <v>22</v>
      </c>
      <c r="K13" s="3" t="s">
        <v>120</v>
      </c>
      <c r="L13" s="3" t="s">
        <v>121</v>
      </c>
      <c r="M13" s="3" t="s">
        <v>122</v>
      </c>
      <c r="N13" s="5" t="s">
        <v>137</v>
      </c>
      <c r="P13" t="s">
        <v>30</v>
      </c>
      <c r="Q13" t="s">
        <v>123</v>
      </c>
      <c r="R13" s="5" t="s">
        <v>124</v>
      </c>
      <c r="S13" s="5" t="s">
        <v>125</v>
      </c>
      <c r="T13" t="s">
        <v>126</v>
      </c>
      <c r="U13" t="s">
        <v>127</v>
      </c>
      <c r="V13" t="s">
        <v>128</v>
      </c>
      <c r="W13" t="s">
        <v>129</v>
      </c>
      <c r="X13" t="s">
        <v>130</v>
      </c>
      <c r="Y13" t="s">
        <v>27</v>
      </c>
      <c r="Z13" t="s">
        <v>28</v>
      </c>
      <c r="AA13" s="39" t="s">
        <v>131</v>
      </c>
      <c r="AB13" s="39" t="s">
        <v>132</v>
      </c>
      <c r="AC13" s="39" t="s">
        <v>29</v>
      </c>
      <c r="AD13" s="39" t="s">
        <v>232</v>
      </c>
      <c r="AE13" s="39" t="s">
        <v>233</v>
      </c>
      <c r="AF13" s="39" t="s">
        <v>234</v>
      </c>
      <c r="AG13" s="39" t="s">
        <v>235</v>
      </c>
      <c r="AH13" s="39"/>
      <c r="AI13" s="39" t="s">
        <v>219</v>
      </c>
      <c r="AJ13" s="39" t="s">
        <v>222</v>
      </c>
      <c r="AK13" s="39" t="s">
        <v>220</v>
      </c>
      <c r="AL13" s="39" t="s">
        <v>223</v>
      </c>
      <c r="AM13" s="39" t="s">
        <v>136</v>
      </c>
      <c r="AN13" s="39" t="s">
        <v>224</v>
      </c>
      <c r="AO13" s="39" t="s">
        <v>225</v>
      </c>
      <c r="AP13" s="39" t="s">
        <v>226</v>
      </c>
      <c r="AQ13" s="39" t="s">
        <v>227</v>
      </c>
      <c r="AR13" s="39" t="s">
        <v>228</v>
      </c>
      <c r="AS13" s="39" t="s">
        <v>221</v>
      </c>
      <c r="AT13" s="39" t="s">
        <v>229</v>
      </c>
      <c r="AU13" s="39" t="s">
        <v>230</v>
      </c>
      <c r="AV13" s="39" t="s">
        <v>231</v>
      </c>
      <c r="AW13" s="39" t="s">
        <v>236</v>
      </c>
      <c r="AX13" s="39"/>
      <c r="AY13" s="39"/>
      <c r="AZ13" s="39"/>
      <c r="BA13" s="39"/>
      <c r="BB13" s="39"/>
      <c r="BC13" s="39"/>
      <c r="BD13" s="3" t="s">
        <v>119</v>
      </c>
      <c r="BE13" s="3" t="s">
        <v>16</v>
      </c>
      <c r="BF13" s="3" t="s">
        <v>17</v>
      </c>
      <c r="BG13" s="3" t="s">
        <v>18</v>
      </c>
      <c r="BH13" s="3" t="s">
        <v>19</v>
      </c>
      <c r="BI13" s="3" t="s">
        <v>20</v>
      </c>
      <c r="BJ13" s="3" t="s">
        <v>21</v>
      </c>
      <c r="BK13" s="3" t="s">
        <v>22</v>
      </c>
      <c r="BL13" s="3" t="s">
        <v>120</v>
      </c>
      <c r="BM13" s="3" t="s">
        <v>121</v>
      </c>
      <c r="BN13" s="3" t="s">
        <v>122</v>
      </c>
      <c r="BO13" s="3" t="s">
        <v>138</v>
      </c>
      <c r="BP13" s="5" t="s">
        <v>30</v>
      </c>
      <c r="BQ13" s="11" t="s">
        <v>39</v>
      </c>
      <c r="BR13"/>
      <c r="BU13" s="10" t="s">
        <v>168</v>
      </c>
      <c r="BV13" s="7" t="s">
        <v>34</v>
      </c>
      <c r="BW13" s="7" t="s">
        <v>35</v>
      </c>
      <c r="BX13" s="7" t="s">
        <v>36</v>
      </c>
      <c r="BY13" s="7" t="s">
        <v>24</v>
      </c>
      <c r="BZ13" s="7"/>
      <c r="CA13" s="7" t="s">
        <v>25</v>
      </c>
      <c r="CB13" s="7" t="s">
        <v>133</v>
      </c>
      <c r="CC13" s="16" t="s">
        <v>134</v>
      </c>
      <c r="CD13" s="28" t="s">
        <v>135</v>
      </c>
      <c r="CE13" s="28" t="s">
        <v>136</v>
      </c>
      <c r="CF13" s="30"/>
      <c r="CG13" s="26"/>
      <c r="CH13" s="19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</row>
    <row r="14" spans="1:106" x14ac:dyDescent="0.2">
      <c r="A14" s="3"/>
      <c r="B14" s="3" t="s">
        <v>200</v>
      </c>
      <c r="C14" s="3" t="s">
        <v>167</v>
      </c>
      <c r="D14" s="3" t="s">
        <v>167</v>
      </c>
      <c r="E14" s="3">
        <v>9.94374</v>
      </c>
      <c r="F14" s="3" t="s">
        <v>167</v>
      </c>
      <c r="G14" s="3" t="s">
        <v>167</v>
      </c>
      <c r="H14" s="3" t="s">
        <v>167</v>
      </c>
      <c r="I14" s="3" t="s">
        <v>167</v>
      </c>
      <c r="J14" s="3" t="s">
        <v>167</v>
      </c>
      <c r="K14" s="3" t="s">
        <v>167</v>
      </c>
      <c r="L14" s="3" t="s">
        <v>167</v>
      </c>
      <c r="M14" s="3"/>
      <c r="N14" s="3"/>
      <c r="P14" s="2">
        <v>45595</v>
      </c>
      <c r="Q14" s="31">
        <v>0.70833333333333337</v>
      </c>
      <c r="R14">
        <v>0.75</v>
      </c>
      <c r="S14" t="s">
        <v>37</v>
      </c>
      <c r="T14">
        <v>1</v>
      </c>
      <c r="V14" t="s">
        <v>23</v>
      </c>
      <c r="Y14">
        <v>6.7347000000000001</v>
      </c>
      <c r="Z14">
        <v>6.7366999999999999</v>
      </c>
      <c r="AA14">
        <v>8</v>
      </c>
      <c r="AB14">
        <v>2E-3</v>
      </c>
      <c r="AC14">
        <v>0.25</v>
      </c>
      <c r="AD14">
        <v>2.5</v>
      </c>
      <c r="AE14">
        <f>FAMES!N15</f>
        <v>0.23400000000000001</v>
      </c>
      <c r="AF14" s="45">
        <f>AE14/AD14</f>
        <v>9.3600000000000003E-2</v>
      </c>
      <c r="AG14">
        <f>AF14*AC14</f>
        <v>2.3400000000000001E-2</v>
      </c>
      <c r="AI14" s="9">
        <f>$BF$14-BF14</f>
        <v>0</v>
      </c>
      <c r="AJ14">
        <f>BE14/R14</f>
        <v>0</v>
      </c>
      <c r="AK14" s="9" t="e">
        <f>BE14/AI14</f>
        <v>#DIV/0!</v>
      </c>
      <c r="AL14" s="8">
        <f>AC14/R14</f>
        <v>0.33333333333333331</v>
      </c>
      <c r="AM14" t="e">
        <f>AC14/AI14</f>
        <v>#DIV/0!</v>
      </c>
      <c r="AO14" s="9" t="e">
        <f>AG14/AI14</f>
        <v>#DIV/0!</v>
      </c>
      <c r="BD14" t="str">
        <f t="shared" ref="BD14:BD30" si="0">IF(ISNUMBER(C14),C14*1000/100,"")</f>
        <v/>
      </c>
      <c r="BE14">
        <f>IF(ISNUMBER(D14),D14*1000/100,0)</f>
        <v>0</v>
      </c>
      <c r="BF14">
        <f t="shared" ref="BF14:BF30" si="1">IF(ISNUMBER(E14),E14*1000/100,"")</f>
        <v>99.437399999999997</v>
      </c>
      <c r="BG14" t="str">
        <f t="shared" ref="BG14:BG30" si="2">IF(ISNUMBER(F14),F14*1000/100,"")</f>
        <v/>
      </c>
      <c r="BH14" t="str">
        <f t="shared" ref="BH14:BH30" si="3">IF(ISNUMBER(G14),G14*1000/100,"")</f>
        <v/>
      </c>
      <c r="BI14" t="str">
        <f t="shared" ref="BI14:BI30" si="4">IF(ISNUMBER(H14),H14*1000/100,"")</f>
        <v/>
      </c>
      <c r="BJ14" t="str">
        <f t="shared" ref="BJ14:BJ30" si="5">IF(ISNUMBER(I14),I14*1000/100,"")</f>
        <v/>
      </c>
      <c r="BK14" t="str">
        <f t="shared" ref="BK14:BK30" si="6">IF(ISNUMBER(J14),J14*1000/100,"")</f>
        <v/>
      </c>
      <c r="BL14" t="str">
        <f t="shared" ref="BL14:BL30" si="7">IF(ISNUMBER(K14),K14*1000/100,"")</f>
        <v/>
      </c>
      <c r="BM14" t="str">
        <f t="shared" ref="BM14:BM30" si="8">IF(ISNUMBER(L14),L14*1000/100,"")</f>
        <v/>
      </c>
      <c r="BN14" t="str">
        <f t="shared" ref="BN14:BN30" si="9">IF(ISNUMBER(M14),M14*1000/100,"")</f>
        <v/>
      </c>
      <c r="BO14" t="str">
        <f t="shared" ref="BO14:BO30" si="10">IF(ISNUMBER(N14),N14*1000/100,"")</f>
        <v/>
      </c>
      <c r="BP14" s="11"/>
      <c r="BQ14" s="11" t="str">
        <f t="shared" ref="BQ14:BQ21" si="11">S14</f>
        <v>r1</v>
      </c>
      <c r="BR14" s="6"/>
      <c r="BS14" t="str">
        <f t="shared" ref="BS14:BS31" si="12">B14</f>
        <v>Jeff_SloHot50_Biostat 2L-22-1</v>
      </c>
      <c r="BU14" s="5">
        <f>BE14</f>
        <v>0</v>
      </c>
      <c r="BW14" s="6"/>
      <c r="BX14" s="6"/>
      <c r="BY14" s="6">
        <f>$BF$14-BF14</f>
        <v>0</v>
      </c>
      <c r="BZ14" s="6"/>
      <c r="CA14" s="6">
        <f t="shared" ref="CA14:CA21" si="13">BY14/R14</f>
        <v>0</v>
      </c>
      <c r="CB14" s="6"/>
      <c r="CC14" s="17"/>
      <c r="CD14" s="15"/>
      <c r="CE14" s="15"/>
      <c r="CG14" s="14"/>
      <c r="CH14" s="14"/>
    </row>
    <row r="15" spans="1:106" x14ac:dyDescent="0.2">
      <c r="A15" s="3"/>
      <c r="B15" s="3" t="s">
        <v>201</v>
      </c>
      <c r="C15" s="3" t="s">
        <v>167</v>
      </c>
      <c r="D15" s="3" t="s">
        <v>167</v>
      </c>
      <c r="E15" s="3">
        <v>9.9393100000000008</v>
      </c>
      <c r="F15" s="3" t="s">
        <v>167</v>
      </c>
      <c r="G15" s="3" t="s">
        <v>167</v>
      </c>
      <c r="H15" s="3" t="s">
        <v>167</v>
      </c>
      <c r="I15" s="3" t="s">
        <v>167</v>
      </c>
      <c r="J15" s="3" t="s">
        <v>167</v>
      </c>
      <c r="K15" s="3" t="s">
        <v>167</v>
      </c>
      <c r="L15" s="3" t="s">
        <v>167</v>
      </c>
      <c r="M15" s="3"/>
      <c r="N15" s="3"/>
      <c r="P15" s="2">
        <v>45595</v>
      </c>
      <c r="Q15" s="31">
        <v>0.70833333333333337</v>
      </c>
      <c r="R15">
        <v>0.75</v>
      </c>
      <c r="S15" t="s">
        <v>38</v>
      </c>
      <c r="T15">
        <v>2</v>
      </c>
      <c r="V15" t="s">
        <v>23</v>
      </c>
      <c r="Y15">
        <v>6.7378</v>
      </c>
      <c r="Z15">
        <v>6.7416999999999998</v>
      </c>
      <c r="AA15">
        <v>8</v>
      </c>
      <c r="AB15">
        <v>3.8999999999999998E-3</v>
      </c>
      <c r="AC15">
        <v>0.48749999999999999</v>
      </c>
      <c r="AD15">
        <v>1.5</v>
      </c>
      <c r="AE15">
        <f>FAMES!N16</f>
        <v>0.15250000000000002</v>
      </c>
      <c r="AF15" s="45">
        <f t="shared" ref="AF15:AF31" si="14">AE15/AD15</f>
        <v>0.10166666666666668</v>
      </c>
      <c r="AG15">
        <f t="shared" ref="AG15:AG31" si="15">AF15*AC15</f>
        <v>4.9562500000000009E-2</v>
      </c>
      <c r="AI15" s="9">
        <f>$BF$15-BF15</f>
        <v>0</v>
      </c>
      <c r="AJ15">
        <f t="shared" ref="AJ15:AJ31" si="16">BE15/R15</f>
        <v>0</v>
      </c>
      <c r="AK15" s="9" t="e">
        <f t="shared" ref="AK15:AK31" si="17">BE15/AI15</f>
        <v>#DIV/0!</v>
      </c>
      <c r="AL15" s="8">
        <f t="shared" ref="AL15:AL31" si="18">AC15/R15</f>
        <v>0.65</v>
      </c>
      <c r="AM15" t="e">
        <f t="shared" ref="AM15:AM31" si="19">AC15/AI15</f>
        <v>#DIV/0!</v>
      </c>
      <c r="AO15" s="9" t="e">
        <f t="shared" ref="AO15:AO31" si="20">AG15/AI15</f>
        <v>#DIV/0!</v>
      </c>
      <c r="BD15" t="str">
        <f t="shared" si="0"/>
        <v/>
      </c>
      <c r="BE15">
        <f t="shared" ref="BE15:BE31" si="21">IF(ISNUMBER(D15),D15*1000/100,0)</f>
        <v>0</v>
      </c>
      <c r="BF15">
        <f t="shared" si="1"/>
        <v>99.393100000000018</v>
      </c>
      <c r="BG15" t="str">
        <f t="shared" si="2"/>
        <v/>
      </c>
      <c r="BH15" t="str">
        <f t="shared" si="3"/>
        <v/>
      </c>
      <c r="BI15" t="str">
        <f t="shared" si="4"/>
        <v/>
      </c>
      <c r="BJ15" t="str">
        <f t="shared" si="5"/>
        <v/>
      </c>
      <c r="BK15" t="str">
        <f t="shared" si="6"/>
        <v/>
      </c>
      <c r="BL15" t="str">
        <f t="shared" si="7"/>
        <v/>
      </c>
      <c r="BM15" t="str">
        <f t="shared" si="8"/>
        <v/>
      </c>
      <c r="BN15" t="str">
        <f t="shared" si="9"/>
        <v/>
      </c>
      <c r="BO15" t="str">
        <f t="shared" si="10"/>
        <v/>
      </c>
      <c r="BP15" s="11"/>
      <c r="BQ15" s="11" t="str">
        <f t="shared" si="11"/>
        <v>r2</v>
      </c>
      <c r="BR15" s="6"/>
      <c r="BS15" t="str">
        <f t="shared" si="12"/>
        <v>Jeff_SloHot50_Biostat 2L-22-2</v>
      </c>
      <c r="BT15" s="9"/>
      <c r="BU15" s="5">
        <f t="shared" ref="BU15:BU37" si="22">BE15</f>
        <v>0</v>
      </c>
      <c r="BW15" s="6"/>
      <c r="BX15" s="6"/>
      <c r="BY15" s="6">
        <f>$BF$15-BF15</f>
        <v>0</v>
      </c>
      <c r="BZ15" s="6"/>
      <c r="CA15" s="6">
        <f t="shared" si="13"/>
        <v>0</v>
      </c>
      <c r="CB15" s="6"/>
      <c r="CC15" s="17"/>
      <c r="CD15" s="15"/>
      <c r="CE15" s="15"/>
      <c r="CG15" s="14"/>
      <c r="CH15" s="14"/>
    </row>
    <row r="16" spans="1:106" x14ac:dyDescent="0.2">
      <c r="A16" s="3"/>
      <c r="B16" s="3" t="s">
        <v>202</v>
      </c>
      <c r="C16" s="3">
        <v>1.585E-2</v>
      </c>
      <c r="D16" s="3" t="s">
        <v>167</v>
      </c>
      <c r="E16" s="3">
        <v>8.9716000000000005</v>
      </c>
      <c r="F16" s="3" t="s">
        <v>167</v>
      </c>
      <c r="G16" s="3" t="s">
        <v>167</v>
      </c>
      <c r="H16" s="3" t="s">
        <v>167</v>
      </c>
      <c r="I16" s="3" t="s">
        <v>167</v>
      </c>
      <c r="J16" s="3" t="s">
        <v>167</v>
      </c>
      <c r="K16" s="3" t="s">
        <v>167</v>
      </c>
      <c r="L16" s="3" t="s">
        <v>167</v>
      </c>
      <c r="M16" s="3"/>
      <c r="N16" s="3"/>
      <c r="P16" s="2">
        <v>45596</v>
      </c>
      <c r="Q16" s="31">
        <v>0.35416666666666669</v>
      </c>
      <c r="R16">
        <f>R14+12+3.5</f>
        <v>16.25</v>
      </c>
      <c r="S16" t="s">
        <v>37</v>
      </c>
      <c r="T16">
        <v>3</v>
      </c>
      <c r="V16" t="s">
        <v>23</v>
      </c>
      <c r="W16">
        <v>7.91</v>
      </c>
      <c r="X16">
        <v>28</v>
      </c>
      <c r="Y16">
        <v>6.7126000000000001</v>
      </c>
      <c r="Z16">
        <v>6.7542999999999997</v>
      </c>
      <c r="AA16">
        <v>8</v>
      </c>
      <c r="AB16">
        <v>4.1700000000000001E-2</v>
      </c>
      <c r="AC16">
        <v>5.2125000000000004</v>
      </c>
      <c r="AD16">
        <v>13.5</v>
      </c>
      <c r="AE16">
        <f>FAMES!N17</f>
        <v>0.8145</v>
      </c>
      <c r="AF16" s="45">
        <f t="shared" si="14"/>
        <v>6.0333333333333336E-2</v>
      </c>
      <c r="AG16">
        <f t="shared" si="15"/>
        <v>0.31448750000000003</v>
      </c>
      <c r="AI16" s="9">
        <f>$BF$14-BF16</f>
        <v>9.7213999999999885</v>
      </c>
      <c r="AJ16">
        <f t="shared" si="16"/>
        <v>0</v>
      </c>
      <c r="AK16" s="9">
        <f t="shared" si="17"/>
        <v>0</v>
      </c>
      <c r="AL16" s="8">
        <f t="shared" si="18"/>
        <v>0.32076923076923081</v>
      </c>
      <c r="AM16" s="8">
        <f t="shared" si="19"/>
        <v>0.5361882033451979</v>
      </c>
      <c r="AN16" s="46">
        <f>AG16/R16</f>
        <v>1.9353076923076924E-2</v>
      </c>
      <c r="AO16" s="45">
        <f t="shared" si="20"/>
        <v>3.2350021601826942E-2</v>
      </c>
      <c r="AP16">
        <f>BF14-BF16</f>
        <v>9.7213999999999885</v>
      </c>
      <c r="AQ16" s="8">
        <f>AP16/(R16-R14)</f>
        <v>0.62718709677419282</v>
      </c>
      <c r="AR16" s="8">
        <f>(AC16-AC14)/(AI16-AI14)</f>
        <v>0.51047174275310203</v>
      </c>
      <c r="AS16" s="9">
        <f>AR16/AQ16</f>
        <v>0.81390664026509463</v>
      </c>
      <c r="AT16" s="8">
        <f>(BE16-BE14)/(AI16-AI14)</f>
        <v>0</v>
      </c>
      <c r="AU16" s="40">
        <f>AT16/AP16</f>
        <v>0</v>
      </c>
      <c r="AV16" s="8"/>
      <c r="AW16" s="8">
        <f>AK16+AM16</f>
        <v>0.5361882033451979</v>
      </c>
      <c r="AX16" s="8"/>
      <c r="AY16" s="8"/>
      <c r="AZ16" s="8"/>
      <c r="BA16" s="8"/>
      <c r="BB16" s="8"/>
      <c r="BC16" s="8"/>
      <c r="BD16">
        <f t="shared" si="0"/>
        <v>0.1585</v>
      </c>
      <c r="BE16">
        <f t="shared" si="21"/>
        <v>0</v>
      </c>
      <c r="BF16">
        <f t="shared" si="1"/>
        <v>89.716000000000008</v>
      </c>
      <c r="BG16" t="str">
        <f t="shared" si="2"/>
        <v/>
      </c>
      <c r="BH16" t="str">
        <f t="shared" si="3"/>
        <v/>
      </c>
      <c r="BI16" t="str">
        <f t="shared" si="4"/>
        <v/>
      </c>
      <c r="BJ16" t="str">
        <f t="shared" si="5"/>
        <v/>
      </c>
      <c r="BK16" t="str">
        <f t="shared" si="6"/>
        <v/>
      </c>
      <c r="BL16" t="str">
        <f t="shared" si="7"/>
        <v/>
      </c>
      <c r="BM16" t="str">
        <f t="shared" si="8"/>
        <v/>
      </c>
      <c r="BN16" t="str">
        <f t="shared" si="9"/>
        <v/>
      </c>
      <c r="BO16" t="str">
        <f t="shared" si="10"/>
        <v/>
      </c>
      <c r="BP16" s="11"/>
      <c r="BQ16" s="11" t="str">
        <f t="shared" si="11"/>
        <v>r1</v>
      </c>
      <c r="BR16" s="6"/>
      <c r="BS16" t="str">
        <f t="shared" si="12"/>
        <v>Jeff_SloHot50_Biostat 2L-22-3</v>
      </c>
      <c r="BT16" s="9"/>
      <c r="BU16" s="5">
        <f t="shared" si="22"/>
        <v>0</v>
      </c>
      <c r="BV16" s="6"/>
      <c r="BW16" s="13"/>
      <c r="BX16" s="13"/>
      <c r="BY16" s="6">
        <f>$BF$14-BF16</f>
        <v>9.7213999999999885</v>
      </c>
      <c r="BZ16" s="6"/>
      <c r="CA16" s="6">
        <f t="shared" si="13"/>
        <v>0.59823999999999933</v>
      </c>
      <c r="CB16" s="6">
        <f>BY16-BY14</f>
        <v>9.7213999999999885</v>
      </c>
      <c r="CC16" s="17">
        <f t="shared" ref="CC16:CC21" si="23">CB16/(R16-R14)</f>
        <v>0.62718709677419282</v>
      </c>
      <c r="CD16" s="17">
        <f>AC16-AC14</f>
        <v>4.9625000000000004</v>
      </c>
      <c r="CE16" s="18">
        <f>CD16/CB16</f>
        <v>0.51047174275310203</v>
      </c>
      <c r="CF16" s="8"/>
      <c r="CG16" s="20"/>
      <c r="CH16" s="14"/>
      <c r="CI16" s="14"/>
      <c r="CN16" s="9"/>
      <c r="CO16" s="9"/>
      <c r="CP16" s="6"/>
      <c r="CQ16" s="6"/>
      <c r="CR16" s="6"/>
      <c r="CS16" s="9"/>
      <c r="CZ16" s="6"/>
      <c r="DA16" s="6"/>
      <c r="DB16" s="6"/>
    </row>
    <row r="17" spans="1:106" x14ac:dyDescent="0.2">
      <c r="A17" s="3"/>
      <c r="B17" s="3" t="s">
        <v>203</v>
      </c>
      <c r="C17" s="3">
        <v>9.2499999999999995E-3</v>
      </c>
      <c r="D17" s="3" t="s">
        <v>167</v>
      </c>
      <c r="E17" s="3">
        <v>9.8614800000000002</v>
      </c>
      <c r="F17" s="3" t="s">
        <v>167</v>
      </c>
      <c r="G17" s="3" t="s">
        <v>167</v>
      </c>
      <c r="H17" s="3" t="s">
        <v>167</v>
      </c>
      <c r="I17" s="3" t="s">
        <v>167</v>
      </c>
      <c r="J17" s="3" t="s">
        <v>167</v>
      </c>
      <c r="K17" s="3" t="s">
        <v>167</v>
      </c>
      <c r="L17" s="3" t="s">
        <v>167</v>
      </c>
      <c r="M17" s="3"/>
      <c r="N17" s="3"/>
      <c r="P17" s="2"/>
      <c r="Q17" s="31"/>
      <c r="R17">
        <f>R15+12+3.5</f>
        <v>16.25</v>
      </c>
      <c r="S17" t="s">
        <v>38</v>
      </c>
      <c r="T17">
        <v>4</v>
      </c>
      <c r="V17" t="s">
        <v>23</v>
      </c>
      <c r="W17">
        <v>1.24</v>
      </c>
      <c r="X17">
        <v>4</v>
      </c>
      <c r="Y17">
        <v>6.6825000000000001</v>
      </c>
      <c r="Z17">
        <v>6.6883999999999997</v>
      </c>
      <c r="AA17">
        <v>8</v>
      </c>
      <c r="AB17">
        <v>5.8999999999999999E-3</v>
      </c>
      <c r="AC17">
        <v>0.73750000000000004</v>
      </c>
      <c r="AD17">
        <v>1.7</v>
      </c>
      <c r="AE17">
        <f>FAMES!N18</f>
        <v>0.20300000000000001</v>
      </c>
      <c r="AF17" s="45">
        <f t="shared" si="14"/>
        <v>0.11941176470588237</v>
      </c>
      <c r="AG17">
        <f t="shared" si="15"/>
        <v>8.8066176470588259E-2</v>
      </c>
      <c r="AI17" s="9">
        <f>$BF$15-BF17</f>
        <v>0.77830000000001576</v>
      </c>
      <c r="AJ17">
        <f t="shared" si="16"/>
        <v>0</v>
      </c>
      <c r="AK17" s="9">
        <f t="shared" si="17"/>
        <v>0</v>
      </c>
      <c r="AL17" s="8">
        <f t="shared" si="18"/>
        <v>4.5384615384615384E-2</v>
      </c>
      <c r="AM17" s="8">
        <f t="shared" si="19"/>
        <v>0.94757805473465906</v>
      </c>
      <c r="AN17" s="46">
        <f t="shared" ref="AN17:AN31" si="24">AG17/R17</f>
        <v>5.4194570135746621E-3</v>
      </c>
      <c r="AO17" s="45">
        <f t="shared" si="20"/>
        <v>0.11315196771243284</v>
      </c>
      <c r="AP17">
        <f t="shared" ref="AP16:AP31" si="25">BF15-BF17</f>
        <v>0.77830000000001576</v>
      </c>
      <c r="AQ17" s="8">
        <f t="shared" ref="AQ17:AQ31" si="26">AP17/(R17-R15)</f>
        <v>5.0212903225807466E-2</v>
      </c>
      <c r="AR17" s="8">
        <f t="shared" ref="AR17:AR31" si="27">(AC17-AC15)/(AI17-AI15)</f>
        <v>0.32121289991005397</v>
      </c>
      <c r="AS17" s="9">
        <f t="shared" ref="AS17:AS31" si="28">AR17/AQ17</f>
        <v>6.3970190782548322</v>
      </c>
      <c r="AT17" s="8">
        <f t="shared" ref="AT17:AT31" si="29">(BE17-BE15)/(AI17-AI15)</f>
        <v>0</v>
      </c>
      <c r="AU17" s="40">
        <f t="shared" ref="AU17:AU31" si="30">AT17/AP17</f>
        <v>0</v>
      </c>
      <c r="AV17" s="8"/>
      <c r="AW17" s="8">
        <f t="shared" ref="AW17:AW31" si="31">AK17+AM17</f>
        <v>0.94757805473465906</v>
      </c>
      <c r="AX17" s="8"/>
      <c r="AY17" s="8"/>
      <c r="AZ17" s="8"/>
      <c r="BA17" s="8"/>
      <c r="BB17" s="8"/>
      <c r="BC17" s="8"/>
      <c r="BD17">
        <f t="shared" si="0"/>
        <v>9.2499999999999999E-2</v>
      </c>
      <c r="BE17">
        <f t="shared" si="21"/>
        <v>0</v>
      </c>
      <c r="BF17">
        <f t="shared" si="1"/>
        <v>98.614800000000002</v>
      </c>
      <c r="BG17" t="str">
        <f t="shared" si="2"/>
        <v/>
      </c>
      <c r="BH17" t="str">
        <f t="shared" si="3"/>
        <v/>
      </c>
      <c r="BI17" t="str">
        <f t="shared" si="4"/>
        <v/>
      </c>
      <c r="BJ17" t="str">
        <f t="shared" si="5"/>
        <v/>
      </c>
      <c r="BK17" t="str">
        <f t="shared" si="6"/>
        <v/>
      </c>
      <c r="BL17" t="str">
        <f t="shared" si="7"/>
        <v/>
      </c>
      <c r="BM17" t="str">
        <f t="shared" si="8"/>
        <v/>
      </c>
      <c r="BN17" t="str">
        <f t="shared" si="9"/>
        <v/>
      </c>
      <c r="BO17" t="str">
        <f t="shared" si="10"/>
        <v/>
      </c>
      <c r="BP17" s="11"/>
      <c r="BQ17" s="11" t="str">
        <f t="shared" si="11"/>
        <v>r2</v>
      </c>
      <c r="BR17" s="6"/>
      <c r="BS17" t="str">
        <f t="shared" si="12"/>
        <v>Jeff_SloHot50_Biostat 2L-22-4</v>
      </c>
      <c r="BT17" s="9"/>
      <c r="BU17" s="5">
        <f t="shared" si="22"/>
        <v>0</v>
      </c>
      <c r="BV17" s="6"/>
      <c r="BW17" s="13"/>
      <c r="BX17" s="13"/>
      <c r="BY17" s="6">
        <f>$BF$15-BF17</f>
        <v>0.77830000000001576</v>
      </c>
      <c r="BZ17" s="6"/>
      <c r="CA17" s="6">
        <f t="shared" si="13"/>
        <v>4.7895384615385582E-2</v>
      </c>
      <c r="CB17" s="6">
        <f t="shared" ref="CB17:CB25" si="32">BY17-BY15</f>
        <v>0.77830000000001576</v>
      </c>
      <c r="CC17" s="17">
        <f t="shared" si="23"/>
        <v>5.0212903225807466E-2</v>
      </c>
      <c r="CD17" s="17">
        <f>AC17-AC15</f>
        <v>0.25000000000000006</v>
      </c>
      <c r="CE17" s="18">
        <f>CD17/CB17</f>
        <v>0.32121289991005397</v>
      </c>
      <c r="CF17" s="8"/>
      <c r="CG17" s="20"/>
      <c r="CH17" s="20"/>
      <c r="CI17" s="14"/>
      <c r="CN17" s="9"/>
      <c r="CO17" s="9"/>
      <c r="CP17" s="6"/>
      <c r="CQ17" s="6"/>
      <c r="CR17" s="6"/>
      <c r="CS17" s="9"/>
      <c r="CZ17" s="6"/>
      <c r="DA17" s="6"/>
      <c r="DB17" s="6"/>
    </row>
    <row r="18" spans="1:106" x14ac:dyDescent="0.2">
      <c r="A18" s="3"/>
      <c r="B18" s="3" t="s">
        <v>204</v>
      </c>
      <c r="C18" s="3">
        <v>2.7820000000000001E-2</v>
      </c>
      <c r="D18" s="3">
        <v>2.5000000000000001E-2</v>
      </c>
      <c r="E18" s="3">
        <v>8.6679300000000001</v>
      </c>
      <c r="F18" s="3" t="s">
        <v>167</v>
      </c>
      <c r="G18" s="3" t="s">
        <v>167</v>
      </c>
      <c r="H18" s="3" t="s">
        <v>167</v>
      </c>
      <c r="I18" s="3" t="s">
        <v>167</v>
      </c>
      <c r="J18" s="3" t="s">
        <v>167</v>
      </c>
      <c r="K18" s="3" t="s">
        <v>167</v>
      </c>
      <c r="L18" s="3" t="s">
        <v>167</v>
      </c>
      <c r="M18" s="3"/>
      <c r="N18" s="3"/>
      <c r="P18" s="2"/>
      <c r="Q18" s="31">
        <v>0.53125</v>
      </c>
      <c r="R18">
        <f>R17+4+0.25</f>
        <v>20.5</v>
      </c>
      <c r="S18" t="s">
        <v>37</v>
      </c>
      <c r="T18">
        <v>5</v>
      </c>
      <c r="V18" t="s">
        <v>23</v>
      </c>
      <c r="W18">
        <v>13.24</v>
      </c>
      <c r="X18">
        <v>29</v>
      </c>
      <c r="Y18">
        <v>6.7449000000000003</v>
      </c>
      <c r="Z18">
        <v>6.8002000000000002</v>
      </c>
      <c r="AA18">
        <v>8</v>
      </c>
      <c r="AB18">
        <v>5.5300000000000002E-2</v>
      </c>
      <c r="AC18">
        <v>6.9124999999999996</v>
      </c>
      <c r="AD18">
        <v>12.3</v>
      </c>
      <c r="AE18">
        <f>FAMES!N19</f>
        <v>0.81849999999999989</v>
      </c>
      <c r="AF18" s="45">
        <f t="shared" si="14"/>
        <v>6.6544715447154457E-2</v>
      </c>
      <c r="AG18">
        <f t="shared" si="15"/>
        <v>0.45999034552845514</v>
      </c>
      <c r="AI18" s="9">
        <f>$BF$14-BF18</f>
        <v>12.758099999999999</v>
      </c>
      <c r="AJ18">
        <f t="shared" si="16"/>
        <v>1.2195121951219513E-2</v>
      </c>
      <c r="AK18" s="9">
        <f t="shared" si="17"/>
        <v>1.9595394298524076E-2</v>
      </c>
      <c r="AL18" s="8">
        <f t="shared" si="18"/>
        <v>0.33719512195121948</v>
      </c>
      <c r="AM18" s="8">
        <f t="shared" si="19"/>
        <v>0.54181265235419074</v>
      </c>
      <c r="AN18" s="46">
        <f t="shared" si="24"/>
        <v>2.2438553440412446E-2</v>
      </c>
      <c r="AO18" s="45">
        <f t="shared" si="20"/>
        <v>3.6054768776577636E-2</v>
      </c>
      <c r="AP18">
        <f t="shared" si="25"/>
        <v>3.0367000000000104</v>
      </c>
      <c r="AQ18" s="8">
        <f t="shared" si="26"/>
        <v>0.71451764705882592</v>
      </c>
      <c r="AR18" s="8">
        <f t="shared" si="27"/>
        <v>0.55981822372970447</v>
      </c>
      <c r="AS18" s="9">
        <f t="shared" si="28"/>
        <v>0.78349110904970398</v>
      </c>
      <c r="AT18" s="8">
        <f t="shared" si="29"/>
        <v>8.2326209372015388E-2</v>
      </c>
      <c r="AU18" s="40">
        <f t="shared" si="30"/>
        <v>2.711041899825966E-2</v>
      </c>
      <c r="AV18" s="8"/>
      <c r="AW18" s="8">
        <f t="shared" si="31"/>
        <v>0.56140804665271482</v>
      </c>
      <c r="AX18" s="8"/>
      <c r="AY18" s="8"/>
      <c r="AZ18" s="8"/>
      <c r="BA18" s="8"/>
      <c r="BB18" s="8"/>
      <c r="BC18" s="8"/>
      <c r="BD18">
        <f t="shared" si="0"/>
        <v>0.2782</v>
      </c>
      <c r="BE18">
        <f t="shared" si="21"/>
        <v>0.25</v>
      </c>
      <c r="BF18">
        <f t="shared" si="1"/>
        <v>86.679299999999998</v>
      </c>
      <c r="BG18" t="str">
        <f t="shared" si="2"/>
        <v/>
      </c>
      <c r="BH18" t="str">
        <f t="shared" si="3"/>
        <v/>
      </c>
      <c r="BI18" t="str">
        <f t="shared" si="4"/>
        <v/>
      </c>
      <c r="BJ18" t="str">
        <f t="shared" si="5"/>
        <v/>
      </c>
      <c r="BK18" t="str">
        <f t="shared" si="6"/>
        <v/>
      </c>
      <c r="BL18" t="str">
        <f t="shared" si="7"/>
        <v/>
      </c>
      <c r="BM18" t="str">
        <f t="shared" si="8"/>
        <v/>
      </c>
      <c r="BN18" t="str">
        <f t="shared" si="9"/>
        <v/>
      </c>
      <c r="BO18" t="str">
        <f t="shared" si="10"/>
        <v/>
      </c>
      <c r="BP18" s="11"/>
      <c r="BQ18" s="11" t="str">
        <f t="shared" si="11"/>
        <v>r1</v>
      </c>
      <c r="BR18" s="6"/>
      <c r="BS18" t="str">
        <f t="shared" si="12"/>
        <v>Jeff_SloHot50_Biostat 2L-22-5</v>
      </c>
      <c r="BT18" s="9"/>
      <c r="BU18" s="5">
        <f t="shared" si="22"/>
        <v>0.25</v>
      </c>
      <c r="BV18" s="6"/>
      <c r="BW18" s="13"/>
      <c r="BX18" s="6"/>
      <c r="BY18" s="6">
        <f>$BF$14-BF18</f>
        <v>12.758099999999999</v>
      </c>
      <c r="BZ18" s="6"/>
      <c r="CA18" s="6">
        <f t="shared" si="13"/>
        <v>0.62234634146341461</v>
      </c>
      <c r="CB18" s="6">
        <f t="shared" si="32"/>
        <v>3.0367000000000104</v>
      </c>
      <c r="CC18" s="17">
        <f t="shared" si="23"/>
        <v>0.71451764705882592</v>
      </c>
      <c r="CD18" s="17"/>
      <c r="CE18" s="18"/>
      <c r="CF18" s="8"/>
      <c r="CG18" s="20"/>
      <c r="CH18" s="20"/>
      <c r="CI18" s="8"/>
      <c r="CN18" s="9"/>
      <c r="CO18" s="9"/>
      <c r="CP18" s="6"/>
      <c r="CQ18" s="6"/>
      <c r="CR18" s="6"/>
      <c r="CS18" s="9"/>
      <c r="CT18" s="9"/>
      <c r="CU18" s="9"/>
      <c r="CZ18" s="6"/>
      <c r="DA18" s="6"/>
      <c r="DB18" s="6"/>
    </row>
    <row r="19" spans="1:106" x14ac:dyDescent="0.2">
      <c r="A19" s="3"/>
      <c r="B19" s="3" t="s">
        <v>205</v>
      </c>
      <c r="C19" s="3">
        <v>1.3259999999999999E-2</v>
      </c>
      <c r="D19" s="3" t="s">
        <v>167</v>
      </c>
      <c r="E19" s="3">
        <v>9.6959800000000005</v>
      </c>
      <c r="F19" s="3" t="s">
        <v>167</v>
      </c>
      <c r="G19" s="3" t="s">
        <v>167</v>
      </c>
      <c r="H19" s="3" t="s">
        <v>167</v>
      </c>
      <c r="I19" s="3" t="s">
        <v>167</v>
      </c>
      <c r="J19" s="3" t="s">
        <v>167</v>
      </c>
      <c r="K19" s="3" t="s">
        <v>167</v>
      </c>
      <c r="L19" s="3" t="s">
        <v>167</v>
      </c>
      <c r="M19" s="3"/>
      <c r="N19" s="3"/>
      <c r="P19" s="2"/>
      <c r="Q19" s="31"/>
      <c r="R19">
        <f>R18</f>
        <v>20.5</v>
      </c>
      <c r="S19" t="s">
        <v>38</v>
      </c>
      <c r="T19">
        <v>6</v>
      </c>
      <c r="V19" t="s">
        <v>23</v>
      </c>
      <c r="W19">
        <v>2.08</v>
      </c>
      <c r="X19">
        <v>9</v>
      </c>
      <c r="Y19">
        <v>6.6885000000000003</v>
      </c>
      <c r="Z19">
        <v>6.7028999999999996</v>
      </c>
      <c r="AA19">
        <v>8</v>
      </c>
      <c r="AB19">
        <v>1.44E-2</v>
      </c>
      <c r="AC19">
        <v>1.8</v>
      </c>
      <c r="AD19">
        <v>5.6</v>
      </c>
      <c r="AE19">
        <f>FAMES!N20</f>
        <v>0.29700000000000004</v>
      </c>
      <c r="AF19" s="45">
        <f t="shared" si="14"/>
        <v>5.3035714285714297E-2</v>
      </c>
      <c r="AG19">
        <f t="shared" si="15"/>
        <v>9.5464285714285738E-2</v>
      </c>
      <c r="AI19" s="9">
        <f>$BF$15-BF19</f>
        <v>2.4333000000000027</v>
      </c>
      <c r="AJ19">
        <f t="shared" si="16"/>
        <v>0</v>
      </c>
      <c r="AK19" s="9">
        <f t="shared" si="17"/>
        <v>0</v>
      </c>
      <c r="AL19" s="8">
        <f t="shared" si="18"/>
        <v>8.7804878048780496E-2</v>
      </c>
      <c r="AM19" s="8">
        <f t="shared" si="19"/>
        <v>0.7397361607693248</v>
      </c>
      <c r="AN19" s="46">
        <f t="shared" si="24"/>
        <v>4.6567944250871093E-3</v>
      </c>
      <c r="AO19" s="45">
        <f t="shared" si="20"/>
        <v>3.9232435669373129E-2</v>
      </c>
      <c r="AP19">
        <f t="shared" si="25"/>
        <v>1.6549999999999869</v>
      </c>
      <c r="AQ19" s="8">
        <f t="shared" si="26"/>
        <v>0.38941176470587929</v>
      </c>
      <c r="AR19" s="8">
        <f t="shared" si="27"/>
        <v>0.64199395770393253</v>
      </c>
      <c r="AS19" s="9">
        <f t="shared" si="28"/>
        <v>1.6486249669134347</v>
      </c>
      <c r="AT19" s="8">
        <f t="shared" si="29"/>
        <v>0</v>
      </c>
      <c r="AU19" s="40">
        <f t="shared" si="30"/>
        <v>0</v>
      </c>
      <c r="AV19" s="8"/>
      <c r="AW19" s="8">
        <f t="shared" si="31"/>
        <v>0.7397361607693248</v>
      </c>
      <c r="AX19" s="8"/>
      <c r="AY19" s="8"/>
      <c r="AZ19" s="8"/>
      <c r="BA19" s="8"/>
      <c r="BB19" s="8"/>
      <c r="BC19" s="8"/>
      <c r="BD19">
        <f t="shared" si="0"/>
        <v>0.1326</v>
      </c>
      <c r="BE19">
        <f>IF(ISNUMBER(D19),D19*1000/100,0)</f>
        <v>0</v>
      </c>
      <c r="BF19">
        <f t="shared" si="1"/>
        <v>96.959800000000016</v>
      </c>
      <c r="BG19" t="str">
        <f t="shared" si="2"/>
        <v/>
      </c>
      <c r="BH19" t="str">
        <f t="shared" si="3"/>
        <v/>
      </c>
      <c r="BI19" t="str">
        <f t="shared" si="4"/>
        <v/>
      </c>
      <c r="BJ19" t="str">
        <f t="shared" si="5"/>
        <v/>
      </c>
      <c r="BK19" t="str">
        <f t="shared" si="6"/>
        <v/>
      </c>
      <c r="BL19" t="str">
        <f t="shared" si="7"/>
        <v/>
      </c>
      <c r="BM19" t="str">
        <f t="shared" si="8"/>
        <v/>
      </c>
      <c r="BN19" t="str">
        <f t="shared" si="9"/>
        <v/>
      </c>
      <c r="BO19" t="str">
        <f t="shared" si="10"/>
        <v/>
      </c>
      <c r="BP19" s="11"/>
      <c r="BQ19" s="11" t="str">
        <f t="shared" si="11"/>
        <v>r2</v>
      </c>
      <c r="BR19" s="6"/>
      <c r="BS19" t="str">
        <f t="shared" si="12"/>
        <v>Jeff_SloHot50_Biostat 2L-22-6</v>
      </c>
      <c r="BT19" s="9"/>
      <c r="BU19" s="5">
        <f t="shared" si="22"/>
        <v>0</v>
      </c>
      <c r="BV19" s="6"/>
      <c r="BW19" s="13"/>
      <c r="BX19" s="6"/>
      <c r="BY19" s="6">
        <f>$BF$15-BF19</f>
        <v>2.4333000000000027</v>
      </c>
      <c r="BZ19" s="6"/>
      <c r="CA19" s="6">
        <f t="shared" si="13"/>
        <v>0.11869756097560989</v>
      </c>
      <c r="CB19" s="6">
        <f t="shared" si="32"/>
        <v>1.6549999999999869</v>
      </c>
      <c r="CC19" s="17">
        <f t="shared" si="23"/>
        <v>0.38941176470587929</v>
      </c>
      <c r="CD19" s="17"/>
      <c r="CE19" s="18"/>
      <c r="CF19" s="8"/>
      <c r="CG19" s="20"/>
      <c r="CH19" s="20"/>
      <c r="CI19" s="8"/>
      <c r="CN19" s="9"/>
      <c r="CO19" s="9"/>
      <c r="CP19" s="6"/>
      <c r="CQ19" s="6"/>
      <c r="CR19" s="6"/>
      <c r="CS19" s="9"/>
      <c r="CT19" s="9"/>
      <c r="CU19" s="9"/>
      <c r="CZ19" s="6"/>
      <c r="DA19" s="6"/>
      <c r="DB19" s="6"/>
    </row>
    <row r="20" spans="1:106" x14ac:dyDescent="0.2">
      <c r="B20" s="3" t="s">
        <v>206</v>
      </c>
      <c r="C20" s="3">
        <v>2.7900000000000001E-2</v>
      </c>
      <c r="D20" s="3">
        <v>0.12189</v>
      </c>
      <c r="E20" s="3">
        <v>8.2517600000000009</v>
      </c>
      <c r="F20" s="3" t="s">
        <v>167</v>
      </c>
      <c r="G20" s="3" t="s">
        <v>167</v>
      </c>
      <c r="H20" s="3" t="s">
        <v>167</v>
      </c>
      <c r="I20" s="3" t="s">
        <v>167</v>
      </c>
      <c r="J20" s="3" t="s">
        <v>167</v>
      </c>
      <c r="K20" s="3" t="s">
        <v>167</v>
      </c>
      <c r="L20" s="3" t="s">
        <v>167</v>
      </c>
      <c r="M20" s="3"/>
      <c r="N20" s="3"/>
      <c r="P20" s="2"/>
      <c r="Q20" s="31">
        <v>0.75</v>
      </c>
      <c r="R20">
        <f>R18+5+0.25</f>
        <v>25.75</v>
      </c>
      <c r="S20" t="s">
        <v>37</v>
      </c>
      <c r="T20">
        <v>7</v>
      </c>
      <c r="V20" t="s">
        <v>23</v>
      </c>
      <c r="W20">
        <v>17.68</v>
      </c>
      <c r="X20">
        <v>33</v>
      </c>
      <c r="Y20">
        <v>6.7061999999999999</v>
      </c>
      <c r="Z20">
        <v>6.7797999999999998</v>
      </c>
      <c r="AA20">
        <v>8</v>
      </c>
      <c r="AB20">
        <v>7.3599999999999999E-2</v>
      </c>
      <c r="AC20">
        <v>9.1999999999999993</v>
      </c>
      <c r="AD20">
        <v>13.7</v>
      </c>
      <c r="AE20">
        <f>FAMES!N21</f>
        <v>1.0755000000000001</v>
      </c>
      <c r="AF20" s="45">
        <f t="shared" si="14"/>
        <v>7.8503649635036504E-2</v>
      </c>
      <c r="AG20">
        <f t="shared" si="15"/>
        <v>0.72223357664233578</v>
      </c>
      <c r="AI20" s="9">
        <f>$BF$14-BF20</f>
        <v>16.919799999999995</v>
      </c>
      <c r="AJ20">
        <f t="shared" si="16"/>
        <v>4.7335922330097091E-2</v>
      </c>
      <c r="AK20" s="9">
        <f t="shared" si="17"/>
        <v>7.2039858627170564E-2</v>
      </c>
      <c r="AL20" s="8">
        <f t="shared" si="18"/>
        <v>0.35728155339805823</v>
      </c>
      <c r="AM20" s="8">
        <f t="shared" si="19"/>
        <v>0.5437416517925745</v>
      </c>
      <c r="AN20" s="46">
        <f t="shared" si="24"/>
        <v>2.8047905889022749E-2</v>
      </c>
      <c r="AO20" s="45">
        <f t="shared" si="20"/>
        <v>4.268570412430029E-2</v>
      </c>
      <c r="AP20">
        <f t="shared" si="25"/>
        <v>4.1616999999999962</v>
      </c>
      <c r="AQ20" s="8">
        <f t="shared" si="26"/>
        <v>0.79270476190476113</v>
      </c>
      <c r="AR20" s="8">
        <f t="shared" si="27"/>
        <v>0.54965518898527088</v>
      </c>
      <c r="AS20" s="9">
        <f t="shared" si="28"/>
        <v>0.6933920614587008</v>
      </c>
      <c r="AT20" s="8">
        <f t="shared" si="29"/>
        <v>0.23281351370834058</v>
      </c>
      <c r="AU20" s="40">
        <f t="shared" si="30"/>
        <v>5.5941926065872311E-2</v>
      </c>
      <c r="AV20" s="8"/>
      <c r="AW20" s="8">
        <f t="shared" si="31"/>
        <v>0.61578151041974505</v>
      </c>
      <c r="AX20" s="8"/>
      <c r="AY20" s="8"/>
      <c r="AZ20" s="8"/>
      <c r="BA20" s="8"/>
      <c r="BB20" s="8"/>
      <c r="BC20" s="8"/>
      <c r="BD20">
        <f t="shared" si="0"/>
        <v>0.27900000000000003</v>
      </c>
      <c r="BE20">
        <f t="shared" si="21"/>
        <v>1.2189000000000001</v>
      </c>
      <c r="BF20">
        <f t="shared" si="1"/>
        <v>82.517600000000002</v>
      </c>
      <c r="BG20" t="str">
        <f t="shared" si="2"/>
        <v/>
      </c>
      <c r="BH20" t="str">
        <f t="shared" si="3"/>
        <v/>
      </c>
      <c r="BI20" t="str">
        <f t="shared" si="4"/>
        <v/>
      </c>
      <c r="BJ20" t="str">
        <f t="shared" si="5"/>
        <v/>
      </c>
      <c r="BK20" t="str">
        <f t="shared" si="6"/>
        <v/>
      </c>
      <c r="BL20" t="str">
        <f t="shared" si="7"/>
        <v/>
      </c>
      <c r="BM20" t="str">
        <f t="shared" si="8"/>
        <v/>
      </c>
      <c r="BN20" t="str">
        <f t="shared" si="9"/>
        <v/>
      </c>
      <c r="BO20" t="str">
        <f t="shared" si="10"/>
        <v/>
      </c>
      <c r="BP20" s="11"/>
      <c r="BQ20" s="11" t="str">
        <f t="shared" si="11"/>
        <v>r1</v>
      </c>
      <c r="BR20" s="6"/>
      <c r="BS20" t="str">
        <f t="shared" si="12"/>
        <v>Jeff_SloHot50_Biostat 2L-22-7</v>
      </c>
      <c r="BT20" s="9"/>
      <c r="BU20" s="5">
        <f t="shared" si="22"/>
        <v>1.2189000000000001</v>
      </c>
      <c r="BV20" s="6"/>
      <c r="BW20" s="13"/>
      <c r="BX20" s="6"/>
      <c r="BY20" s="6">
        <f>$BF$14-BF20</f>
        <v>16.919799999999995</v>
      </c>
      <c r="BZ20" s="6"/>
      <c r="CA20" s="6">
        <f t="shared" si="13"/>
        <v>0.65707961165048523</v>
      </c>
      <c r="CB20" s="6">
        <f t="shared" si="32"/>
        <v>4.1616999999999962</v>
      </c>
      <c r="CC20" s="17">
        <f t="shared" si="23"/>
        <v>0.79270476190476113</v>
      </c>
      <c r="CD20" s="17"/>
      <c r="CE20" s="18"/>
      <c r="CF20" s="8"/>
      <c r="CG20" s="20"/>
      <c r="CH20" s="20"/>
      <c r="CI20" s="8"/>
      <c r="CN20" s="8"/>
      <c r="CO20" s="9"/>
      <c r="CP20" s="6"/>
      <c r="CQ20" s="6"/>
      <c r="CR20" s="6"/>
      <c r="CS20" s="9"/>
      <c r="CT20" s="9"/>
      <c r="CU20" s="9"/>
      <c r="CZ20" s="6"/>
      <c r="DA20" s="6"/>
      <c r="DB20" s="6"/>
    </row>
    <row r="21" spans="1:106" x14ac:dyDescent="0.2">
      <c r="B21" s="3" t="s">
        <v>207</v>
      </c>
      <c r="C21" s="3">
        <v>2.085E-2</v>
      </c>
      <c r="D21" s="3" t="s">
        <v>167</v>
      </c>
      <c r="E21" s="3">
        <v>9.4529200000000007</v>
      </c>
      <c r="F21" s="3" t="s">
        <v>167</v>
      </c>
      <c r="G21" s="3" t="s">
        <v>167</v>
      </c>
      <c r="H21" s="3" t="s">
        <v>167</v>
      </c>
      <c r="I21" s="3" t="s">
        <v>167</v>
      </c>
      <c r="J21" s="3" t="s">
        <v>167</v>
      </c>
      <c r="K21" s="3" t="s">
        <v>167</v>
      </c>
      <c r="L21" s="3" t="s">
        <v>167</v>
      </c>
      <c r="M21" s="3"/>
      <c r="N21" s="3"/>
      <c r="P21" s="2"/>
      <c r="Q21" s="31"/>
      <c r="R21">
        <f>R19+5+0.25</f>
        <v>25.75</v>
      </c>
      <c r="S21" t="s">
        <v>38</v>
      </c>
      <c r="T21">
        <v>8</v>
      </c>
      <c r="V21" t="s">
        <v>23</v>
      </c>
      <c r="W21">
        <v>5.8</v>
      </c>
      <c r="X21">
        <v>12</v>
      </c>
      <c r="Y21">
        <v>6.6623000000000001</v>
      </c>
      <c r="Z21">
        <v>6.6954000000000002</v>
      </c>
      <c r="AA21">
        <v>8</v>
      </c>
      <c r="AB21">
        <v>3.3099999999999997E-2</v>
      </c>
      <c r="AC21">
        <v>4.1375000000000002</v>
      </c>
      <c r="AD21">
        <v>19.100000000000001</v>
      </c>
      <c r="AE21">
        <f>FAMES!N22</f>
        <v>0.86849999999999994</v>
      </c>
      <c r="AF21" s="45">
        <f t="shared" si="14"/>
        <v>4.5471204188481669E-2</v>
      </c>
      <c r="AG21">
        <f t="shared" si="15"/>
        <v>0.1881371073298429</v>
      </c>
      <c r="AI21" s="9">
        <f>$BF$15-BF21</f>
        <v>4.8639000000000152</v>
      </c>
      <c r="AJ21">
        <f t="shared" si="16"/>
        <v>0</v>
      </c>
      <c r="AK21" s="9">
        <f t="shared" si="17"/>
        <v>0</v>
      </c>
      <c r="AL21" s="8">
        <f t="shared" si="18"/>
        <v>0.16067961165048544</v>
      </c>
      <c r="AM21" s="8">
        <f t="shared" si="19"/>
        <v>0.85065482431793149</v>
      </c>
      <c r="AN21" s="46">
        <f t="shared" si="24"/>
        <v>7.3062954302851608E-3</v>
      </c>
      <c r="AO21" s="45">
        <f t="shared" si="20"/>
        <v>3.8680299210477664E-2</v>
      </c>
      <c r="AP21">
        <f t="shared" si="25"/>
        <v>2.4306000000000125</v>
      </c>
      <c r="AQ21" s="8">
        <f t="shared" si="26"/>
        <v>0.46297142857143098</v>
      </c>
      <c r="AR21" s="8">
        <f t="shared" si="27"/>
        <v>0.96169670040318778</v>
      </c>
      <c r="AS21" s="9">
        <f>AR21/AQ21</f>
        <v>2.0772268892934704</v>
      </c>
      <c r="AT21" s="8">
        <f t="shared" si="29"/>
        <v>0</v>
      </c>
      <c r="AU21" s="40">
        <f t="shared" si="30"/>
        <v>0</v>
      </c>
      <c r="AV21" s="8"/>
      <c r="AW21" s="8">
        <f t="shared" si="31"/>
        <v>0.85065482431793149</v>
      </c>
      <c r="AX21" s="8"/>
      <c r="AY21" s="8"/>
      <c r="AZ21" s="8"/>
      <c r="BA21" s="8"/>
      <c r="BB21" s="8"/>
      <c r="BC21" s="8"/>
      <c r="BD21">
        <f t="shared" si="0"/>
        <v>0.20850000000000002</v>
      </c>
      <c r="BE21">
        <f t="shared" si="21"/>
        <v>0</v>
      </c>
      <c r="BF21">
        <f t="shared" si="1"/>
        <v>94.529200000000003</v>
      </c>
      <c r="BG21" t="str">
        <f t="shared" si="2"/>
        <v/>
      </c>
      <c r="BH21" t="str">
        <f t="shared" si="3"/>
        <v/>
      </c>
      <c r="BI21" t="str">
        <f t="shared" si="4"/>
        <v/>
      </c>
      <c r="BJ21" t="str">
        <f t="shared" si="5"/>
        <v/>
      </c>
      <c r="BK21" t="str">
        <f t="shared" si="6"/>
        <v/>
      </c>
      <c r="BL21" t="str">
        <f t="shared" si="7"/>
        <v/>
      </c>
      <c r="BM21" t="str">
        <f t="shared" si="8"/>
        <v/>
      </c>
      <c r="BN21" t="str">
        <f t="shared" si="9"/>
        <v/>
      </c>
      <c r="BO21" t="str">
        <f t="shared" si="10"/>
        <v/>
      </c>
      <c r="BP21" s="11"/>
      <c r="BQ21" s="11" t="str">
        <f t="shared" si="11"/>
        <v>r2</v>
      </c>
      <c r="BR21" s="6"/>
      <c r="BS21" t="str">
        <f t="shared" si="12"/>
        <v>Jeff_SloHot50_Biostat 2L-22-8</v>
      </c>
      <c r="BT21" s="9"/>
      <c r="BU21" s="5">
        <f t="shared" si="22"/>
        <v>0</v>
      </c>
      <c r="BV21" s="6"/>
      <c r="BW21" s="13"/>
      <c r="BX21" s="6"/>
      <c r="BY21" s="6">
        <f>$BF$15-BF21</f>
        <v>4.8639000000000152</v>
      </c>
      <c r="BZ21" s="6"/>
      <c r="CA21" s="6">
        <f t="shared" si="13"/>
        <v>0.1888893203883501</v>
      </c>
      <c r="CB21" s="6">
        <f t="shared" si="32"/>
        <v>2.4306000000000125</v>
      </c>
      <c r="CC21" s="17">
        <f t="shared" si="23"/>
        <v>0.46297142857143098</v>
      </c>
      <c r="CD21" s="17"/>
      <c r="CE21" s="18"/>
      <c r="CF21" s="8"/>
      <c r="CG21" s="20"/>
      <c r="CH21" s="20"/>
      <c r="CI21" s="8"/>
      <c r="CN21" s="8"/>
      <c r="CO21" s="9"/>
      <c r="CP21" s="6"/>
      <c r="CQ21" s="6"/>
      <c r="CR21" s="6"/>
      <c r="CS21" s="9"/>
      <c r="CT21" s="9"/>
      <c r="CU21" s="9"/>
      <c r="CZ21" s="6"/>
      <c r="DA21" s="6"/>
      <c r="DB21" s="6"/>
    </row>
    <row r="22" spans="1:106" x14ac:dyDescent="0.2">
      <c r="B22" s="3" t="s">
        <v>208</v>
      </c>
      <c r="C22" s="3">
        <v>2.9960000000000001E-2</v>
      </c>
      <c r="D22" s="3">
        <v>0.55422000000000005</v>
      </c>
      <c r="E22" s="3">
        <v>7.3547700000000003</v>
      </c>
      <c r="F22" s="3" t="s">
        <v>167</v>
      </c>
      <c r="G22" s="3" t="s">
        <v>167</v>
      </c>
      <c r="H22" s="3" t="s">
        <v>167</v>
      </c>
      <c r="I22" s="3" t="s">
        <v>167</v>
      </c>
      <c r="J22" s="3" t="s">
        <v>167</v>
      </c>
      <c r="K22" s="3" t="s">
        <v>167</v>
      </c>
      <c r="L22" s="3" t="s">
        <v>167</v>
      </c>
      <c r="M22" s="3"/>
      <c r="N22" s="3"/>
      <c r="P22" s="2">
        <v>45597</v>
      </c>
      <c r="Q22" s="31">
        <v>0.3125</v>
      </c>
      <c r="R22">
        <f>R20+12+1.5</f>
        <v>39.25</v>
      </c>
      <c r="S22" t="s">
        <v>37</v>
      </c>
      <c r="T22">
        <v>9</v>
      </c>
      <c r="V22" t="s">
        <v>23</v>
      </c>
      <c r="W22">
        <v>23.88</v>
      </c>
      <c r="X22">
        <v>49</v>
      </c>
      <c r="Y22">
        <v>7.1311999999999998</v>
      </c>
      <c r="Z22">
        <v>7.2228000000000003</v>
      </c>
      <c r="AA22">
        <v>8</v>
      </c>
      <c r="AB22">
        <v>9.1600000000000001E-2</v>
      </c>
      <c r="AC22">
        <v>11.45</v>
      </c>
      <c r="AD22">
        <v>17.7</v>
      </c>
      <c r="AE22">
        <f>FAMES!N23</f>
        <v>2.1605000000000003</v>
      </c>
      <c r="AF22" s="45">
        <f t="shared" si="14"/>
        <v>0.12206214689265539</v>
      </c>
      <c r="AG22">
        <f t="shared" si="15"/>
        <v>1.3976115819209041</v>
      </c>
      <c r="AI22" s="9">
        <f>$BF$14-BF22</f>
        <v>25.889699999999991</v>
      </c>
      <c r="AJ22">
        <f t="shared" si="16"/>
        <v>0.14120254777070065</v>
      </c>
      <c r="AK22" s="9">
        <f t="shared" si="17"/>
        <v>0.21406968794539921</v>
      </c>
      <c r="AL22" s="8">
        <f t="shared" si="18"/>
        <v>0.29171974522292993</v>
      </c>
      <c r="AM22" s="8">
        <f t="shared" si="19"/>
        <v>0.44226082187124621</v>
      </c>
      <c r="AN22" s="46">
        <f t="shared" si="24"/>
        <v>3.5607938392889275E-2</v>
      </c>
      <c r="AO22" s="45">
        <f t="shared" si="20"/>
        <v>5.3983305404114557E-2</v>
      </c>
      <c r="AP22">
        <f t="shared" si="25"/>
        <v>8.9698999999999955</v>
      </c>
      <c r="AQ22" s="8">
        <f t="shared" si="26"/>
        <v>0.66443703703703672</v>
      </c>
      <c r="AR22" s="8">
        <f t="shared" si="27"/>
        <v>0.25083891682181531</v>
      </c>
      <c r="AS22" s="9">
        <f t="shared" si="28"/>
        <v>0.37752097315404948</v>
      </c>
      <c r="AT22" s="8">
        <f t="shared" si="29"/>
        <v>0.48197861737589071</v>
      </c>
      <c r="AU22" s="40">
        <f t="shared" si="30"/>
        <v>5.3732886361708705E-2</v>
      </c>
      <c r="AV22" s="8"/>
      <c r="AW22" s="8">
        <f t="shared" si="31"/>
        <v>0.65633050981664542</v>
      </c>
      <c r="AX22" s="8"/>
      <c r="AY22" s="8"/>
      <c r="AZ22" s="8"/>
      <c r="BA22" s="8"/>
      <c r="BB22" s="8"/>
      <c r="BC22" s="8"/>
      <c r="BD22">
        <f t="shared" si="0"/>
        <v>0.29960000000000003</v>
      </c>
      <c r="BE22">
        <f t="shared" si="21"/>
        <v>5.5422000000000002</v>
      </c>
      <c r="BF22">
        <f t="shared" si="1"/>
        <v>73.547700000000006</v>
      </c>
      <c r="BG22" t="str">
        <f t="shared" si="2"/>
        <v/>
      </c>
      <c r="BH22" t="str">
        <f t="shared" si="3"/>
        <v/>
      </c>
      <c r="BI22" t="str">
        <f t="shared" si="4"/>
        <v/>
      </c>
      <c r="BJ22" t="str">
        <f t="shared" si="5"/>
        <v/>
      </c>
      <c r="BK22" t="str">
        <f t="shared" si="6"/>
        <v/>
      </c>
      <c r="BL22" t="str">
        <f t="shared" si="7"/>
        <v/>
      </c>
      <c r="BM22" t="str">
        <f t="shared" si="8"/>
        <v/>
      </c>
      <c r="BN22" t="str">
        <f t="shared" si="9"/>
        <v/>
      </c>
      <c r="BO22" t="str">
        <f t="shared" si="10"/>
        <v/>
      </c>
      <c r="BP22" s="11"/>
      <c r="BQ22" s="11" t="str">
        <f t="shared" ref="BQ22:BQ29" si="33">S24</f>
        <v>r1</v>
      </c>
      <c r="BR22" s="6"/>
      <c r="BS22" t="str">
        <f t="shared" si="12"/>
        <v>Jeff_SloHot50_Biostat 2L-22-9</v>
      </c>
      <c r="BT22" s="9"/>
      <c r="BU22" s="5">
        <f t="shared" si="22"/>
        <v>5.5422000000000002</v>
      </c>
      <c r="BV22" s="6"/>
      <c r="BW22" s="6"/>
      <c r="BX22" s="6"/>
      <c r="BY22" s="6">
        <f>$BF$14-BF22</f>
        <v>25.889699999999991</v>
      </c>
      <c r="BZ22" s="6"/>
      <c r="CA22" s="6">
        <f t="shared" ref="CA22:CA29" si="34">BY22/R24</f>
        <v>0.54504631578947349</v>
      </c>
      <c r="CB22" s="6">
        <f t="shared" si="32"/>
        <v>8.9698999999999955</v>
      </c>
      <c r="CC22" s="17">
        <f>CB22/(R24-R20)</f>
        <v>0.41240919540229865</v>
      </c>
      <c r="CD22" s="17">
        <f>AC22-AC16</f>
        <v>6.2374999999999989</v>
      </c>
      <c r="CE22" s="18">
        <f>CD22/CB22</f>
        <v>0.69538121941158793</v>
      </c>
      <c r="CF22" s="8"/>
      <c r="CG22" s="20"/>
      <c r="CH22" s="20"/>
      <c r="CI22" s="8"/>
      <c r="CN22" s="8"/>
      <c r="CO22" s="9"/>
      <c r="CP22" s="6"/>
      <c r="CQ22" s="6"/>
      <c r="CR22" s="6"/>
      <c r="CS22" s="9"/>
      <c r="CT22" s="9"/>
      <c r="CU22" s="9"/>
      <c r="CZ22" s="6"/>
      <c r="DA22" s="8"/>
      <c r="DB22" s="6"/>
    </row>
    <row r="23" spans="1:106" x14ac:dyDescent="0.2">
      <c r="B23" s="3" t="s">
        <v>209</v>
      </c>
      <c r="C23" s="3">
        <v>2.7869999999999999E-2</v>
      </c>
      <c r="D23" s="3">
        <v>3.014E-2</v>
      </c>
      <c r="E23" s="3">
        <v>8.5330700000000004</v>
      </c>
      <c r="F23" s="3" t="s">
        <v>167</v>
      </c>
      <c r="G23" s="3" t="s">
        <v>167</v>
      </c>
      <c r="H23" s="3" t="s">
        <v>167</v>
      </c>
      <c r="I23" s="3" t="s">
        <v>167</v>
      </c>
      <c r="J23" s="3" t="s">
        <v>167</v>
      </c>
      <c r="K23" s="3" t="s">
        <v>167</v>
      </c>
      <c r="L23" s="3" t="s">
        <v>167</v>
      </c>
      <c r="M23" s="3"/>
      <c r="N23" s="3"/>
      <c r="P23" s="2"/>
      <c r="Q23" s="31"/>
      <c r="R23">
        <f>R21+12+1.5</f>
        <v>39.25</v>
      </c>
      <c r="S23" t="s">
        <v>38</v>
      </c>
      <c r="T23">
        <v>10</v>
      </c>
      <c r="V23" t="s">
        <v>23</v>
      </c>
      <c r="W23">
        <v>10.82</v>
      </c>
      <c r="X23">
        <v>18</v>
      </c>
      <c r="Y23">
        <v>7.1578999999999997</v>
      </c>
      <c r="Z23">
        <v>7.2157999999999998</v>
      </c>
      <c r="AA23">
        <v>8</v>
      </c>
      <c r="AB23">
        <v>5.79E-2</v>
      </c>
      <c r="AC23">
        <v>7.2374999999999998</v>
      </c>
      <c r="AD23">
        <v>13.8</v>
      </c>
      <c r="AE23">
        <f>FAMES!N24</f>
        <v>1.2139999999999997</v>
      </c>
      <c r="AF23" s="45">
        <f t="shared" si="14"/>
        <v>8.7971014492753602E-2</v>
      </c>
      <c r="AG23">
        <f t="shared" si="15"/>
        <v>0.63669021739130416</v>
      </c>
      <c r="AI23" s="9">
        <f>$BF$15-BF23</f>
        <v>14.062400000000025</v>
      </c>
      <c r="AJ23">
        <f t="shared" si="16"/>
        <v>7.6789808917197451E-3</v>
      </c>
      <c r="AK23" s="9">
        <f t="shared" si="17"/>
        <v>2.1433041301626994E-2</v>
      </c>
      <c r="AL23" s="8">
        <f t="shared" si="18"/>
        <v>0.18439490445859871</v>
      </c>
      <c r="AM23" s="8">
        <f t="shared" si="19"/>
        <v>0.51467032654454337</v>
      </c>
      <c r="AN23" s="46">
        <f t="shared" si="24"/>
        <v>1.6221406812517304E-2</v>
      </c>
      <c r="AO23" s="45">
        <f t="shared" si="20"/>
        <v>4.5276070755440254E-2</v>
      </c>
      <c r="AP23">
        <f t="shared" si="25"/>
        <v>9.1985000000000099</v>
      </c>
      <c r="AQ23" s="8">
        <f t="shared" si="26"/>
        <v>0.68137037037037107</v>
      </c>
      <c r="AR23" s="8">
        <f t="shared" si="27"/>
        <v>0.33701146926129222</v>
      </c>
      <c r="AS23" s="9">
        <f t="shared" si="28"/>
        <v>0.49460834212398114</v>
      </c>
      <c r="AT23" s="8">
        <f t="shared" si="29"/>
        <v>3.2766211882372089E-2</v>
      </c>
      <c r="AU23" s="40">
        <f t="shared" si="30"/>
        <v>3.5621255511629128E-3</v>
      </c>
      <c r="AV23" s="8"/>
      <c r="AW23" s="8">
        <f t="shared" si="31"/>
        <v>0.53610336784617041</v>
      </c>
      <c r="AX23" s="8"/>
      <c r="AY23" s="8"/>
      <c r="AZ23" s="8"/>
      <c r="BA23" s="8"/>
      <c r="BB23" s="8"/>
      <c r="BC23" s="8"/>
      <c r="BD23">
        <f t="shared" si="0"/>
        <v>0.27869999999999995</v>
      </c>
      <c r="BE23">
        <f t="shared" si="21"/>
        <v>0.3014</v>
      </c>
      <c r="BF23">
        <f t="shared" si="1"/>
        <v>85.330699999999993</v>
      </c>
      <c r="BG23" t="str">
        <f t="shared" si="2"/>
        <v/>
      </c>
      <c r="BH23" t="str">
        <f t="shared" si="3"/>
        <v/>
      </c>
      <c r="BI23" t="str">
        <f t="shared" si="4"/>
        <v/>
      </c>
      <c r="BJ23" t="str">
        <f t="shared" si="5"/>
        <v/>
      </c>
      <c r="BK23" t="str">
        <f t="shared" si="6"/>
        <v/>
      </c>
      <c r="BL23" t="str">
        <f t="shared" si="7"/>
        <v/>
      </c>
      <c r="BM23" t="str">
        <f t="shared" si="8"/>
        <v/>
      </c>
      <c r="BN23" t="str">
        <f t="shared" si="9"/>
        <v/>
      </c>
      <c r="BO23" t="str">
        <f t="shared" si="10"/>
        <v/>
      </c>
      <c r="BP23" s="11"/>
      <c r="BQ23" s="11" t="str">
        <f t="shared" si="33"/>
        <v>r2</v>
      </c>
      <c r="BR23" s="6"/>
      <c r="BS23" t="str">
        <f t="shared" si="12"/>
        <v>Jeff_SloHot50_Biostat 2L-22-10</v>
      </c>
      <c r="BT23" s="9"/>
      <c r="BU23" s="5">
        <f t="shared" si="22"/>
        <v>0.3014</v>
      </c>
      <c r="BV23" s="6"/>
      <c r="BW23" s="6"/>
      <c r="BX23" s="6"/>
      <c r="BY23" s="6">
        <f>$BF$15-BF23</f>
        <v>14.062400000000025</v>
      </c>
      <c r="BZ23" s="6"/>
      <c r="CA23" s="6">
        <f t="shared" si="34"/>
        <v>0.29605052631578999</v>
      </c>
      <c r="CB23" s="6">
        <f t="shared" si="32"/>
        <v>9.1985000000000099</v>
      </c>
      <c r="CC23" s="17">
        <f>CB23/(R25-R21)</f>
        <v>0.42291954022988554</v>
      </c>
      <c r="CD23" s="17">
        <f>AC23-AC17</f>
        <v>6.5</v>
      </c>
      <c r="CE23" s="18">
        <f>CD23/CB23</f>
        <v>0.7066369516769031</v>
      </c>
      <c r="CF23" s="8"/>
      <c r="CG23" s="20"/>
      <c r="CH23" s="20"/>
      <c r="CI23" s="8"/>
      <c r="CN23" s="8"/>
      <c r="CO23" s="9"/>
      <c r="CP23" s="6"/>
      <c r="CQ23" s="6"/>
      <c r="CR23" s="6"/>
      <c r="CS23" s="9"/>
      <c r="CT23" s="9"/>
      <c r="CU23" s="9"/>
      <c r="CZ23" s="6"/>
      <c r="DA23" s="8"/>
      <c r="DB23" s="6"/>
    </row>
    <row r="24" spans="1:106" x14ac:dyDescent="0.2">
      <c r="A24" s="3"/>
      <c r="B24" s="3" t="s">
        <v>210</v>
      </c>
      <c r="C24" s="3">
        <v>3.1280000000000002E-2</v>
      </c>
      <c r="D24" s="3">
        <v>0.81966000000000006</v>
      </c>
      <c r="E24" s="3">
        <v>6.8884800000000004</v>
      </c>
      <c r="F24" s="3" t="s">
        <v>167</v>
      </c>
      <c r="G24" s="3" t="s">
        <v>167</v>
      </c>
      <c r="H24" s="3" t="s">
        <v>167</v>
      </c>
      <c r="I24" s="3" t="s">
        <v>167</v>
      </c>
      <c r="J24" s="3" t="s">
        <v>167</v>
      </c>
      <c r="K24" s="3" t="s">
        <v>167</v>
      </c>
      <c r="L24" s="3" t="s">
        <v>167</v>
      </c>
      <c r="M24" s="3"/>
      <c r="N24" s="3"/>
      <c r="P24" s="2"/>
      <c r="Q24" s="31">
        <v>0.65625</v>
      </c>
      <c r="R24">
        <f>R22+5+3.25</f>
        <v>47.5</v>
      </c>
      <c r="S24" t="s">
        <v>37</v>
      </c>
      <c r="T24">
        <v>11</v>
      </c>
      <c r="V24" t="s">
        <v>23</v>
      </c>
      <c r="W24">
        <v>24</v>
      </c>
      <c r="X24">
        <v>58</v>
      </c>
      <c r="Y24">
        <v>7.1308999999999996</v>
      </c>
      <c r="Z24">
        <v>7.2214</v>
      </c>
      <c r="AA24">
        <v>8</v>
      </c>
      <c r="AB24">
        <v>9.0499999999999997E-2</v>
      </c>
      <c r="AC24">
        <v>11.3125</v>
      </c>
      <c r="AD24">
        <v>18</v>
      </c>
      <c r="AE24">
        <f>FAMES!N25</f>
        <v>2.0114999999999998</v>
      </c>
      <c r="AF24" s="45">
        <f t="shared" si="14"/>
        <v>0.11174999999999999</v>
      </c>
      <c r="AG24">
        <f t="shared" si="15"/>
        <v>1.2641718749999999</v>
      </c>
      <c r="AI24" s="9">
        <f>$BF$14-BF24</f>
        <v>30.552599999999998</v>
      </c>
      <c r="AJ24">
        <f t="shared" si="16"/>
        <v>0.17255999999999999</v>
      </c>
      <c r="AK24" s="9">
        <f t="shared" si="17"/>
        <v>0.2682783134659571</v>
      </c>
      <c r="AL24" s="8">
        <f t="shared" si="18"/>
        <v>0.2381578947368421</v>
      </c>
      <c r="AM24" s="8">
        <f t="shared" si="19"/>
        <v>0.37026308726589557</v>
      </c>
      <c r="AN24" s="46">
        <f t="shared" si="24"/>
        <v>2.6614144736842104E-2</v>
      </c>
      <c r="AO24" s="45">
        <f t="shared" si="20"/>
        <v>4.1376900001963826E-2</v>
      </c>
      <c r="AP24">
        <f t="shared" si="25"/>
        <v>4.6629000000000076</v>
      </c>
      <c r="AQ24" s="8">
        <f t="shared" si="26"/>
        <v>0.56520000000000092</v>
      </c>
      <c r="AR24" s="8">
        <f t="shared" si="27"/>
        <v>-2.9488086812927378E-2</v>
      </c>
      <c r="AS24" s="9">
        <f t="shared" si="28"/>
        <v>-5.2172835833204763E-2</v>
      </c>
      <c r="AT24" s="8">
        <f t="shared" si="29"/>
        <v>0.56925947371807151</v>
      </c>
      <c r="AU24" s="40">
        <f t="shared" si="30"/>
        <v>0.12208271112785403</v>
      </c>
      <c r="AV24" s="8"/>
      <c r="AW24" s="8">
        <f t="shared" si="31"/>
        <v>0.63854140073185262</v>
      </c>
      <c r="AX24" s="8"/>
      <c r="AY24" s="8"/>
      <c r="AZ24" s="8"/>
      <c r="BA24" s="8"/>
      <c r="BB24" s="8"/>
      <c r="BC24" s="8"/>
      <c r="BD24">
        <f t="shared" si="0"/>
        <v>0.31280000000000002</v>
      </c>
      <c r="BE24">
        <f t="shared" si="21"/>
        <v>8.1966000000000001</v>
      </c>
      <c r="BF24">
        <f t="shared" si="1"/>
        <v>68.884799999999998</v>
      </c>
      <c r="BG24" t="str">
        <f t="shared" si="2"/>
        <v/>
      </c>
      <c r="BH24" t="str">
        <f t="shared" si="3"/>
        <v/>
      </c>
      <c r="BI24" t="str">
        <f t="shared" si="4"/>
        <v/>
      </c>
      <c r="BJ24" t="str">
        <f t="shared" si="5"/>
        <v/>
      </c>
      <c r="BK24" t="str">
        <f t="shared" si="6"/>
        <v/>
      </c>
      <c r="BL24" t="str">
        <f t="shared" si="7"/>
        <v/>
      </c>
      <c r="BM24" t="str">
        <f t="shared" si="8"/>
        <v/>
      </c>
      <c r="BN24" t="str">
        <f t="shared" si="9"/>
        <v/>
      </c>
      <c r="BO24" t="str">
        <f t="shared" si="10"/>
        <v/>
      </c>
      <c r="BP24" s="11"/>
      <c r="BQ24" s="11" t="str">
        <f t="shared" si="33"/>
        <v>r1</v>
      </c>
      <c r="BR24" s="6"/>
      <c r="BS24" t="str">
        <f t="shared" si="12"/>
        <v>Jeff_SloHot50_Biostat 2L-22-11</v>
      </c>
      <c r="BT24" s="9"/>
      <c r="BU24" s="5">
        <f t="shared" si="22"/>
        <v>8.1966000000000001</v>
      </c>
      <c r="BV24" s="6"/>
      <c r="BW24" s="6"/>
      <c r="BX24" s="6"/>
      <c r="BY24" s="6">
        <f>$BF$14-BF24</f>
        <v>30.552599999999998</v>
      </c>
      <c r="BZ24" s="6"/>
      <c r="CA24" s="6">
        <f t="shared" si="34"/>
        <v>0.48114330708661412</v>
      </c>
      <c r="CB24" s="6">
        <f t="shared" si="32"/>
        <v>4.6629000000000076</v>
      </c>
      <c r="CC24" s="17">
        <f t="shared" ref="CC24:CC29" si="35">CB24/(R26-R24)</f>
        <v>0.29143125000000047</v>
      </c>
      <c r="CD24" s="17"/>
      <c r="CE24" s="18"/>
      <c r="CF24" s="8"/>
      <c r="CG24" s="20"/>
      <c r="CH24" s="20"/>
      <c r="CI24" s="8"/>
      <c r="CN24" s="8"/>
      <c r="CO24" s="9"/>
      <c r="CP24" s="6"/>
      <c r="CQ24" s="6"/>
      <c r="CR24" s="6"/>
      <c r="CS24" s="9"/>
      <c r="CT24" s="9"/>
      <c r="CU24" s="9"/>
      <c r="CZ24" s="6"/>
      <c r="DA24" s="8"/>
      <c r="DB24" s="6"/>
    </row>
    <row r="25" spans="1:106" x14ac:dyDescent="0.2">
      <c r="A25" s="5"/>
      <c r="B25" s="3" t="s">
        <v>211</v>
      </c>
      <c r="C25" s="3">
        <v>2.8660000000000001E-2</v>
      </c>
      <c r="D25" s="3">
        <v>0.14152999999999999</v>
      </c>
      <c r="E25" s="3">
        <v>8.0579000000000001</v>
      </c>
      <c r="F25" s="3" t="s">
        <v>167</v>
      </c>
      <c r="G25" s="3" t="s">
        <v>167</v>
      </c>
      <c r="H25" s="3" t="s">
        <v>167</v>
      </c>
      <c r="I25" s="3" t="s">
        <v>167</v>
      </c>
      <c r="J25" s="3" t="s">
        <v>167</v>
      </c>
      <c r="K25" s="3" t="s">
        <v>167</v>
      </c>
      <c r="L25" s="3" t="s">
        <v>167</v>
      </c>
      <c r="M25" s="3"/>
      <c r="N25" s="3"/>
      <c r="R25">
        <f>R23+5+3.25</f>
        <v>47.5</v>
      </c>
      <c r="S25" t="s">
        <v>38</v>
      </c>
      <c r="T25">
        <v>12</v>
      </c>
      <c r="V25" t="s">
        <v>23</v>
      </c>
      <c r="W25">
        <v>16.260000000000002</v>
      </c>
      <c r="X25">
        <v>22</v>
      </c>
      <c r="Y25">
        <v>7.1527000000000003</v>
      </c>
      <c r="Z25">
        <v>7.2237999999999998</v>
      </c>
      <c r="AA25">
        <v>8</v>
      </c>
      <c r="AB25">
        <v>7.1099999999999997E-2</v>
      </c>
      <c r="AC25">
        <v>8.8874999999999993</v>
      </c>
      <c r="AD25">
        <v>17.7</v>
      </c>
      <c r="AE25">
        <f>FAMES!N26</f>
        <v>1.5075000000000001</v>
      </c>
      <c r="AF25" s="45">
        <f t="shared" si="14"/>
        <v>8.5169491525423732E-2</v>
      </c>
      <c r="AG25">
        <f t="shared" si="15"/>
        <v>0.75694385593220337</v>
      </c>
      <c r="AI25" s="9">
        <f>$BF$15-BF25</f>
        <v>18.814100000000025</v>
      </c>
      <c r="AJ25">
        <f t="shared" si="16"/>
        <v>2.979578947368421E-2</v>
      </c>
      <c r="AK25" s="9">
        <f t="shared" si="17"/>
        <v>7.5225495771788081E-2</v>
      </c>
      <c r="AL25" s="8">
        <f t="shared" si="18"/>
        <v>0.18710526315789472</v>
      </c>
      <c r="AM25" s="8">
        <f t="shared" si="19"/>
        <v>0.47238507289745391</v>
      </c>
      <c r="AN25" s="46">
        <f t="shared" si="24"/>
        <v>1.5935660124888493E-2</v>
      </c>
      <c r="AO25" s="45">
        <f t="shared" si="20"/>
        <v>4.023279646287637E-2</v>
      </c>
      <c r="AP25">
        <f t="shared" si="25"/>
        <v>4.7516999999999996</v>
      </c>
      <c r="AQ25" s="8">
        <f t="shared" si="26"/>
        <v>0.57596363636363634</v>
      </c>
      <c r="AR25" s="8">
        <f t="shared" si="27"/>
        <v>0.34724414420102273</v>
      </c>
      <c r="AS25" s="9">
        <f t="shared" si="28"/>
        <v>0.60289247840950344</v>
      </c>
      <c r="AT25" s="8">
        <f t="shared" si="29"/>
        <v>0.23442136498516325</v>
      </c>
      <c r="AU25" s="40">
        <f t="shared" si="30"/>
        <v>4.933420985861129E-2</v>
      </c>
      <c r="AV25" s="8"/>
      <c r="AW25" s="8">
        <f t="shared" si="31"/>
        <v>0.54761056866924196</v>
      </c>
      <c r="AX25" s="8"/>
      <c r="AY25" s="8"/>
      <c r="AZ25" s="8"/>
      <c r="BA25" s="8"/>
      <c r="BB25" s="8"/>
      <c r="BC25" s="8"/>
      <c r="BD25">
        <f t="shared" si="0"/>
        <v>0.28660000000000002</v>
      </c>
      <c r="BE25">
        <f t="shared" si="21"/>
        <v>1.4153</v>
      </c>
      <c r="BF25">
        <f t="shared" si="1"/>
        <v>80.578999999999994</v>
      </c>
      <c r="BG25" t="str">
        <f t="shared" si="2"/>
        <v/>
      </c>
      <c r="BH25" t="str">
        <f t="shared" si="3"/>
        <v/>
      </c>
      <c r="BI25" t="str">
        <f t="shared" si="4"/>
        <v/>
      </c>
      <c r="BJ25" t="str">
        <f t="shared" si="5"/>
        <v/>
      </c>
      <c r="BK25" t="str">
        <f t="shared" si="6"/>
        <v/>
      </c>
      <c r="BL25" t="str">
        <f t="shared" si="7"/>
        <v/>
      </c>
      <c r="BM25" t="str">
        <f t="shared" si="8"/>
        <v/>
      </c>
      <c r="BN25" t="str">
        <f t="shared" si="9"/>
        <v/>
      </c>
      <c r="BO25" t="str">
        <f t="shared" si="10"/>
        <v/>
      </c>
      <c r="BP25" s="11"/>
      <c r="BQ25" s="11" t="str">
        <f t="shared" si="33"/>
        <v>r2</v>
      </c>
      <c r="BR25" s="6"/>
      <c r="BS25" t="str">
        <f t="shared" si="12"/>
        <v>Jeff_SloHot50_Biostat 2L-22-12</v>
      </c>
      <c r="BT25" s="6"/>
      <c r="BU25" s="5">
        <f t="shared" si="22"/>
        <v>1.4153</v>
      </c>
      <c r="BV25" s="6"/>
      <c r="BW25" s="6"/>
      <c r="BX25" s="6"/>
      <c r="BY25" s="6">
        <f>$BF$15-BF25</f>
        <v>18.814100000000025</v>
      </c>
      <c r="BZ25" s="6"/>
      <c r="CA25" s="6">
        <f t="shared" si="34"/>
        <v>0.29628503937007911</v>
      </c>
      <c r="CB25" s="6">
        <f t="shared" si="32"/>
        <v>4.7516999999999996</v>
      </c>
      <c r="CC25" s="17">
        <f t="shared" si="35"/>
        <v>0.29698124999999997</v>
      </c>
      <c r="CD25" s="17"/>
      <c r="CE25" s="18"/>
      <c r="CF25" s="8"/>
      <c r="CG25" s="20"/>
      <c r="CH25" s="20"/>
      <c r="CI25" s="8"/>
      <c r="CN25" s="8"/>
      <c r="CO25" s="9"/>
      <c r="CP25" s="6"/>
      <c r="CQ25" s="6"/>
      <c r="CR25" s="6"/>
      <c r="CS25" s="9"/>
      <c r="CT25" s="9"/>
      <c r="CU25" s="9"/>
      <c r="CZ25" s="6"/>
      <c r="DA25" s="8"/>
      <c r="DB25" s="6"/>
    </row>
    <row r="26" spans="1:106" x14ac:dyDescent="0.2">
      <c r="B26" s="3" t="s">
        <v>212</v>
      </c>
      <c r="C26" s="3">
        <v>3.6560000000000002E-2</v>
      </c>
      <c r="D26" s="3">
        <v>1.3469599999999999</v>
      </c>
      <c r="E26" s="3">
        <v>5.9727399999999999</v>
      </c>
      <c r="F26" s="3" t="s">
        <v>167</v>
      </c>
      <c r="G26" s="3" t="s">
        <v>167</v>
      </c>
      <c r="H26" s="3" t="s">
        <v>167</v>
      </c>
      <c r="I26" s="3" t="s">
        <v>167</v>
      </c>
      <c r="J26" s="3" t="s">
        <v>167</v>
      </c>
      <c r="K26" s="3" t="s">
        <v>167</v>
      </c>
      <c r="L26" s="3" t="s">
        <v>167</v>
      </c>
      <c r="M26" s="3"/>
      <c r="N26" s="3"/>
      <c r="P26" s="2">
        <v>45598</v>
      </c>
      <c r="Q26" s="31">
        <v>0.32291666666666669</v>
      </c>
      <c r="R26">
        <f>R24+12+4</f>
        <v>63.5</v>
      </c>
      <c r="S26" t="s">
        <v>37</v>
      </c>
      <c r="T26">
        <v>13</v>
      </c>
      <c r="V26" t="s">
        <v>23</v>
      </c>
      <c r="W26">
        <v>25.36</v>
      </c>
      <c r="X26">
        <v>77</v>
      </c>
      <c r="Y26">
        <v>7.1220999999999997</v>
      </c>
      <c r="Z26">
        <v>7.2319000000000004</v>
      </c>
      <c r="AA26">
        <v>8</v>
      </c>
      <c r="AB26">
        <f>Z26-Y26</f>
        <v>0.10980000000000079</v>
      </c>
      <c r="AC26" s="9">
        <f>AB26/(AA26/1000)</f>
        <v>13.725000000000097</v>
      </c>
      <c r="AD26" s="9">
        <v>17.5</v>
      </c>
      <c r="AE26" s="9">
        <f>FAMES!N27</f>
        <v>2.8354999999999997</v>
      </c>
      <c r="AF26" s="45">
        <f t="shared" si="14"/>
        <v>0.16202857142857141</v>
      </c>
      <c r="AG26">
        <f t="shared" si="15"/>
        <v>2.2238421428571584</v>
      </c>
      <c r="AI26" s="9">
        <f>$BF$14-BF26</f>
        <v>39.71</v>
      </c>
      <c r="AJ26">
        <f t="shared" si="16"/>
        <v>0.21211968503937007</v>
      </c>
      <c r="AK26" s="9">
        <f t="shared" si="17"/>
        <v>0.33919919415764288</v>
      </c>
      <c r="AL26" s="8">
        <f t="shared" si="18"/>
        <v>0.21614173228346609</v>
      </c>
      <c r="AM26" s="8">
        <f t="shared" si="19"/>
        <v>0.34563082347016111</v>
      </c>
      <c r="AN26" s="46">
        <f t="shared" si="24"/>
        <v>3.5021136107986746E-2</v>
      </c>
      <c r="AO26" s="45">
        <f t="shared" si="20"/>
        <v>5.6002068568550951E-2</v>
      </c>
      <c r="AP26">
        <f t="shared" si="25"/>
        <v>9.1574000000000026</v>
      </c>
      <c r="AQ26" s="8">
        <f t="shared" si="26"/>
        <v>0.57233750000000017</v>
      </c>
      <c r="AR26" s="8">
        <f t="shared" si="27"/>
        <v>0.26344814030184294</v>
      </c>
      <c r="AS26" s="9">
        <f t="shared" si="28"/>
        <v>0.46030207753614405</v>
      </c>
      <c r="AT26" s="8">
        <f t="shared" si="29"/>
        <v>0.57581846375608781</v>
      </c>
      <c r="AU26" s="40">
        <f t="shared" si="30"/>
        <v>6.288012577326399E-2</v>
      </c>
      <c r="AV26" s="8"/>
      <c r="AW26" s="8">
        <f t="shared" si="31"/>
        <v>0.68483001762780393</v>
      </c>
      <c r="AX26" s="8"/>
      <c r="AY26" s="8"/>
      <c r="AZ26" s="8"/>
      <c r="BA26" s="8"/>
      <c r="BB26" s="8"/>
      <c r="BC26" s="8"/>
      <c r="BD26">
        <f t="shared" si="0"/>
        <v>0.36560000000000004</v>
      </c>
      <c r="BE26">
        <f t="shared" si="21"/>
        <v>13.4696</v>
      </c>
      <c r="BF26">
        <f t="shared" si="1"/>
        <v>59.727399999999996</v>
      </c>
      <c r="BG26" t="str">
        <f t="shared" si="2"/>
        <v/>
      </c>
      <c r="BH26" t="str">
        <f t="shared" si="3"/>
        <v/>
      </c>
      <c r="BI26" t="str">
        <f t="shared" si="4"/>
        <v/>
      </c>
      <c r="BJ26" t="str">
        <f t="shared" si="5"/>
        <v/>
      </c>
      <c r="BK26" t="str">
        <f t="shared" si="6"/>
        <v/>
      </c>
      <c r="BL26" t="str">
        <f t="shared" si="7"/>
        <v/>
      </c>
      <c r="BM26" t="str">
        <f t="shared" si="8"/>
        <v/>
      </c>
      <c r="BN26" t="str">
        <f t="shared" si="9"/>
        <v/>
      </c>
      <c r="BO26" t="str">
        <f t="shared" si="10"/>
        <v/>
      </c>
      <c r="BP26" s="11"/>
      <c r="BQ26" s="11" t="str">
        <f t="shared" si="33"/>
        <v>r1</v>
      </c>
      <c r="BR26" s="6"/>
      <c r="BS26" t="str">
        <f t="shared" si="12"/>
        <v>Jeff_SloHot50_Biostat 2L-22-13</v>
      </c>
      <c r="BT26" s="6"/>
      <c r="BU26" s="5">
        <f t="shared" si="22"/>
        <v>13.4696</v>
      </c>
      <c r="BV26" s="6"/>
      <c r="BW26" s="6"/>
      <c r="BX26" s="6"/>
      <c r="BY26" s="6">
        <f t="shared" ref="BY26:BY29" si="36">$BF$15-BF26</f>
        <v>39.665700000000022</v>
      </c>
      <c r="BZ26" s="6"/>
      <c r="CA26" s="6">
        <f t="shared" si="34"/>
        <v>0.54336575342465787</v>
      </c>
      <c r="CB26" s="6">
        <f t="shared" ref="CB26:CB29" si="37">BY26-BY24</f>
        <v>9.1131000000000242</v>
      </c>
      <c r="CC26" s="17">
        <f t="shared" si="35"/>
        <v>0.95927368421052883</v>
      </c>
      <c r="CD26" s="17"/>
      <c r="CE26" s="18"/>
      <c r="CF26" s="8"/>
      <c r="CG26" s="20"/>
      <c r="CH26" s="20"/>
      <c r="CI26" s="8"/>
      <c r="CN26" s="8"/>
      <c r="CO26" s="9"/>
      <c r="CP26" s="6"/>
      <c r="CQ26" s="6"/>
      <c r="CR26" s="6"/>
      <c r="CS26" s="9"/>
      <c r="CT26" s="9"/>
      <c r="CU26" s="9"/>
      <c r="CY26" s="12"/>
      <c r="CZ26" s="6"/>
      <c r="DA26" s="8"/>
      <c r="DB26" s="6"/>
    </row>
    <row r="27" spans="1:106" x14ac:dyDescent="0.2">
      <c r="B27" s="3" t="s">
        <v>213</v>
      </c>
      <c r="C27" s="3">
        <v>3.3250000000000002E-2</v>
      </c>
      <c r="D27" s="3">
        <v>0.56499999999999995</v>
      </c>
      <c r="E27" s="3">
        <v>7.1642099999999997</v>
      </c>
      <c r="F27" s="3" t="s">
        <v>167</v>
      </c>
      <c r="G27" s="3" t="s">
        <v>167</v>
      </c>
      <c r="H27" s="3" t="s">
        <v>167</v>
      </c>
      <c r="I27" s="3" t="s">
        <v>167</v>
      </c>
      <c r="J27" s="3" t="s">
        <v>167</v>
      </c>
      <c r="K27" s="3" t="s">
        <v>167</v>
      </c>
      <c r="L27" s="3" t="s">
        <v>167</v>
      </c>
      <c r="M27" s="3"/>
      <c r="N27" s="3"/>
      <c r="P27" s="2"/>
      <c r="Q27" s="31"/>
      <c r="R27">
        <f>R25+12+4</f>
        <v>63.5</v>
      </c>
      <c r="S27" t="s">
        <v>38</v>
      </c>
      <c r="T27">
        <v>14</v>
      </c>
      <c r="V27" t="s">
        <v>23</v>
      </c>
      <c r="W27">
        <v>24.48</v>
      </c>
      <c r="X27">
        <v>36</v>
      </c>
      <c r="Y27">
        <v>7.2474999999999996</v>
      </c>
      <c r="Z27">
        <v>7.3457999999999997</v>
      </c>
      <c r="AA27">
        <v>8</v>
      </c>
      <c r="AB27">
        <f t="shared" ref="AB27:AB31" si="38">Z27-Y27</f>
        <v>9.8300000000000054E-2</v>
      </c>
      <c r="AC27" s="9">
        <f t="shared" ref="AC27:AC31" si="39">AB27/(AA27/1000)</f>
        <v>12.287500000000007</v>
      </c>
      <c r="AD27" s="9">
        <v>20</v>
      </c>
      <c r="AE27" s="9">
        <f>FAMES!N28</f>
        <v>3.0760000000000001</v>
      </c>
      <c r="AF27" s="45">
        <f t="shared" si="14"/>
        <v>0.15379999999999999</v>
      </c>
      <c r="AG27">
        <f t="shared" si="15"/>
        <v>1.889817500000001</v>
      </c>
      <c r="AI27" s="9">
        <f>$BF$15-BF27</f>
        <v>27.751000000000019</v>
      </c>
      <c r="AJ27">
        <f t="shared" si="16"/>
        <v>8.8976377952755911E-2</v>
      </c>
      <c r="AK27" s="9">
        <f t="shared" si="17"/>
        <v>0.20359626680119622</v>
      </c>
      <c r="AL27" s="8">
        <f t="shared" si="18"/>
        <v>0.19350393700787413</v>
      </c>
      <c r="AM27" s="8">
        <f t="shared" si="19"/>
        <v>0.44277683687074332</v>
      </c>
      <c r="AN27" s="46">
        <f t="shared" si="24"/>
        <v>2.9760905511811039E-2</v>
      </c>
      <c r="AO27" s="45">
        <f t="shared" si="20"/>
        <v>6.8099077510720321E-2</v>
      </c>
      <c r="AP27">
        <f t="shared" si="25"/>
        <v>8.9368999999999943</v>
      </c>
      <c r="AQ27" s="8">
        <f t="shared" si="26"/>
        <v>0.55855624999999964</v>
      </c>
      <c r="AR27" s="8">
        <f t="shared" si="27"/>
        <v>0.38044512079132692</v>
      </c>
      <c r="AS27" s="9">
        <f t="shared" si="28"/>
        <v>0.68112230557142128</v>
      </c>
      <c r="AT27" s="8">
        <f t="shared" si="29"/>
        <v>0.47384439794559668</v>
      </c>
      <c r="AU27" s="40">
        <f t="shared" si="30"/>
        <v>5.3021114474325212E-2</v>
      </c>
      <c r="AV27" s="8"/>
      <c r="AW27" s="8">
        <f t="shared" si="31"/>
        <v>0.64637310367193956</v>
      </c>
      <c r="AX27" s="8"/>
      <c r="AY27" s="8"/>
      <c r="AZ27" s="8"/>
      <c r="BA27" s="8"/>
      <c r="BB27" s="8"/>
      <c r="BC27" s="8"/>
      <c r="BD27">
        <f t="shared" si="0"/>
        <v>0.33250000000000002</v>
      </c>
      <c r="BE27">
        <f t="shared" si="21"/>
        <v>5.65</v>
      </c>
      <c r="BF27">
        <f t="shared" si="1"/>
        <v>71.642099999999999</v>
      </c>
      <c r="BG27" t="str">
        <f t="shared" si="2"/>
        <v/>
      </c>
      <c r="BH27" t="str">
        <f t="shared" si="3"/>
        <v/>
      </c>
      <c r="BI27" t="str">
        <f t="shared" si="4"/>
        <v/>
      </c>
      <c r="BJ27" t="str">
        <f t="shared" si="5"/>
        <v/>
      </c>
      <c r="BK27" t="str">
        <f t="shared" si="6"/>
        <v/>
      </c>
      <c r="BL27" t="str">
        <f t="shared" si="7"/>
        <v/>
      </c>
      <c r="BM27" t="str">
        <f t="shared" si="8"/>
        <v/>
      </c>
      <c r="BN27" t="str">
        <f t="shared" si="9"/>
        <v/>
      </c>
      <c r="BO27" t="str">
        <f t="shared" si="10"/>
        <v/>
      </c>
      <c r="BP27" s="11"/>
      <c r="BQ27" s="11" t="str">
        <f t="shared" si="33"/>
        <v>r2</v>
      </c>
      <c r="BR27" s="6"/>
      <c r="BS27" t="str">
        <f t="shared" si="12"/>
        <v>Jeff_SloHot50_Biostat 2L-22-14</v>
      </c>
      <c r="BT27" s="6"/>
      <c r="BU27" s="5">
        <f t="shared" si="22"/>
        <v>5.65</v>
      </c>
      <c r="BV27" s="6"/>
      <c r="BW27" s="6"/>
      <c r="BX27" s="6"/>
      <c r="BY27" s="6">
        <f t="shared" si="36"/>
        <v>27.751000000000019</v>
      </c>
      <c r="BZ27" s="6"/>
      <c r="CA27" s="6">
        <f t="shared" si="34"/>
        <v>0.38015068493150711</v>
      </c>
      <c r="CB27" s="6">
        <f t="shared" si="37"/>
        <v>8.9368999999999943</v>
      </c>
      <c r="CC27" s="17">
        <f t="shared" si="35"/>
        <v>0.94072631578947308</v>
      </c>
      <c r="CD27" s="17"/>
      <c r="CE27" s="18"/>
      <c r="CF27" s="8"/>
      <c r="CG27" s="20"/>
      <c r="CH27" s="20"/>
      <c r="CI27" s="8"/>
      <c r="CN27" s="8"/>
      <c r="CO27" s="9"/>
      <c r="CP27" s="6"/>
      <c r="CQ27" s="6"/>
      <c r="CR27" s="6"/>
      <c r="CS27" s="9"/>
      <c r="CT27" s="9"/>
      <c r="CU27" s="9"/>
      <c r="CZ27" s="6"/>
      <c r="DA27" s="8"/>
      <c r="DB27" s="6"/>
    </row>
    <row r="28" spans="1:106" x14ac:dyDescent="0.2">
      <c r="B28" s="3" t="s">
        <v>214</v>
      </c>
      <c r="C28" s="3">
        <v>4.0590000000000001E-2</v>
      </c>
      <c r="D28" s="3">
        <v>1.6271500000000001</v>
      </c>
      <c r="E28" s="3">
        <v>5.56637</v>
      </c>
      <c r="F28" s="3" t="s">
        <v>167</v>
      </c>
      <c r="G28" s="3" t="s">
        <v>167</v>
      </c>
      <c r="H28" s="3" t="s">
        <v>167</v>
      </c>
      <c r="I28" s="3" t="s">
        <v>167</v>
      </c>
      <c r="J28" s="3" t="s">
        <v>167</v>
      </c>
      <c r="K28" s="3" t="s">
        <v>167</v>
      </c>
      <c r="L28" s="3" t="s">
        <v>167</v>
      </c>
      <c r="M28" s="3"/>
      <c r="N28" s="3"/>
      <c r="P28" s="2"/>
      <c r="Q28" s="31">
        <v>0.71875</v>
      </c>
      <c r="R28">
        <f>R26+5+4.5</f>
        <v>73</v>
      </c>
      <c r="S28" t="s">
        <v>37</v>
      </c>
      <c r="T28">
        <v>15</v>
      </c>
      <c r="W28">
        <v>22.76</v>
      </c>
      <c r="X28">
        <v>87</v>
      </c>
      <c r="Y28">
        <v>7.1731999999999996</v>
      </c>
      <c r="Z28">
        <v>7.2678000000000003</v>
      </c>
      <c r="AA28">
        <v>8</v>
      </c>
      <c r="AB28">
        <f t="shared" si="38"/>
        <v>9.4600000000000684E-2</v>
      </c>
      <c r="AC28" s="9">
        <f t="shared" si="39"/>
        <v>11.825000000000085</v>
      </c>
      <c r="AD28" s="9">
        <v>13.4</v>
      </c>
      <c r="AE28" s="9">
        <f>FAMES!N29</f>
        <v>2.1659999999999999</v>
      </c>
      <c r="AF28" s="45">
        <f t="shared" si="14"/>
        <v>0.16164179104477611</v>
      </c>
      <c r="AG28">
        <f t="shared" si="15"/>
        <v>1.9114141791044912</v>
      </c>
      <c r="AI28" s="9">
        <f>$BF$14-BF28</f>
        <v>43.773699999999998</v>
      </c>
      <c r="AJ28">
        <f t="shared" si="16"/>
        <v>0.22289726027397261</v>
      </c>
      <c r="AK28" s="9">
        <f t="shared" si="17"/>
        <v>0.37171863470531391</v>
      </c>
      <c r="AL28" s="8">
        <f t="shared" si="18"/>
        <v>0.16198630136986417</v>
      </c>
      <c r="AM28" s="8">
        <f t="shared" si="19"/>
        <v>0.27013937592664283</v>
      </c>
      <c r="AN28" s="46">
        <f t="shared" si="24"/>
        <v>2.6183755878143714E-2</v>
      </c>
      <c r="AO28" s="45">
        <f t="shared" si="20"/>
        <v>4.3665812556500622E-2</v>
      </c>
      <c r="AP28">
        <f t="shared" si="25"/>
        <v>4.0636999999999972</v>
      </c>
      <c r="AQ28" s="8">
        <f t="shared" si="26"/>
        <v>0.42775789473684184</v>
      </c>
      <c r="AR28" s="8">
        <f t="shared" si="27"/>
        <v>-0.46755419937495735</v>
      </c>
      <c r="AS28" s="9">
        <f t="shared" si="28"/>
        <v>-1.0930346467657794</v>
      </c>
      <c r="AT28" s="8">
        <f t="shared" si="29"/>
        <v>0.68949479538351788</v>
      </c>
      <c r="AU28" s="40">
        <f t="shared" si="30"/>
        <v>0.1696716773835466</v>
      </c>
      <c r="AV28" s="8"/>
      <c r="AW28" s="8">
        <f t="shared" si="31"/>
        <v>0.64185801063195669</v>
      </c>
      <c r="AX28" s="8"/>
      <c r="AY28" s="8"/>
      <c r="AZ28" s="8"/>
      <c r="BA28" s="8"/>
      <c r="BB28" s="8"/>
      <c r="BC28" s="8"/>
      <c r="BD28">
        <f t="shared" si="0"/>
        <v>0.40590000000000004</v>
      </c>
      <c r="BE28">
        <f t="shared" si="21"/>
        <v>16.2715</v>
      </c>
      <c r="BF28">
        <f t="shared" si="1"/>
        <v>55.663699999999999</v>
      </c>
      <c r="BG28" t="str">
        <f t="shared" si="2"/>
        <v/>
      </c>
      <c r="BH28" t="str">
        <f t="shared" si="3"/>
        <v/>
      </c>
      <c r="BI28" t="str">
        <f t="shared" si="4"/>
        <v/>
      </c>
      <c r="BJ28" t="str">
        <f t="shared" si="5"/>
        <v/>
      </c>
      <c r="BK28" t="str">
        <f t="shared" si="6"/>
        <v/>
      </c>
      <c r="BL28" t="str">
        <f t="shared" si="7"/>
        <v/>
      </c>
      <c r="BM28" t="str">
        <f t="shared" si="8"/>
        <v/>
      </c>
      <c r="BN28" t="str">
        <f t="shared" si="9"/>
        <v/>
      </c>
      <c r="BO28" t="str">
        <f t="shared" si="10"/>
        <v/>
      </c>
      <c r="BP28" s="11"/>
      <c r="BQ28" s="11" t="str">
        <f t="shared" si="33"/>
        <v>r1</v>
      </c>
      <c r="BR28" s="6"/>
      <c r="BS28" t="str">
        <f t="shared" si="12"/>
        <v>Jeff_SloHot50_Biostat 2L-22-15</v>
      </c>
      <c r="BT28" s="6"/>
      <c r="BU28" s="5">
        <f t="shared" si="22"/>
        <v>16.2715</v>
      </c>
      <c r="BV28" s="6"/>
      <c r="BW28" s="6"/>
      <c r="BX28" s="6"/>
      <c r="BY28" s="6">
        <f t="shared" si="36"/>
        <v>43.72940000000002</v>
      </c>
      <c r="BZ28" s="6"/>
      <c r="CA28" s="6">
        <f t="shared" si="34"/>
        <v>0.47403143631436334</v>
      </c>
      <c r="CB28" s="6">
        <f t="shared" si="37"/>
        <v>4.0636999999999972</v>
      </c>
      <c r="CC28" s="17">
        <f t="shared" si="35"/>
        <v>0.21110129870129857</v>
      </c>
      <c r="CD28" s="17"/>
      <c r="CE28" s="18"/>
      <c r="CF28" s="8"/>
      <c r="CG28" s="20"/>
      <c r="CH28" s="20"/>
      <c r="CI28" s="8"/>
      <c r="CN28" s="8"/>
      <c r="CO28" s="9"/>
      <c r="CP28" s="6"/>
      <c r="CQ28" s="6"/>
      <c r="CR28" s="6"/>
      <c r="CS28" s="9"/>
      <c r="CT28" s="9"/>
      <c r="CU28" s="9"/>
      <c r="DA28" s="8"/>
      <c r="DB28" s="6"/>
    </row>
    <row r="29" spans="1:106" x14ac:dyDescent="0.2">
      <c r="B29" s="3" t="s">
        <v>215</v>
      </c>
      <c r="C29" s="3">
        <v>3.6409999999999998E-2</v>
      </c>
      <c r="D29" s="3">
        <v>0.86907000000000001</v>
      </c>
      <c r="E29" s="3">
        <v>6.6324300000000003</v>
      </c>
      <c r="F29" s="3" t="s">
        <v>167</v>
      </c>
      <c r="G29" s="3" t="s">
        <v>167</v>
      </c>
      <c r="H29" s="3" t="s">
        <v>167</v>
      </c>
      <c r="I29" s="3" t="s">
        <v>167</v>
      </c>
      <c r="J29" s="3" t="s">
        <v>167</v>
      </c>
      <c r="K29" s="3" t="s">
        <v>167</v>
      </c>
      <c r="L29" s="3" t="s">
        <v>167</v>
      </c>
      <c r="M29" s="3"/>
      <c r="N29" s="3"/>
      <c r="P29" s="2"/>
      <c r="Q29" s="31"/>
      <c r="R29">
        <f>R27+5+4.5</f>
        <v>73</v>
      </c>
      <c r="S29" t="s">
        <v>38</v>
      </c>
      <c r="T29">
        <v>16</v>
      </c>
      <c r="W29">
        <v>22.36</v>
      </c>
      <c r="X29">
        <v>46</v>
      </c>
      <c r="Y29">
        <v>7.1475</v>
      </c>
      <c r="Z29">
        <v>7.2344999999999997</v>
      </c>
      <c r="AA29">
        <v>8</v>
      </c>
      <c r="AB29">
        <f t="shared" si="38"/>
        <v>8.6999999999999744E-2</v>
      </c>
      <c r="AC29" s="9">
        <f t="shared" si="39"/>
        <v>10.874999999999968</v>
      </c>
      <c r="AD29" s="9">
        <v>13.5</v>
      </c>
      <c r="AE29" s="9">
        <f>FAMES!N30</f>
        <v>2.2275</v>
      </c>
      <c r="AF29" s="45">
        <f t="shared" si="14"/>
        <v>0.16500000000000001</v>
      </c>
      <c r="AG29">
        <f t="shared" si="15"/>
        <v>1.7943749999999947</v>
      </c>
      <c r="AI29" s="9">
        <f>$BF$15-BF29</f>
        <v>33.06880000000001</v>
      </c>
      <c r="AJ29">
        <f t="shared" si="16"/>
        <v>0.11905068493150685</v>
      </c>
      <c r="AK29" s="9">
        <f t="shared" si="17"/>
        <v>0.26280663344300359</v>
      </c>
      <c r="AL29" s="8">
        <f t="shared" si="18"/>
        <v>0.1489726027397256</v>
      </c>
      <c r="AM29" s="8">
        <f t="shared" si="19"/>
        <v>0.32885983162376514</v>
      </c>
      <c r="AN29" s="46">
        <f t="shared" si="24"/>
        <v>2.4580479452054722E-2</v>
      </c>
      <c r="AO29" s="45">
        <f t="shared" si="20"/>
        <v>5.4261872217921246E-2</v>
      </c>
      <c r="AP29">
        <f t="shared" si="25"/>
        <v>5.3177999999999912</v>
      </c>
      <c r="AQ29" s="8">
        <f t="shared" si="26"/>
        <v>0.55976842105263069</v>
      </c>
      <c r="AR29" s="8">
        <f t="shared" si="27"/>
        <v>-0.2656173605626464</v>
      </c>
      <c r="AS29" s="9">
        <f t="shared" si="28"/>
        <v>-0.4745129424470918</v>
      </c>
      <c r="AT29" s="8">
        <f t="shared" si="29"/>
        <v>0.5717966076196932</v>
      </c>
      <c r="AU29" s="40">
        <f t="shared" si="30"/>
        <v>0.10752503058025766</v>
      </c>
      <c r="AV29" s="8"/>
      <c r="AW29" s="8">
        <f t="shared" si="31"/>
        <v>0.59166646506676868</v>
      </c>
      <c r="AX29" s="8"/>
      <c r="AY29" s="8"/>
      <c r="AZ29" s="8"/>
      <c r="BA29" s="8"/>
      <c r="BB29" s="8"/>
      <c r="BC29" s="8"/>
      <c r="BD29">
        <f t="shared" si="0"/>
        <v>0.36409999999999998</v>
      </c>
      <c r="BE29">
        <f t="shared" si="21"/>
        <v>8.6906999999999996</v>
      </c>
      <c r="BF29">
        <f t="shared" si="1"/>
        <v>66.324300000000008</v>
      </c>
      <c r="BG29" t="str">
        <f t="shared" si="2"/>
        <v/>
      </c>
      <c r="BH29" t="str">
        <f t="shared" si="3"/>
        <v/>
      </c>
      <c r="BI29" t="str">
        <f t="shared" si="4"/>
        <v/>
      </c>
      <c r="BJ29" t="str">
        <f t="shared" si="5"/>
        <v/>
      </c>
      <c r="BK29" t="str">
        <f t="shared" si="6"/>
        <v/>
      </c>
      <c r="BL29" t="str">
        <f t="shared" si="7"/>
        <v/>
      </c>
      <c r="BM29" t="str">
        <f t="shared" si="8"/>
        <v/>
      </c>
      <c r="BN29" t="str">
        <f t="shared" si="9"/>
        <v/>
      </c>
      <c r="BO29" t="str">
        <f t="shared" si="10"/>
        <v/>
      </c>
      <c r="BP29" s="11"/>
      <c r="BQ29" s="11" t="str">
        <f t="shared" si="33"/>
        <v>r2</v>
      </c>
      <c r="BR29" s="6"/>
      <c r="BS29" t="str">
        <f t="shared" si="12"/>
        <v>Jeff_SloHot50_Biostat 2L-22-16</v>
      </c>
      <c r="BT29" s="6"/>
      <c r="BU29" s="5">
        <f t="shared" si="22"/>
        <v>8.6906999999999996</v>
      </c>
      <c r="BV29" s="6"/>
      <c r="BW29" s="6"/>
      <c r="BX29" s="6"/>
      <c r="BY29" s="6">
        <f t="shared" si="36"/>
        <v>33.06880000000001</v>
      </c>
      <c r="BZ29" s="6"/>
      <c r="CA29" s="6">
        <f t="shared" si="34"/>
        <v>0.35846937669376705</v>
      </c>
      <c r="CB29" s="6">
        <f t="shared" si="37"/>
        <v>5.3177999999999912</v>
      </c>
      <c r="CC29" s="17">
        <f t="shared" si="35"/>
        <v>0.27624935064935019</v>
      </c>
      <c r="CD29" s="17"/>
      <c r="CE29" s="18"/>
      <c r="CF29" s="8"/>
      <c r="CG29" s="20"/>
      <c r="CH29" s="20"/>
      <c r="CI29" s="8"/>
      <c r="CN29" s="8"/>
      <c r="CO29" s="9"/>
      <c r="CP29" s="6"/>
      <c r="CQ29" s="6"/>
      <c r="CR29" s="6"/>
      <c r="CS29" s="9"/>
      <c r="CT29" s="9"/>
      <c r="CU29" s="9"/>
      <c r="CZ29" s="6"/>
      <c r="DA29" s="8"/>
      <c r="DB29" s="6"/>
    </row>
    <row r="30" spans="1:106" x14ac:dyDescent="0.2">
      <c r="B30" s="3" t="s">
        <v>216</v>
      </c>
      <c r="C30" s="3">
        <v>4.231E-2</v>
      </c>
      <c r="D30" s="3">
        <v>2.1609600000000002</v>
      </c>
      <c r="E30" s="3">
        <v>4.7194799999999999</v>
      </c>
      <c r="F30" s="3" t="s">
        <v>167</v>
      </c>
      <c r="G30" s="3" t="s">
        <v>167</v>
      </c>
      <c r="H30" s="3" t="s">
        <v>167</v>
      </c>
      <c r="I30" s="3" t="s">
        <v>167</v>
      </c>
      <c r="J30" s="3" t="s">
        <v>167</v>
      </c>
      <c r="K30" s="3" t="s">
        <v>167</v>
      </c>
      <c r="L30" s="3" t="s">
        <v>167</v>
      </c>
      <c r="M30" s="3"/>
      <c r="N30" s="3"/>
      <c r="P30" s="2">
        <v>45599</v>
      </c>
      <c r="Q30" s="31">
        <v>0.52083333333333337</v>
      </c>
      <c r="R30">
        <f>R28+12+7+0.25</f>
        <v>92.25</v>
      </c>
      <c r="S30" t="s">
        <v>37</v>
      </c>
      <c r="T30">
        <v>17</v>
      </c>
      <c r="W30">
        <v>24.72</v>
      </c>
      <c r="X30">
        <v>108</v>
      </c>
      <c r="Y30">
        <v>7.1382000000000003</v>
      </c>
      <c r="Z30">
        <v>7.2331000000000003</v>
      </c>
      <c r="AA30">
        <v>8</v>
      </c>
      <c r="AB30">
        <f t="shared" si="38"/>
        <v>9.4899999999999984E-2</v>
      </c>
      <c r="AC30" s="9">
        <f t="shared" si="39"/>
        <v>11.862499999999997</v>
      </c>
      <c r="AD30" s="9">
        <v>13.2</v>
      </c>
      <c r="AE30" s="9">
        <f>FAMES!N31</f>
        <v>2.266</v>
      </c>
      <c r="AF30" s="45">
        <f t="shared" si="14"/>
        <v>0.17166666666666669</v>
      </c>
      <c r="AG30">
        <f t="shared" si="15"/>
        <v>2.0363958333333332</v>
      </c>
      <c r="AI30" s="9">
        <f>$BF$14-BF30</f>
        <v>52.242600000000003</v>
      </c>
      <c r="AJ30">
        <f t="shared" si="16"/>
        <v>0.23425040650406503</v>
      </c>
      <c r="AK30" s="9">
        <f t="shared" si="17"/>
        <v>0.41363944367240524</v>
      </c>
      <c r="AL30" s="8">
        <f t="shared" si="18"/>
        <v>0.12859078590785905</v>
      </c>
      <c r="AM30" s="8">
        <f t="shared" si="19"/>
        <v>0.22706565140326088</v>
      </c>
      <c r="AN30" s="46">
        <f t="shared" si="24"/>
        <v>2.207475158084914E-2</v>
      </c>
      <c r="AO30" s="45">
        <f t="shared" si="20"/>
        <v>3.8979603490893126E-2</v>
      </c>
      <c r="AP30">
        <f t="shared" si="25"/>
        <v>8.468900000000005</v>
      </c>
      <c r="AQ30" s="8">
        <f t="shared" si="26"/>
        <v>0.43994285714285741</v>
      </c>
      <c r="AR30" s="8">
        <f t="shared" si="27"/>
        <v>4.4279658515170304E-3</v>
      </c>
      <c r="AS30" s="9">
        <f t="shared" si="28"/>
        <v>1.0064865878886607E-2</v>
      </c>
      <c r="AT30" s="8">
        <f t="shared" si="29"/>
        <v>0.63031798698768404</v>
      </c>
      <c r="AU30" s="40">
        <f t="shared" si="30"/>
        <v>7.4427373919598014E-2</v>
      </c>
      <c r="AV30" s="8"/>
      <c r="AW30" s="8">
        <f t="shared" si="31"/>
        <v>0.64070509507566609</v>
      </c>
      <c r="AX30" s="8"/>
      <c r="AY30" s="8"/>
      <c r="AZ30" s="8"/>
      <c r="BA30" s="8"/>
      <c r="BB30" s="8"/>
      <c r="BC30" s="8"/>
      <c r="BD30">
        <f t="shared" si="0"/>
        <v>0.42310000000000003</v>
      </c>
      <c r="BE30">
        <f t="shared" si="21"/>
        <v>21.6096</v>
      </c>
      <c r="BF30">
        <f t="shared" si="1"/>
        <v>47.194799999999994</v>
      </c>
      <c r="BG30" t="str">
        <f t="shared" si="2"/>
        <v/>
      </c>
      <c r="BH30" t="str">
        <f t="shared" si="3"/>
        <v/>
      </c>
      <c r="BI30" t="str">
        <f t="shared" si="4"/>
        <v/>
      </c>
      <c r="BJ30" t="str">
        <f t="shared" si="5"/>
        <v/>
      </c>
      <c r="BK30" t="str">
        <f t="shared" si="6"/>
        <v/>
      </c>
      <c r="BL30" t="str">
        <f t="shared" si="7"/>
        <v/>
      </c>
      <c r="BM30" t="str">
        <f t="shared" si="8"/>
        <v/>
      </c>
      <c r="BN30" t="str">
        <f t="shared" si="9"/>
        <v/>
      </c>
      <c r="BO30" t="str">
        <f t="shared" si="10"/>
        <v/>
      </c>
      <c r="BP30" s="11"/>
      <c r="BQ30" s="11" t="s">
        <v>37</v>
      </c>
      <c r="BR30" s="6"/>
      <c r="BS30" t="str">
        <f t="shared" si="12"/>
        <v>Jeff_SloHot50_Biostat 2L-22-17</v>
      </c>
      <c r="BT30" s="6"/>
      <c r="BU30" s="5">
        <f t="shared" si="22"/>
        <v>21.6096</v>
      </c>
      <c r="BV30" s="6"/>
      <c r="BW30" s="6"/>
      <c r="BX30" s="6"/>
      <c r="BY30" s="6"/>
      <c r="BZ30" s="6"/>
      <c r="CA30" s="6"/>
      <c r="CB30" s="6"/>
      <c r="CC30" s="17"/>
      <c r="CD30" s="17"/>
      <c r="CE30" s="18"/>
      <c r="CF30" s="8"/>
      <c r="CG30" s="20"/>
      <c r="CH30" s="20"/>
      <c r="CI30" s="8"/>
      <c r="CN30" s="8"/>
      <c r="CO30" s="9"/>
      <c r="CP30" s="6"/>
      <c r="CQ30" s="6"/>
      <c r="CR30" s="6"/>
      <c r="CS30" s="9"/>
      <c r="CT30" s="9"/>
      <c r="CU30" s="9"/>
      <c r="CZ30" s="6"/>
      <c r="DA30" s="8"/>
      <c r="DB30" s="6"/>
    </row>
    <row r="31" spans="1:106" x14ac:dyDescent="0.2">
      <c r="B31" s="3" t="s">
        <v>217</v>
      </c>
      <c r="C31" s="3">
        <v>4.4549999999999999E-2</v>
      </c>
      <c r="D31" s="3">
        <v>1.5276000000000001</v>
      </c>
      <c r="E31" s="3">
        <v>5.6360200000000003</v>
      </c>
      <c r="F31" s="3" t="s">
        <v>167</v>
      </c>
      <c r="G31" s="3" t="s">
        <v>167</v>
      </c>
      <c r="H31" s="3" t="s">
        <v>167</v>
      </c>
      <c r="I31" s="3" t="s">
        <v>167</v>
      </c>
      <c r="J31" s="3" t="s">
        <v>167</v>
      </c>
      <c r="K31" s="3" t="s">
        <v>167</v>
      </c>
      <c r="L31" s="3" t="s">
        <v>167</v>
      </c>
      <c r="M31" s="3"/>
      <c r="N31" s="3"/>
      <c r="R31">
        <f>R29+12+7+0.25</f>
        <v>92.25</v>
      </c>
      <c r="S31" t="s">
        <v>38</v>
      </c>
      <c r="T31">
        <v>18</v>
      </c>
      <c r="W31">
        <v>23.68</v>
      </c>
      <c r="X31">
        <v>67</v>
      </c>
      <c r="Y31">
        <v>7.1741000000000001</v>
      </c>
      <c r="Z31">
        <v>7.2712000000000003</v>
      </c>
      <c r="AA31">
        <v>8</v>
      </c>
      <c r="AB31">
        <f t="shared" si="38"/>
        <v>9.7100000000000186E-2</v>
      </c>
      <c r="AC31" s="9">
        <f t="shared" si="39"/>
        <v>12.137500000000022</v>
      </c>
      <c r="AD31" s="9">
        <v>17.7</v>
      </c>
      <c r="AE31" s="9">
        <f>FAMES!N32</f>
        <v>3.2105000000000001</v>
      </c>
      <c r="AF31" s="45">
        <f t="shared" si="14"/>
        <v>0.18138418079096047</v>
      </c>
      <c r="AG31">
        <f t="shared" si="15"/>
        <v>2.2015504943502866</v>
      </c>
      <c r="AI31" s="9">
        <f>$BF$15-BF31</f>
        <v>43.032900000000012</v>
      </c>
      <c r="AJ31">
        <f t="shared" si="16"/>
        <v>0.16559349593495937</v>
      </c>
      <c r="AK31" s="9">
        <f t="shared" si="17"/>
        <v>0.35498420975579142</v>
      </c>
      <c r="AL31" s="8">
        <f t="shared" si="18"/>
        <v>0.13157181571815743</v>
      </c>
      <c r="AM31" s="8">
        <f t="shared" si="19"/>
        <v>0.28205163955950024</v>
      </c>
      <c r="AN31" s="46">
        <f t="shared" si="24"/>
        <v>2.3865046009217197E-2</v>
      </c>
      <c r="AO31" s="45">
        <f t="shared" si="20"/>
        <v>5.1159705582247209E-2</v>
      </c>
      <c r="AP31">
        <f t="shared" si="25"/>
        <v>9.964100000000002</v>
      </c>
      <c r="AQ31" s="8">
        <f t="shared" si="26"/>
        <v>0.51761558441558453</v>
      </c>
      <c r="AR31" s="8">
        <f t="shared" si="27"/>
        <v>0.12670487048504672</v>
      </c>
      <c r="AS31" s="9">
        <f t="shared" si="28"/>
        <v>0.24478565618943496</v>
      </c>
      <c r="AT31" s="8">
        <f t="shared" si="29"/>
        <v>0.66090264047932079</v>
      </c>
      <c r="AU31" s="40">
        <f t="shared" si="30"/>
        <v>6.6328382942696343E-2</v>
      </c>
      <c r="AV31" s="8"/>
      <c r="AW31" s="8">
        <f t="shared" si="31"/>
        <v>0.63703584931529167</v>
      </c>
      <c r="AX31" s="8"/>
      <c r="AY31" s="8"/>
      <c r="AZ31" s="8"/>
      <c r="BA31" s="8"/>
      <c r="BB31" s="8"/>
      <c r="BC31" s="8"/>
      <c r="BD31">
        <f>IF(ISNUMBER(C31),C31*1000/100,"")</f>
        <v>0.44549999999999995</v>
      </c>
      <c r="BE31">
        <f t="shared" si="21"/>
        <v>15.276000000000002</v>
      </c>
      <c r="BF31">
        <f t="shared" ref="BF31:BL31" si="40">IF(ISNUMBER(E31),E31*1000/100,"")</f>
        <v>56.360200000000006</v>
      </c>
      <c r="BG31" t="str">
        <f t="shared" si="40"/>
        <v/>
      </c>
      <c r="BH31" t="str">
        <f t="shared" si="40"/>
        <v/>
      </c>
      <c r="BI31" t="str">
        <f t="shared" si="40"/>
        <v/>
      </c>
      <c r="BJ31" t="str">
        <f t="shared" si="40"/>
        <v/>
      </c>
      <c r="BK31" t="str">
        <f t="shared" si="40"/>
        <v/>
      </c>
      <c r="BL31" t="str">
        <f t="shared" si="40"/>
        <v/>
      </c>
      <c r="BM31" t="str">
        <f t="shared" ref="BM31" si="41">IF(ISNUMBER(L31),L31*1000/100,"")</f>
        <v/>
      </c>
      <c r="BN31" t="str">
        <f t="shared" ref="BN31" si="42">IF(ISNUMBER(M31),M31*1000/100,"")</f>
        <v/>
      </c>
      <c r="BO31" t="str">
        <f t="shared" ref="BO31" si="43">IF(ISNUMBER(N31),N31*1000/100,"")</f>
        <v/>
      </c>
      <c r="BP31" s="11"/>
      <c r="BQ31" s="11" t="s">
        <v>38</v>
      </c>
      <c r="BR31" s="6"/>
      <c r="BS31" t="str">
        <f t="shared" si="12"/>
        <v>Jeff_SloHot50_Biostat 2L-22-18</v>
      </c>
      <c r="BT31" s="4"/>
      <c r="BU31" s="5">
        <f t="shared" si="22"/>
        <v>15.276000000000002</v>
      </c>
      <c r="BV31" s="6"/>
      <c r="BW31" s="6"/>
      <c r="BX31" s="6"/>
      <c r="BY31" s="6"/>
      <c r="BZ31" s="6"/>
      <c r="CA31" s="6"/>
      <c r="CB31" s="6"/>
      <c r="CC31" s="17"/>
      <c r="CD31" s="17"/>
      <c r="CE31" s="18"/>
      <c r="CF31" s="8"/>
      <c r="CG31" s="20"/>
      <c r="CH31" s="20"/>
      <c r="CI31" s="8"/>
      <c r="CN31" s="8"/>
      <c r="CO31" s="9"/>
      <c r="CP31" s="6"/>
      <c r="CQ31" s="6"/>
      <c r="CR31" s="6"/>
      <c r="CS31" s="9"/>
      <c r="CT31" s="9"/>
      <c r="CU31" s="9"/>
      <c r="CZ31" s="6"/>
      <c r="DA31" s="8"/>
      <c r="DB31" s="6"/>
    </row>
    <row r="32" spans="1:106" x14ac:dyDescent="0.2">
      <c r="BR32"/>
      <c r="BT32" s="4"/>
      <c r="BU32" s="5">
        <f t="shared" si="22"/>
        <v>0</v>
      </c>
      <c r="BV32" s="6"/>
      <c r="BW32" s="6"/>
      <c r="BX32" s="6"/>
      <c r="BY32" s="6"/>
      <c r="BZ32" s="6"/>
      <c r="CA32" s="6"/>
      <c r="CB32" s="6"/>
      <c r="CC32" s="17"/>
      <c r="CD32" s="17"/>
      <c r="CE32" s="18"/>
      <c r="CF32" s="8"/>
      <c r="CG32" s="20"/>
      <c r="CH32" s="20"/>
      <c r="CI32" s="8"/>
      <c r="CN32" s="8"/>
      <c r="CO32" s="9"/>
      <c r="CP32" s="6"/>
      <c r="CQ32" s="6"/>
      <c r="CR32" s="6"/>
      <c r="CS32" s="9"/>
      <c r="CT32" s="9"/>
      <c r="CU32" s="9"/>
      <c r="CZ32" s="6"/>
      <c r="DA32" s="8"/>
      <c r="DB32" s="6"/>
    </row>
    <row r="33" spans="1:105" x14ac:dyDescent="0.2">
      <c r="BR33"/>
      <c r="BU33" s="5">
        <f t="shared" si="22"/>
        <v>0</v>
      </c>
      <c r="BV33" s="6"/>
      <c r="BW33" s="6"/>
      <c r="BX33" s="6"/>
      <c r="BY33" s="6"/>
      <c r="BZ33" s="6"/>
      <c r="CA33" s="6"/>
      <c r="CB33" s="6"/>
      <c r="CC33" s="17"/>
      <c r="CD33" s="17"/>
      <c r="CE33" s="18"/>
      <c r="CF33" s="8"/>
      <c r="CG33" s="20"/>
      <c r="CH33" s="20"/>
      <c r="CI33" s="8"/>
      <c r="CN33" s="8"/>
      <c r="CO33" s="9"/>
      <c r="CP33" s="6"/>
      <c r="CQ33" s="6"/>
      <c r="CR33" s="6"/>
      <c r="CS33" s="22"/>
      <c r="CT33" s="9"/>
      <c r="CU33" s="9"/>
      <c r="CZ33" s="6"/>
      <c r="DA33" s="8"/>
    </row>
    <row r="34" spans="1:105" s="23" customFormat="1" ht="17" thickBo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 s="5">
        <f t="shared" si="22"/>
        <v>0</v>
      </c>
      <c r="BV34" s="6"/>
      <c r="BW34" s="6"/>
      <c r="BX34" s="6"/>
      <c r="BY34" s="6"/>
      <c r="BZ34" s="6"/>
      <c r="CA34" s="6"/>
      <c r="CB34" s="6"/>
      <c r="CC34" s="17"/>
      <c r="CD34" s="17"/>
      <c r="CE34" s="18"/>
      <c r="CF34" s="8"/>
      <c r="CG34" s="20"/>
      <c r="CH34" s="20"/>
      <c r="CI34" s="8"/>
      <c r="CJ34"/>
      <c r="CL34"/>
      <c r="CM34"/>
      <c r="CN34" s="8"/>
      <c r="CO34" s="9"/>
      <c r="CP34" s="6"/>
      <c r="CQ34" s="6"/>
      <c r="CR34" s="6"/>
      <c r="CS34" s="24"/>
      <c r="CT34" s="9"/>
      <c r="CU34" s="9"/>
      <c r="CX34"/>
      <c r="CY34"/>
      <c r="CZ34" s="6"/>
      <c r="DA34" s="8"/>
    </row>
    <row r="35" spans="1:105" x14ac:dyDescent="0.2">
      <c r="BR35"/>
      <c r="BT35" s="6"/>
      <c r="BU35" s="5">
        <f t="shared" si="22"/>
        <v>0</v>
      </c>
      <c r="BV35" s="6"/>
      <c r="BW35" s="6"/>
      <c r="BX35" s="6"/>
      <c r="BY35" s="6"/>
      <c r="BZ35" s="6"/>
      <c r="CA35" s="6"/>
      <c r="CB35" s="6"/>
      <c r="CC35" s="17"/>
      <c r="CD35" s="17"/>
      <c r="CE35" s="18"/>
      <c r="CF35" s="8"/>
      <c r="CG35" s="20"/>
      <c r="CH35" s="20"/>
      <c r="CI35" s="8"/>
      <c r="CN35" s="8"/>
      <c r="CO35" s="9"/>
      <c r="CP35" s="6"/>
      <c r="CQ35" s="6"/>
      <c r="CR35" s="6"/>
      <c r="CS35" s="9"/>
      <c r="CT35" s="9"/>
      <c r="CU35" s="9"/>
      <c r="CZ35" s="6"/>
      <c r="DA35" s="8"/>
    </row>
    <row r="36" spans="1:105" x14ac:dyDescent="0.2">
      <c r="BR36"/>
      <c r="BU36" s="5">
        <f t="shared" si="22"/>
        <v>0</v>
      </c>
      <c r="BZ36"/>
      <c r="CA36"/>
    </row>
    <row r="37" spans="1:105" x14ac:dyDescent="0.2">
      <c r="BR37"/>
      <c r="BU37" s="5">
        <f t="shared" si="22"/>
        <v>0</v>
      </c>
      <c r="BZ37"/>
      <c r="CA37"/>
    </row>
    <row r="38" spans="1:105" x14ac:dyDescent="0.2">
      <c r="BR38"/>
      <c r="BZ38"/>
      <c r="CA38"/>
    </row>
    <row r="39" spans="1:105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BP39" s="11"/>
      <c r="BR39"/>
      <c r="BZ39"/>
      <c r="CA39"/>
    </row>
    <row r="40" spans="1:105" x14ac:dyDescent="0.2">
      <c r="BP40" s="11"/>
      <c r="BR40"/>
      <c r="BZ40"/>
      <c r="CA40"/>
    </row>
    <row r="41" spans="1:105" x14ac:dyDescent="0.2">
      <c r="BP41" s="11"/>
      <c r="BR41"/>
      <c r="BZ41"/>
      <c r="CA41"/>
    </row>
    <row r="42" spans="1:105" x14ac:dyDescent="0.2">
      <c r="BP42" s="11"/>
      <c r="BR42"/>
      <c r="BZ42"/>
      <c r="CA42"/>
    </row>
    <row r="43" spans="1:105" x14ac:dyDescent="0.2">
      <c r="BP43" s="11"/>
      <c r="BR43"/>
      <c r="BZ43"/>
      <c r="CA43"/>
    </row>
    <row r="44" spans="1:105" x14ac:dyDescent="0.2">
      <c r="BP44" s="11"/>
      <c r="BR44"/>
      <c r="BZ44"/>
      <c r="CA44"/>
    </row>
    <row r="45" spans="1:105" x14ac:dyDescent="0.2">
      <c r="BP45" s="11"/>
      <c r="BR45"/>
      <c r="BZ45"/>
      <c r="CA45"/>
    </row>
    <row r="46" spans="1:105" x14ac:dyDescent="0.2">
      <c r="BP46" s="11"/>
      <c r="BR46"/>
      <c r="BZ46"/>
      <c r="CA46"/>
    </row>
    <row r="47" spans="1:105" x14ac:dyDescent="0.2">
      <c r="BP47" s="11"/>
      <c r="BR47"/>
      <c r="BZ47"/>
      <c r="CA47"/>
    </row>
    <row r="48" spans="1:105" x14ac:dyDescent="0.2">
      <c r="BP48" s="11"/>
      <c r="BR48"/>
      <c r="BZ48"/>
      <c r="CA48"/>
    </row>
    <row r="49" spans="68:79" x14ac:dyDescent="0.2">
      <c r="BP49" s="11"/>
      <c r="BR49"/>
      <c r="BZ49"/>
      <c r="CA49"/>
    </row>
    <row r="50" spans="68:79" x14ac:dyDescent="0.2">
      <c r="BP50" s="11"/>
      <c r="BR50"/>
      <c r="BZ50"/>
      <c r="CA50"/>
    </row>
    <row r="51" spans="68:79" x14ac:dyDescent="0.2">
      <c r="BP51" s="11"/>
      <c r="BR51"/>
      <c r="BZ51"/>
      <c r="CA51"/>
    </row>
    <row r="52" spans="68:79" x14ac:dyDescent="0.2">
      <c r="BP52" s="11"/>
      <c r="BR52"/>
      <c r="BZ52"/>
      <c r="CA52"/>
    </row>
    <row r="53" spans="68:79" x14ac:dyDescent="0.2">
      <c r="BP53" s="11"/>
      <c r="BR53"/>
      <c r="BZ53"/>
      <c r="CA53"/>
    </row>
    <row r="54" spans="68:79" x14ac:dyDescent="0.2">
      <c r="BP54" s="11"/>
      <c r="BR54"/>
      <c r="BZ54"/>
      <c r="CA54"/>
    </row>
    <row r="55" spans="68:79" x14ac:dyDescent="0.2">
      <c r="BP55" s="11"/>
      <c r="BR55"/>
      <c r="BZ55"/>
      <c r="CA55"/>
    </row>
    <row r="56" spans="68:79" x14ac:dyDescent="0.2">
      <c r="BP56" s="11"/>
      <c r="BR56"/>
      <c r="BZ56"/>
      <c r="CA56"/>
    </row>
    <row r="57" spans="68:79" x14ac:dyDescent="0.2">
      <c r="BP57" s="11"/>
      <c r="BR57"/>
      <c r="BZ57"/>
      <c r="CA57"/>
    </row>
    <row r="58" spans="68:79" x14ac:dyDescent="0.2">
      <c r="BP58" s="11"/>
      <c r="BR58"/>
      <c r="BZ58"/>
      <c r="CA58"/>
    </row>
    <row r="59" spans="68:79" x14ac:dyDescent="0.2">
      <c r="BP59" s="11"/>
      <c r="BR59"/>
      <c r="BZ59"/>
      <c r="CA59"/>
    </row>
    <row r="60" spans="68:79" x14ac:dyDescent="0.2">
      <c r="BP60" s="11"/>
      <c r="BR60"/>
      <c r="BZ60"/>
      <c r="CA60"/>
    </row>
    <row r="61" spans="68:79" x14ac:dyDescent="0.2">
      <c r="BP61" s="11"/>
      <c r="BR61"/>
      <c r="BZ61"/>
      <c r="CA61"/>
    </row>
    <row r="62" spans="68:79" x14ac:dyDescent="0.2">
      <c r="BP62" s="11"/>
      <c r="BR62"/>
      <c r="BZ62"/>
      <c r="CA62"/>
    </row>
    <row r="63" spans="68:79" x14ac:dyDescent="0.2">
      <c r="BP63" s="11"/>
      <c r="BR63"/>
      <c r="BZ63"/>
      <c r="CA63"/>
    </row>
    <row r="64" spans="68:79" x14ac:dyDescent="0.2">
      <c r="BP64" s="11"/>
      <c r="BR64"/>
      <c r="BZ64"/>
      <c r="CA64"/>
    </row>
    <row r="65" spans="21:105" x14ac:dyDescent="0.2">
      <c r="BP65" s="11"/>
      <c r="BR65"/>
      <c r="BZ65"/>
      <c r="CA65"/>
    </row>
    <row r="66" spans="21:105" x14ac:dyDescent="0.2">
      <c r="BP66" s="11"/>
      <c r="BR66"/>
      <c r="BZ66"/>
      <c r="CA66"/>
    </row>
    <row r="67" spans="21:105" x14ac:dyDescent="0.2">
      <c r="BP67" s="11"/>
      <c r="BR67"/>
      <c r="BZ67"/>
      <c r="CA67"/>
      <c r="CB67" s="6"/>
      <c r="CC67" s="18"/>
      <c r="CD67" s="29"/>
      <c r="CH67" s="20"/>
      <c r="CI67" s="8"/>
      <c r="CN67" s="9"/>
      <c r="CO67" s="9"/>
      <c r="CP67" s="6"/>
      <c r="CQ67" s="6"/>
      <c r="CR67" s="6"/>
      <c r="CS67" s="9"/>
      <c r="CT67" s="9"/>
      <c r="CU67" s="9"/>
      <c r="CZ67" s="6"/>
      <c r="DA67" s="6"/>
    </row>
    <row r="68" spans="21:105" x14ac:dyDescent="0.2">
      <c r="BR68"/>
      <c r="BU68" s="5"/>
      <c r="BZ68"/>
      <c r="CA68"/>
      <c r="CC68" s="15"/>
      <c r="CD68" s="27"/>
    </row>
    <row r="71" spans="21:105" x14ac:dyDescent="0.2">
      <c r="U71">
        <f>390/24</f>
        <v>16.25</v>
      </c>
    </row>
    <row r="76" spans="21:105" x14ac:dyDescent="0.2">
      <c r="BP76" s="8"/>
    </row>
  </sheetData>
  <autoFilter ref="A13:CL67" xr:uid="{B3D1077A-180E-2048-ACB0-3483679027C1}"/>
  <mergeCells count="2">
    <mergeCell ref="BD12:BN12"/>
    <mergeCell ref="BQ12:CW12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7E1D6-CB7D-FE41-BDF6-A27A1E1C2ECB}">
  <dimension ref="A1:S32"/>
  <sheetViews>
    <sheetView zoomScaleNormal="100" workbookViewId="0">
      <selection activeCell="N15" sqref="N15:N32"/>
    </sheetView>
  </sheetViews>
  <sheetFormatPr baseColWidth="10" defaultRowHeight="16" x14ac:dyDescent="0.2"/>
  <sheetData>
    <row r="1" spans="1:19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">
      <c r="A2" t="s">
        <v>239</v>
      </c>
      <c r="B2" s="44">
        <v>0.78</v>
      </c>
      <c r="C2" s="44">
        <v>0.79300000000000004</v>
      </c>
      <c r="D2" s="44">
        <v>0.86199999999999999</v>
      </c>
      <c r="E2" s="44">
        <v>0.88400000000000001</v>
      </c>
      <c r="F2" s="44">
        <v>0.88300000000000001</v>
      </c>
      <c r="G2" s="44">
        <v>0.82699999999999996</v>
      </c>
      <c r="H2" s="44">
        <v>0.747</v>
      </c>
      <c r="I2" s="44">
        <v>0.84099999999999997</v>
      </c>
      <c r="J2" s="44">
        <v>0.872</v>
      </c>
      <c r="K2" s="44">
        <v>1.0149999999999999</v>
      </c>
      <c r="L2" s="44">
        <v>0.93400000000000005</v>
      </c>
      <c r="M2" s="44">
        <v>0.71099999999999997</v>
      </c>
      <c r="N2" s="44">
        <v>0.97899999999999998</v>
      </c>
      <c r="O2" s="44">
        <v>0.98199999999999998</v>
      </c>
      <c r="P2" s="44">
        <v>0.85</v>
      </c>
      <c r="Q2" s="44">
        <v>0.995</v>
      </c>
      <c r="R2" s="44">
        <v>0.72299999999999998</v>
      </c>
      <c r="S2" s="44">
        <v>0.96799999999999997</v>
      </c>
    </row>
    <row r="3" spans="1:19" x14ac:dyDescent="0.2">
      <c r="A3" t="s">
        <v>240</v>
      </c>
      <c r="B3" s="44" t="s">
        <v>238</v>
      </c>
      <c r="C3" s="44" t="s">
        <v>238</v>
      </c>
      <c r="D3" s="44" t="s">
        <v>238</v>
      </c>
      <c r="E3" s="44" t="s">
        <v>238</v>
      </c>
      <c r="F3" s="44" t="s">
        <v>238</v>
      </c>
      <c r="G3" s="44" t="s">
        <v>238</v>
      </c>
      <c r="H3" s="44" t="s">
        <v>238</v>
      </c>
      <c r="I3" s="44" t="s">
        <v>238</v>
      </c>
      <c r="J3" s="44" t="s">
        <v>238</v>
      </c>
      <c r="K3" s="44" t="s">
        <v>238</v>
      </c>
      <c r="L3" s="44" t="s">
        <v>238</v>
      </c>
      <c r="M3" s="44">
        <v>1.6E-2</v>
      </c>
      <c r="N3" s="44">
        <v>3.0000000000000001E-3</v>
      </c>
      <c r="O3" s="44" t="s">
        <v>238</v>
      </c>
      <c r="P3" s="44" t="s">
        <v>238</v>
      </c>
      <c r="Q3" s="44" t="s">
        <v>238</v>
      </c>
      <c r="R3" s="44" t="s">
        <v>238</v>
      </c>
      <c r="S3" s="44" t="s">
        <v>238</v>
      </c>
    </row>
    <row r="4" spans="1:19" x14ac:dyDescent="0.2">
      <c r="A4" t="s">
        <v>241</v>
      </c>
      <c r="B4" s="44">
        <v>0.155</v>
      </c>
      <c r="C4" s="44">
        <v>0.13500000000000001</v>
      </c>
      <c r="D4" s="44">
        <v>0.28699999999999998</v>
      </c>
      <c r="E4" s="44">
        <v>0.16</v>
      </c>
      <c r="F4" s="44">
        <v>0.27700000000000002</v>
      </c>
      <c r="G4" s="44">
        <v>0.156</v>
      </c>
      <c r="H4" s="44">
        <v>0.33400000000000002</v>
      </c>
      <c r="I4" s="44">
        <v>0.28899999999999998</v>
      </c>
      <c r="J4" s="44">
        <v>0.68200000000000005</v>
      </c>
      <c r="K4" s="44">
        <v>0.38200000000000001</v>
      </c>
      <c r="L4" s="44">
        <v>0.69</v>
      </c>
      <c r="M4" s="44">
        <v>0.39100000000000001</v>
      </c>
      <c r="N4" s="44">
        <v>0.92700000000000005</v>
      </c>
      <c r="O4" s="44">
        <v>0.871</v>
      </c>
      <c r="P4" s="44">
        <v>0.71399999999999997</v>
      </c>
      <c r="Q4" s="44">
        <v>0.67100000000000004</v>
      </c>
      <c r="R4" s="44">
        <v>0.72099999999999997</v>
      </c>
      <c r="S4" s="44">
        <v>0.91</v>
      </c>
    </row>
    <row r="5" spans="1:19" x14ac:dyDescent="0.2">
      <c r="A5" t="s">
        <v>242</v>
      </c>
      <c r="B5" s="44">
        <v>1.7999999999999999E-2</v>
      </c>
      <c r="C5" s="44">
        <v>5.0000000000000001E-3</v>
      </c>
      <c r="D5" s="44">
        <v>9.1999999999999998E-2</v>
      </c>
      <c r="E5" s="44">
        <v>1.2E-2</v>
      </c>
      <c r="F5" s="44">
        <v>8.8999999999999996E-2</v>
      </c>
      <c r="G5" s="44">
        <v>3.5000000000000003E-2</v>
      </c>
      <c r="H5" s="44">
        <v>0.126</v>
      </c>
      <c r="I5" s="44">
        <v>0.104</v>
      </c>
      <c r="J5" s="44">
        <v>0.34599999999999997</v>
      </c>
      <c r="K5" s="44">
        <v>0.17799999999999999</v>
      </c>
      <c r="L5" s="44">
        <v>0.34100000000000003</v>
      </c>
      <c r="M5" s="44">
        <v>0.22700000000000001</v>
      </c>
      <c r="N5" s="44">
        <v>0.503</v>
      </c>
      <c r="O5" s="44">
        <v>0.51600000000000001</v>
      </c>
      <c r="P5" s="44">
        <v>0.39100000000000001</v>
      </c>
      <c r="Q5" s="44">
        <v>0.374</v>
      </c>
      <c r="R5" s="44">
        <v>0.40799999999999997</v>
      </c>
      <c r="S5" s="44">
        <v>0.56299999999999994</v>
      </c>
    </row>
    <row r="6" spans="1:19" x14ac:dyDescent="0.2">
      <c r="A6" t="s">
        <v>243</v>
      </c>
      <c r="B6" s="44">
        <v>0.111</v>
      </c>
      <c r="C6" s="44">
        <v>0.10299999999999999</v>
      </c>
      <c r="D6" s="44">
        <v>0.158</v>
      </c>
      <c r="E6" s="44">
        <v>0.11600000000000001</v>
      </c>
      <c r="F6" s="44">
        <v>0.161</v>
      </c>
      <c r="G6" s="44">
        <v>9.1999999999999998E-2</v>
      </c>
      <c r="H6" s="44">
        <v>0.19400000000000001</v>
      </c>
      <c r="I6" s="44">
        <v>0.13500000000000001</v>
      </c>
      <c r="J6" s="44">
        <v>0.34200000000000003</v>
      </c>
      <c r="K6" s="44">
        <v>0.20899999999999999</v>
      </c>
      <c r="L6" s="44">
        <v>0.318</v>
      </c>
      <c r="M6" s="44">
        <v>0.223</v>
      </c>
      <c r="N6" s="44">
        <v>0.42799999999999999</v>
      </c>
      <c r="O6" s="44">
        <v>0.495</v>
      </c>
      <c r="P6" s="44">
        <v>0.34200000000000003</v>
      </c>
      <c r="Q6" s="44">
        <v>0.39400000000000002</v>
      </c>
      <c r="R6" s="44">
        <v>0.35799999999999998</v>
      </c>
      <c r="S6" s="44">
        <v>0.53800000000000003</v>
      </c>
    </row>
    <row r="7" spans="1:19" x14ac:dyDescent="0.2">
      <c r="A7" t="s">
        <v>244</v>
      </c>
      <c r="B7" s="44">
        <v>9.7000000000000003E-2</v>
      </c>
      <c r="C7" s="44">
        <v>2.5000000000000001E-2</v>
      </c>
      <c r="D7" s="44">
        <v>0.749</v>
      </c>
      <c r="E7" s="44">
        <v>6.2E-2</v>
      </c>
      <c r="F7" s="44">
        <v>0.82499999999999996</v>
      </c>
      <c r="G7" s="44">
        <v>0.14099999999999999</v>
      </c>
      <c r="H7" s="44">
        <v>1.163</v>
      </c>
      <c r="I7" s="44">
        <v>0.68200000000000005</v>
      </c>
      <c r="J7" s="44">
        <v>2.3980000000000001</v>
      </c>
      <c r="K7" s="44">
        <v>1.1399999999999999</v>
      </c>
      <c r="L7" s="44">
        <v>2.0920000000000001</v>
      </c>
      <c r="M7" s="44">
        <v>1.573</v>
      </c>
      <c r="N7" s="44">
        <v>3.0369999999999999</v>
      </c>
      <c r="O7" s="44">
        <v>3.2669999999999999</v>
      </c>
      <c r="P7" s="44">
        <v>2.335</v>
      </c>
      <c r="Q7" s="44">
        <v>2.33</v>
      </c>
      <c r="R7" s="44">
        <v>2.476</v>
      </c>
      <c r="S7" s="44">
        <v>3.4569999999999999</v>
      </c>
    </row>
    <row r="8" spans="1:19" x14ac:dyDescent="0.2">
      <c r="A8" t="s">
        <v>245</v>
      </c>
      <c r="B8" s="44">
        <v>0.08</v>
      </c>
      <c r="C8" s="44">
        <v>3.1E-2</v>
      </c>
      <c r="D8" s="44">
        <v>0.32200000000000001</v>
      </c>
      <c r="E8" s="44">
        <v>0.05</v>
      </c>
      <c r="F8" s="44">
        <v>0.252</v>
      </c>
      <c r="G8" s="44">
        <v>0.16400000000000001</v>
      </c>
      <c r="H8" s="44">
        <v>0.28100000000000003</v>
      </c>
      <c r="I8" s="44">
        <v>0.50900000000000001</v>
      </c>
      <c r="J8" s="44">
        <v>0.441</v>
      </c>
      <c r="K8" s="44">
        <v>0.47</v>
      </c>
      <c r="L8" s="44">
        <v>0.47799999999999998</v>
      </c>
      <c r="M8" s="44">
        <v>0.498</v>
      </c>
      <c r="N8" s="44">
        <v>0.63</v>
      </c>
      <c r="O8" s="44">
        <v>0.82199999999999995</v>
      </c>
      <c r="P8" s="44">
        <v>0.44600000000000001</v>
      </c>
      <c r="Q8" s="44">
        <v>0.55500000000000005</v>
      </c>
      <c r="R8" s="44">
        <v>0.46600000000000003</v>
      </c>
      <c r="S8" s="44">
        <v>0.77400000000000002</v>
      </c>
    </row>
    <row r="9" spans="1:19" x14ac:dyDescent="0.2">
      <c r="A9" t="s">
        <v>246</v>
      </c>
      <c r="B9" s="44" t="s">
        <v>238</v>
      </c>
      <c r="C9" s="44" t="s">
        <v>238</v>
      </c>
      <c r="D9" s="44" t="s">
        <v>238</v>
      </c>
      <c r="E9" s="44" t="s">
        <v>238</v>
      </c>
      <c r="F9" s="44" t="s">
        <v>238</v>
      </c>
      <c r="G9" s="44" t="s">
        <v>238</v>
      </c>
      <c r="H9" s="44" t="s">
        <v>238</v>
      </c>
      <c r="I9" s="44" t="s">
        <v>238</v>
      </c>
      <c r="J9" s="44" t="s">
        <v>238</v>
      </c>
      <c r="K9" s="44" t="s">
        <v>238</v>
      </c>
      <c r="L9" s="44" t="s">
        <v>238</v>
      </c>
      <c r="M9" s="44" t="s">
        <v>238</v>
      </c>
      <c r="N9" s="44" t="s">
        <v>238</v>
      </c>
      <c r="O9" s="44" t="s">
        <v>238</v>
      </c>
      <c r="P9" s="44" t="s">
        <v>238</v>
      </c>
      <c r="Q9" s="44" t="s">
        <v>238</v>
      </c>
      <c r="R9" s="44" t="s">
        <v>238</v>
      </c>
      <c r="S9" s="44" t="s">
        <v>238</v>
      </c>
    </row>
    <row r="10" spans="1:19" x14ac:dyDescent="0.2">
      <c r="A10" t="s">
        <v>247</v>
      </c>
      <c r="B10" s="44">
        <v>7.0000000000000001E-3</v>
      </c>
      <c r="C10" s="44">
        <v>6.0000000000000001E-3</v>
      </c>
      <c r="D10" s="44">
        <v>2.1000000000000001E-2</v>
      </c>
      <c r="E10" s="44">
        <v>6.0000000000000001E-3</v>
      </c>
      <c r="F10" s="44">
        <v>3.3000000000000002E-2</v>
      </c>
      <c r="G10" s="44">
        <v>6.0000000000000001E-3</v>
      </c>
      <c r="H10" s="44">
        <v>5.2999999999999999E-2</v>
      </c>
      <c r="I10" s="44">
        <v>1.7999999999999999E-2</v>
      </c>
      <c r="J10" s="44">
        <v>0.112</v>
      </c>
      <c r="K10" s="44">
        <v>4.9000000000000002E-2</v>
      </c>
      <c r="L10" s="44">
        <v>0.104</v>
      </c>
      <c r="M10" s="44">
        <v>8.6999999999999994E-2</v>
      </c>
      <c r="N10" s="44">
        <v>0.14299999999999999</v>
      </c>
      <c r="O10" s="44">
        <v>0.18099999999999999</v>
      </c>
      <c r="P10" s="44">
        <v>0.104</v>
      </c>
      <c r="Q10" s="44">
        <v>0.13100000000000001</v>
      </c>
      <c r="R10" s="44">
        <v>0.10299999999999999</v>
      </c>
      <c r="S10" s="44">
        <v>0.17899999999999999</v>
      </c>
    </row>
    <row r="14" spans="1:19" x14ac:dyDescent="0.2">
      <c r="C14" t="s">
        <v>239</v>
      </c>
      <c r="D14" t="s">
        <v>240</v>
      </c>
      <c r="E14" t="s">
        <v>241</v>
      </c>
      <c r="F14" t="s">
        <v>242</v>
      </c>
      <c r="G14" t="s">
        <v>243</v>
      </c>
      <c r="H14" t="s">
        <v>244</v>
      </c>
      <c r="I14" t="s">
        <v>245</v>
      </c>
      <c r="J14" t="s">
        <v>246</v>
      </c>
      <c r="K14" t="s">
        <v>247</v>
      </c>
      <c r="M14" t="s">
        <v>248</v>
      </c>
      <c r="N14" t="s">
        <v>249</v>
      </c>
    </row>
    <row r="15" spans="1:19" x14ac:dyDescent="0.2">
      <c r="B15">
        <v>1</v>
      </c>
      <c r="C15" s="44">
        <v>0.78</v>
      </c>
      <c r="D15" s="44" t="s">
        <v>238</v>
      </c>
      <c r="E15" s="44">
        <v>0.155</v>
      </c>
      <c r="F15" s="44">
        <v>1.7999999999999999E-2</v>
      </c>
      <c r="G15" s="44">
        <v>0.111</v>
      </c>
      <c r="H15" s="44">
        <v>9.7000000000000003E-2</v>
      </c>
      <c r="I15" s="44">
        <v>0.08</v>
      </c>
      <c r="J15" s="44" t="s">
        <v>238</v>
      </c>
      <c r="K15" s="44">
        <v>7.0000000000000001E-3</v>
      </c>
      <c r="M15">
        <f>SUM(D15:K15)</f>
        <v>0.46800000000000003</v>
      </c>
      <c r="N15">
        <f>M15*0.5</f>
        <v>0.23400000000000001</v>
      </c>
    </row>
    <row r="16" spans="1:19" x14ac:dyDescent="0.2">
      <c r="B16">
        <v>2</v>
      </c>
      <c r="C16" s="44">
        <v>0.79300000000000004</v>
      </c>
      <c r="D16" s="44" t="s">
        <v>238</v>
      </c>
      <c r="E16" s="44">
        <v>0.13500000000000001</v>
      </c>
      <c r="F16" s="44">
        <v>5.0000000000000001E-3</v>
      </c>
      <c r="G16" s="44">
        <v>0.10299999999999999</v>
      </c>
      <c r="H16" s="44">
        <v>2.5000000000000001E-2</v>
      </c>
      <c r="I16" s="44">
        <v>3.1E-2</v>
      </c>
      <c r="J16" s="44" t="s">
        <v>238</v>
      </c>
      <c r="K16" s="44">
        <v>6.0000000000000001E-3</v>
      </c>
      <c r="M16">
        <f t="shared" ref="M16:M32" si="0">SUM(D16:K16)</f>
        <v>0.30500000000000005</v>
      </c>
      <c r="N16">
        <f t="shared" ref="N16:N32" si="1">M16*0.5</f>
        <v>0.15250000000000002</v>
      </c>
    </row>
    <row r="17" spans="2:14" x14ac:dyDescent="0.2">
      <c r="B17">
        <v>3</v>
      </c>
      <c r="C17" s="44">
        <v>0.86199999999999999</v>
      </c>
      <c r="D17" s="44" t="s">
        <v>238</v>
      </c>
      <c r="E17" s="44">
        <v>0.28699999999999998</v>
      </c>
      <c r="F17" s="44">
        <v>9.1999999999999998E-2</v>
      </c>
      <c r="G17" s="44">
        <v>0.158</v>
      </c>
      <c r="H17" s="44">
        <v>0.749</v>
      </c>
      <c r="I17" s="44">
        <v>0.32200000000000001</v>
      </c>
      <c r="J17" s="44" t="s">
        <v>238</v>
      </c>
      <c r="K17" s="44">
        <v>2.1000000000000001E-2</v>
      </c>
      <c r="M17">
        <f t="shared" si="0"/>
        <v>1.629</v>
      </c>
      <c r="N17">
        <f t="shared" si="1"/>
        <v>0.8145</v>
      </c>
    </row>
    <row r="18" spans="2:14" x14ac:dyDescent="0.2">
      <c r="B18">
        <v>4</v>
      </c>
      <c r="C18" s="44">
        <v>0.88400000000000001</v>
      </c>
      <c r="D18" s="44" t="s">
        <v>238</v>
      </c>
      <c r="E18" s="44">
        <v>0.16</v>
      </c>
      <c r="F18" s="44">
        <v>1.2E-2</v>
      </c>
      <c r="G18" s="44">
        <v>0.11600000000000001</v>
      </c>
      <c r="H18" s="44">
        <v>6.2E-2</v>
      </c>
      <c r="I18" s="44">
        <v>0.05</v>
      </c>
      <c r="J18" s="44" t="s">
        <v>238</v>
      </c>
      <c r="K18" s="44">
        <v>6.0000000000000001E-3</v>
      </c>
      <c r="M18">
        <f t="shared" si="0"/>
        <v>0.40600000000000003</v>
      </c>
      <c r="N18">
        <f t="shared" si="1"/>
        <v>0.20300000000000001</v>
      </c>
    </row>
    <row r="19" spans="2:14" x14ac:dyDescent="0.2">
      <c r="B19">
        <v>5</v>
      </c>
      <c r="C19" s="44">
        <v>0.88300000000000001</v>
      </c>
      <c r="D19" s="44" t="s">
        <v>238</v>
      </c>
      <c r="E19" s="44">
        <v>0.27700000000000002</v>
      </c>
      <c r="F19" s="44">
        <v>8.8999999999999996E-2</v>
      </c>
      <c r="G19" s="44">
        <v>0.161</v>
      </c>
      <c r="H19" s="44">
        <v>0.82499999999999996</v>
      </c>
      <c r="I19" s="44">
        <v>0.252</v>
      </c>
      <c r="J19" s="44" t="s">
        <v>238</v>
      </c>
      <c r="K19" s="44">
        <v>3.3000000000000002E-2</v>
      </c>
      <c r="M19">
        <f t="shared" si="0"/>
        <v>1.6369999999999998</v>
      </c>
      <c r="N19">
        <f t="shared" si="1"/>
        <v>0.81849999999999989</v>
      </c>
    </row>
    <row r="20" spans="2:14" x14ac:dyDescent="0.2">
      <c r="B20">
        <v>6</v>
      </c>
      <c r="C20" s="44">
        <v>0.82699999999999996</v>
      </c>
      <c r="D20" s="44" t="s">
        <v>238</v>
      </c>
      <c r="E20" s="44">
        <v>0.156</v>
      </c>
      <c r="F20" s="44">
        <v>3.5000000000000003E-2</v>
      </c>
      <c r="G20" s="44">
        <v>9.1999999999999998E-2</v>
      </c>
      <c r="H20" s="44">
        <v>0.14099999999999999</v>
      </c>
      <c r="I20" s="44">
        <v>0.16400000000000001</v>
      </c>
      <c r="J20" s="44" t="s">
        <v>238</v>
      </c>
      <c r="K20" s="44">
        <v>6.0000000000000001E-3</v>
      </c>
      <c r="M20">
        <f t="shared" si="0"/>
        <v>0.59400000000000008</v>
      </c>
      <c r="N20">
        <f t="shared" si="1"/>
        <v>0.29700000000000004</v>
      </c>
    </row>
    <row r="21" spans="2:14" x14ac:dyDescent="0.2">
      <c r="B21">
        <v>7</v>
      </c>
      <c r="C21" s="44">
        <v>0.747</v>
      </c>
      <c r="D21" s="44" t="s">
        <v>238</v>
      </c>
      <c r="E21" s="44">
        <v>0.33400000000000002</v>
      </c>
      <c r="F21" s="44">
        <v>0.126</v>
      </c>
      <c r="G21" s="44">
        <v>0.19400000000000001</v>
      </c>
      <c r="H21" s="44">
        <v>1.163</v>
      </c>
      <c r="I21" s="44">
        <v>0.28100000000000003</v>
      </c>
      <c r="J21" s="44" t="s">
        <v>238</v>
      </c>
      <c r="K21" s="44">
        <v>5.2999999999999999E-2</v>
      </c>
      <c r="M21">
        <f t="shared" si="0"/>
        <v>2.1510000000000002</v>
      </c>
      <c r="N21">
        <f t="shared" si="1"/>
        <v>1.0755000000000001</v>
      </c>
    </row>
    <row r="22" spans="2:14" x14ac:dyDescent="0.2">
      <c r="B22">
        <v>8</v>
      </c>
      <c r="C22" s="44">
        <v>0.84099999999999997</v>
      </c>
      <c r="D22" s="44" t="s">
        <v>238</v>
      </c>
      <c r="E22" s="44">
        <v>0.28899999999999998</v>
      </c>
      <c r="F22" s="44">
        <v>0.104</v>
      </c>
      <c r="G22" s="44">
        <v>0.13500000000000001</v>
      </c>
      <c r="H22" s="44">
        <v>0.68200000000000005</v>
      </c>
      <c r="I22" s="44">
        <v>0.50900000000000001</v>
      </c>
      <c r="J22" s="44" t="s">
        <v>238</v>
      </c>
      <c r="K22" s="44">
        <v>1.7999999999999999E-2</v>
      </c>
      <c r="M22">
        <f t="shared" si="0"/>
        <v>1.7369999999999999</v>
      </c>
      <c r="N22">
        <f t="shared" si="1"/>
        <v>0.86849999999999994</v>
      </c>
    </row>
    <row r="23" spans="2:14" x14ac:dyDescent="0.2">
      <c r="B23">
        <v>9</v>
      </c>
      <c r="C23" s="44">
        <v>0.872</v>
      </c>
      <c r="D23" s="44" t="s">
        <v>238</v>
      </c>
      <c r="E23" s="44">
        <v>0.68200000000000005</v>
      </c>
      <c r="F23" s="44">
        <v>0.34599999999999997</v>
      </c>
      <c r="G23" s="44">
        <v>0.34200000000000003</v>
      </c>
      <c r="H23" s="44">
        <v>2.3980000000000001</v>
      </c>
      <c r="I23" s="44">
        <v>0.441</v>
      </c>
      <c r="J23" s="44" t="s">
        <v>238</v>
      </c>
      <c r="K23" s="44">
        <v>0.112</v>
      </c>
      <c r="M23">
        <f t="shared" si="0"/>
        <v>4.3210000000000006</v>
      </c>
      <c r="N23">
        <f t="shared" si="1"/>
        <v>2.1605000000000003</v>
      </c>
    </row>
    <row r="24" spans="2:14" x14ac:dyDescent="0.2">
      <c r="B24">
        <v>10</v>
      </c>
      <c r="C24" s="44">
        <v>1.0149999999999999</v>
      </c>
      <c r="D24" s="44" t="s">
        <v>238</v>
      </c>
      <c r="E24" s="44">
        <v>0.38200000000000001</v>
      </c>
      <c r="F24" s="44">
        <v>0.17799999999999999</v>
      </c>
      <c r="G24" s="44">
        <v>0.20899999999999999</v>
      </c>
      <c r="H24" s="44">
        <v>1.1399999999999999</v>
      </c>
      <c r="I24" s="44">
        <v>0.47</v>
      </c>
      <c r="J24" s="44" t="s">
        <v>238</v>
      </c>
      <c r="K24" s="44">
        <v>4.9000000000000002E-2</v>
      </c>
      <c r="M24">
        <f t="shared" si="0"/>
        <v>2.4279999999999995</v>
      </c>
      <c r="N24">
        <f t="shared" si="1"/>
        <v>1.2139999999999997</v>
      </c>
    </row>
    <row r="25" spans="2:14" x14ac:dyDescent="0.2">
      <c r="B25">
        <v>11</v>
      </c>
      <c r="C25" s="44">
        <v>0.93400000000000005</v>
      </c>
      <c r="D25" s="44" t="s">
        <v>238</v>
      </c>
      <c r="E25" s="44">
        <v>0.69</v>
      </c>
      <c r="F25" s="44">
        <v>0.34100000000000003</v>
      </c>
      <c r="G25" s="44">
        <v>0.318</v>
      </c>
      <c r="H25" s="44">
        <v>2.0920000000000001</v>
      </c>
      <c r="I25" s="44">
        <v>0.47799999999999998</v>
      </c>
      <c r="J25" s="44" t="s">
        <v>238</v>
      </c>
      <c r="K25" s="44">
        <v>0.104</v>
      </c>
      <c r="M25">
        <f t="shared" si="0"/>
        <v>4.0229999999999997</v>
      </c>
      <c r="N25">
        <f t="shared" si="1"/>
        <v>2.0114999999999998</v>
      </c>
    </row>
    <row r="26" spans="2:14" x14ac:dyDescent="0.2">
      <c r="B26">
        <v>12</v>
      </c>
      <c r="C26" s="44">
        <v>0.71099999999999997</v>
      </c>
      <c r="D26" s="44">
        <v>1.6E-2</v>
      </c>
      <c r="E26" s="44">
        <v>0.39100000000000001</v>
      </c>
      <c r="F26" s="44">
        <v>0.22700000000000001</v>
      </c>
      <c r="G26" s="44">
        <v>0.223</v>
      </c>
      <c r="H26" s="44">
        <v>1.573</v>
      </c>
      <c r="I26" s="44">
        <v>0.498</v>
      </c>
      <c r="J26" s="44" t="s">
        <v>238</v>
      </c>
      <c r="K26" s="44">
        <v>8.6999999999999994E-2</v>
      </c>
      <c r="M26">
        <f t="shared" si="0"/>
        <v>3.0150000000000001</v>
      </c>
      <c r="N26">
        <f t="shared" si="1"/>
        <v>1.5075000000000001</v>
      </c>
    </row>
    <row r="27" spans="2:14" x14ac:dyDescent="0.2">
      <c r="B27">
        <v>13</v>
      </c>
      <c r="C27" s="44">
        <v>0.97899999999999998</v>
      </c>
      <c r="D27" s="44">
        <v>3.0000000000000001E-3</v>
      </c>
      <c r="E27" s="44">
        <v>0.92700000000000005</v>
      </c>
      <c r="F27" s="44">
        <v>0.503</v>
      </c>
      <c r="G27" s="44">
        <v>0.42799999999999999</v>
      </c>
      <c r="H27" s="44">
        <v>3.0369999999999999</v>
      </c>
      <c r="I27" s="44">
        <v>0.63</v>
      </c>
      <c r="J27" s="44" t="s">
        <v>238</v>
      </c>
      <c r="K27" s="44">
        <v>0.14299999999999999</v>
      </c>
      <c r="M27">
        <f t="shared" si="0"/>
        <v>5.6709999999999994</v>
      </c>
      <c r="N27">
        <f t="shared" si="1"/>
        <v>2.8354999999999997</v>
      </c>
    </row>
    <row r="28" spans="2:14" x14ac:dyDescent="0.2">
      <c r="B28">
        <v>14</v>
      </c>
      <c r="C28" s="44">
        <v>0.98199999999999998</v>
      </c>
      <c r="D28" s="44" t="s">
        <v>238</v>
      </c>
      <c r="E28" s="44">
        <v>0.871</v>
      </c>
      <c r="F28" s="44">
        <v>0.51600000000000001</v>
      </c>
      <c r="G28" s="44">
        <v>0.495</v>
      </c>
      <c r="H28" s="44">
        <v>3.2669999999999999</v>
      </c>
      <c r="I28" s="44">
        <v>0.82199999999999995</v>
      </c>
      <c r="J28" s="44" t="s">
        <v>238</v>
      </c>
      <c r="K28" s="44">
        <v>0.18099999999999999</v>
      </c>
      <c r="M28">
        <f t="shared" si="0"/>
        <v>6.1520000000000001</v>
      </c>
      <c r="N28">
        <f t="shared" si="1"/>
        <v>3.0760000000000001</v>
      </c>
    </row>
    <row r="29" spans="2:14" x14ac:dyDescent="0.2">
      <c r="B29">
        <v>15</v>
      </c>
      <c r="C29" s="44">
        <v>0.85</v>
      </c>
      <c r="D29" s="44" t="s">
        <v>238</v>
      </c>
      <c r="E29" s="44">
        <v>0.71399999999999997</v>
      </c>
      <c r="F29" s="44">
        <v>0.39100000000000001</v>
      </c>
      <c r="G29" s="44">
        <v>0.34200000000000003</v>
      </c>
      <c r="H29" s="44">
        <v>2.335</v>
      </c>
      <c r="I29" s="44">
        <v>0.44600000000000001</v>
      </c>
      <c r="J29" s="44" t="s">
        <v>238</v>
      </c>
      <c r="K29" s="44">
        <v>0.104</v>
      </c>
      <c r="M29">
        <f t="shared" si="0"/>
        <v>4.3319999999999999</v>
      </c>
      <c r="N29">
        <f t="shared" si="1"/>
        <v>2.1659999999999999</v>
      </c>
    </row>
    <row r="30" spans="2:14" x14ac:dyDescent="0.2">
      <c r="B30">
        <v>16</v>
      </c>
      <c r="C30" s="44">
        <v>0.995</v>
      </c>
      <c r="D30" s="44" t="s">
        <v>238</v>
      </c>
      <c r="E30" s="44">
        <v>0.67100000000000004</v>
      </c>
      <c r="F30" s="44">
        <v>0.374</v>
      </c>
      <c r="G30" s="44">
        <v>0.39400000000000002</v>
      </c>
      <c r="H30" s="44">
        <v>2.33</v>
      </c>
      <c r="I30" s="44">
        <v>0.55500000000000005</v>
      </c>
      <c r="J30" s="44" t="s">
        <v>238</v>
      </c>
      <c r="K30" s="44">
        <v>0.13100000000000001</v>
      </c>
      <c r="M30">
        <f t="shared" si="0"/>
        <v>4.4550000000000001</v>
      </c>
      <c r="N30">
        <f t="shared" si="1"/>
        <v>2.2275</v>
      </c>
    </row>
    <row r="31" spans="2:14" x14ac:dyDescent="0.2">
      <c r="B31">
        <v>17</v>
      </c>
      <c r="C31" s="44">
        <v>0.72299999999999998</v>
      </c>
      <c r="D31" s="44" t="s">
        <v>238</v>
      </c>
      <c r="E31" s="44">
        <v>0.72099999999999997</v>
      </c>
      <c r="F31" s="44">
        <v>0.40799999999999997</v>
      </c>
      <c r="G31" s="44">
        <v>0.35799999999999998</v>
      </c>
      <c r="H31" s="44">
        <v>2.476</v>
      </c>
      <c r="I31" s="44">
        <v>0.46600000000000003</v>
      </c>
      <c r="J31" s="44" t="s">
        <v>238</v>
      </c>
      <c r="K31" s="44">
        <v>0.10299999999999999</v>
      </c>
      <c r="M31">
        <f t="shared" si="0"/>
        <v>4.532</v>
      </c>
      <c r="N31">
        <f t="shared" si="1"/>
        <v>2.266</v>
      </c>
    </row>
    <row r="32" spans="2:14" x14ac:dyDescent="0.2">
      <c r="B32">
        <v>18</v>
      </c>
      <c r="C32" s="44">
        <v>0.96799999999999997</v>
      </c>
      <c r="D32" s="44" t="s">
        <v>238</v>
      </c>
      <c r="E32" s="44">
        <v>0.91</v>
      </c>
      <c r="F32" s="44">
        <v>0.56299999999999994</v>
      </c>
      <c r="G32" s="44">
        <v>0.53800000000000003</v>
      </c>
      <c r="H32" s="44">
        <v>3.4569999999999999</v>
      </c>
      <c r="I32" s="44">
        <v>0.77400000000000002</v>
      </c>
      <c r="J32" s="44" t="s">
        <v>238</v>
      </c>
      <c r="K32" s="44">
        <v>0.17899999999999999</v>
      </c>
      <c r="M32">
        <f t="shared" si="0"/>
        <v>6.4210000000000003</v>
      </c>
      <c r="N32">
        <f t="shared" si="1"/>
        <v>3.2105000000000001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7961-4CA8-C84C-AA30-402C09011C5E}">
  <dimension ref="A1"/>
  <sheetViews>
    <sheetView workbookViewId="0">
      <selection activeCell="E8" sqref="A1:E8"/>
    </sheetView>
  </sheetViews>
  <sheetFormatPr baseColWidth="10" defaultColWidth="11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C1DF-75AC-7442-9F37-3559592B9CB6}">
  <dimension ref="A1"/>
  <sheetViews>
    <sheetView workbookViewId="0">
      <selection activeCell="C30" sqref="C30"/>
    </sheetView>
  </sheetViews>
  <sheetFormatPr baseColWidth="10" defaultColWidth="11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medium</vt:lpstr>
      <vt:lpstr>vessel setup</vt:lpstr>
      <vt:lpstr>history_</vt:lpstr>
      <vt:lpstr>metadata</vt:lpstr>
      <vt:lpstr>data</vt:lpstr>
      <vt:lpstr>FAMES</vt:lpstr>
      <vt:lpstr>questions</vt:lpstr>
      <vt:lpstr>seedCultureNotes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jeffrey.czajka@pnnl.gov</dc:creator>
  <cp:lastModifiedBy>Czajka, Jeffrey J</cp:lastModifiedBy>
  <dcterms:created xsi:type="dcterms:W3CDTF">2023-07-31T14:31:14Z</dcterms:created>
  <dcterms:modified xsi:type="dcterms:W3CDTF">2024-12-10T02:10:06Z</dcterms:modified>
</cp:coreProperties>
</file>