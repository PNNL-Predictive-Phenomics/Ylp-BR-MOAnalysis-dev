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3/"/>
    </mc:Choice>
  </mc:AlternateContent>
  <xr:revisionPtr revIDLastSave="4" documentId="8_{A4D23A85-0E5C-734E-8CAF-710EECEE657F}" xr6:coauthVersionLast="47" xr6:coauthVersionMax="47" xr10:uidLastSave="{4AFB6532-4CC4-4F4A-A7B5-87879A2D8A57}"/>
  <bookViews>
    <workbookView xWindow="38400" yWindow="0" windowWidth="33600" windowHeight="21000" activeTab="5" xr2:uid="{AF3F1F07-1521-4EC8-925D-783100CF8E24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6" l="1"/>
  <c r="AC35" i="6"/>
  <c r="R29" i="6"/>
  <c r="R28" i="6"/>
  <c r="R25" i="6"/>
  <c r="R24" i="6"/>
  <c r="AF15" i="6" l="1"/>
  <c r="AF17" i="6"/>
  <c r="AF20" i="6"/>
  <c r="AF21" i="6"/>
  <c r="AF23" i="6"/>
  <c r="AF28" i="6"/>
  <c r="AF29" i="6"/>
  <c r="AF30" i="6"/>
  <c r="BF31" i="6"/>
  <c r="BE31" i="6"/>
  <c r="AJ31" i="6" s="1"/>
  <c r="BD31" i="6"/>
  <c r="AF31" i="6"/>
  <c r="AB31" i="6"/>
  <c r="AC31" i="6" s="1"/>
  <c r="BF30" i="6"/>
  <c r="BE30" i="6"/>
  <c r="BD30" i="6"/>
  <c r="AB30" i="6"/>
  <c r="AC30" i="6" s="1"/>
  <c r="BO29" i="6"/>
  <c r="BN29" i="6"/>
  <c r="BM29" i="6"/>
  <c r="BL29" i="6"/>
  <c r="BK29" i="6"/>
  <c r="BJ29" i="6"/>
  <c r="BI29" i="6"/>
  <c r="BH29" i="6"/>
  <c r="BG29" i="6"/>
  <c r="BF29" i="6"/>
  <c r="BE29" i="6"/>
  <c r="BD29" i="6"/>
  <c r="AB29" i="6"/>
  <c r="AC29" i="6" s="1"/>
  <c r="BO28" i="6"/>
  <c r="BN28" i="6"/>
  <c r="BM28" i="6"/>
  <c r="BL28" i="6"/>
  <c r="BK28" i="6"/>
  <c r="BJ28" i="6"/>
  <c r="BI28" i="6"/>
  <c r="BH28" i="6"/>
  <c r="BG28" i="6"/>
  <c r="BF28" i="6"/>
  <c r="AP30" i="6" s="1"/>
  <c r="AQ30" i="6" s="1"/>
  <c r="BE28" i="6"/>
  <c r="BD28" i="6"/>
  <c r="AJ28" i="6"/>
  <c r="AB28" i="6"/>
  <c r="AC28" i="6" s="1"/>
  <c r="BO27" i="6"/>
  <c r="BN27" i="6"/>
  <c r="BM27" i="6"/>
  <c r="BL27" i="6"/>
  <c r="BK27" i="6"/>
  <c r="BJ27" i="6"/>
  <c r="BI27" i="6"/>
  <c r="BH27" i="6"/>
  <c r="BG27" i="6"/>
  <c r="BF27" i="6"/>
  <c r="BE27" i="6"/>
  <c r="AJ27" i="6" s="1"/>
  <c r="BD27" i="6"/>
  <c r="AF27" i="6"/>
  <c r="AB27" i="6"/>
  <c r="AC27" i="6" s="1"/>
  <c r="BO26" i="6"/>
  <c r="BN26" i="6"/>
  <c r="BM26" i="6"/>
  <c r="BL26" i="6"/>
  <c r="BK26" i="6"/>
  <c r="BJ26" i="6"/>
  <c r="BI26" i="6"/>
  <c r="BH26" i="6"/>
  <c r="BG26" i="6"/>
  <c r="BF26" i="6"/>
  <c r="BE26" i="6"/>
  <c r="AJ26" i="6" s="1"/>
  <c r="BD26" i="6"/>
  <c r="AF26" i="6"/>
  <c r="AB26" i="6"/>
  <c r="AC26" i="6" s="1"/>
  <c r="BO25" i="6"/>
  <c r="BN25" i="6"/>
  <c r="BM25" i="6"/>
  <c r="BL25" i="6"/>
  <c r="BK25" i="6"/>
  <c r="BJ25" i="6"/>
  <c r="BI25" i="6"/>
  <c r="BH25" i="6"/>
  <c r="BG25" i="6"/>
  <c r="BF25" i="6"/>
  <c r="BE25" i="6"/>
  <c r="BD25" i="6"/>
  <c r="AF25" i="6"/>
  <c r="AB25" i="6"/>
  <c r="AC25" i="6" s="1"/>
  <c r="BO24" i="6"/>
  <c r="BN24" i="6"/>
  <c r="BM24" i="6"/>
  <c r="BL24" i="6"/>
  <c r="BK24" i="6"/>
  <c r="BJ24" i="6"/>
  <c r="BI24" i="6"/>
  <c r="BH24" i="6"/>
  <c r="BG24" i="6"/>
  <c r="BF24" i="6"/>
  <c r="BE24" i="6"/>
  <c r="BD24" i="6"/>
  <c r="AF24" i="6"/>
  <c r="AB24" i="6"/>
  <c r="AC24" i="6" s="1"/>
  <c r="BS23" i="6"/>
  <c r="BO23" i="6"/>
  <c r="BN23" i="6"/>
  <c r="BM23" i="6"/>
  <c r="BL23" i="6"/>
  <c r="BK23" i="6"/>
  <c r="BJ23" i="6"/>
  <c r="BI23" i="6"/>
  <c r="BH23" i="6"/>
  <c r="BG23" i="6"/>
  <c r="BF23" i="6"/>
  <c r="BE23" i="6"/>
  <c r="AJ23" i="6" s="1"/>
  <c r="BD23" i="6"/>
  <c r="AB23" i="6"/>
  <c r="AC23" i="6" s="1"/>
  <c r="BS22" i="6"/>
  <c r="BO22" i="6"/>
  <c r="BN22" i="6"/>
  <c r="BM22" i="6"/>
  <c r="BL22" i="6"/>
  <c r="BK22" i="6"/>
  <c r="BJ22" i="6"/>
  <c r="BI22" i="6"/>
  <c r="BH22" i="6"/>
  <c r="BG22" i="6"/>
  <c r="BF22" i="6"/>
  <c r="AP24" i="6" s="1"/>
  <c r="AQ24" i="6" s="1"/>
  <c r="BE22" i="6"/>
  <c r="BD22" i="6"/>
  <c r="AJ22" i="6"/>
  <c r="AF22" i="6"/>
  <c r="AG22" i="6" s="1"/>
  <c r="AB22" i="6"/>
  <c r="AC22" i="6" s="1"/>
  <c r="BS21" i="6"/>
  <c r="BQ21" i="6"/>
  <c r="BO21" i="6"/>
  <c r="BN21" i="6"/>
  <c r="BM21" i="6"/>
  <c r="BL21" i="6"/>
  <c r="BK21" i="6"/>
  <c r="BJ21" i="6"/>
  <c r="BI21" i="6"/>
  <c r="BH21" i="6"/>
  <c r="BG21" i="6"/>
  <c r="BF21" i="6"/>
  <c r="AP23" i="6" s="1"/>
  <c r="AQ23" i="6" s="1"/>
  <c r="BE21" i="6"/>
  <c r="AJ21" i="6" s="1"/>
  <c r="BD21" i="6"/>
  <c r="AB21" i="6"/>
  <c r="AC21" i="6" s="1"/>
  <c r="AL21" i="6" s="1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AJ20" i="6" s="1"/>
  <c r="BD20" i="6"/>
  <c r="AB20" i="6"/>
  <c r="AC20" i="6" s="1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AJ19" i="6" s="1"/>
  <c r="BD19" i="6"/>
  <c r="AF19" i="6"/>
  <c r="AB19" i="6"/>
  <c r="AC19" i="6" s="1"/>
  <c r="AL19" i="6" s="1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F18" i="6"/>
  <c r="AB18" i="6"/>
  <c r="AC18" i="6" s="1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AB17" i="6"/>
  <c r="AC17" i="6" s="1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AJ16" i="6" s="1"/>
  <c r="BD16" i="6"/>
  <c r="AF16" i="6"/>
  <c r="AB16" i="6"/>
  <c r="AC16" i="6" s="1"/>
  <c r="BS15" i="6"/>
  <c r="BQ15" i="6"/>
  <c r="BO15" i="6"/>
  <c r="BN15" i="6"/>
  <c r="BM15" i="6"/>
  <c r="BL15" i="6"/>
  <c r="BK15" i="6"/>
  <c r="BJ15" i="6"/>
  <c r="BI15" i="6"/>
  <c r="BH15" i="6"/>
  <c r="BG15" i="6"/>
  <c r="BF15" i="6"/>
  <c r="AI27" i="6" s="1"/>
  <c r="BE15" i="6"/>
  <c r="BD15" i="6"/>
  <c r="AB15" i="6"/>
  <c r="AC15" i="6" s="1"/>
  <c r="BS14" i="6"/>
  <c r="BQ14" i="6"/>
  <c r="BO14" i="6"/>
  <c r="BN14" i="6"/>
  <c r="BM14" i="6"/>
  <c r="BL14" i="6"/>
  <c r="BK14" i="6"/>
  <c r="BJ14" i="6"/>
  <c r="BI14" i="6"/>
  <c r="BH14" i="6"/>
  <c r="BG14" i="6"/>
  <c r="BF14" i="6"/>
  <c r="AI28" i="6" s="1"/>
  <c r="AK28" i="6" s="1"/>
  <c r="BE14" i="6"/>
  <c r="AJ14" i="6" s="1"/>
  <c r="BD14" i="6"/>
  <c r="AF14" i="6"/>
  <c r="AB14" i="6"/>
  <c r="AC14" i="6" s="1"/>
  <c r="AK27" i="6" l="1"/>
  <c r="AP25" i="6"/>
  <c r="AQ25" i="6" s="1"/>
  <c r="AP29" i="6"/>
  <c r="AQ29" i="6" s="1"/>
  <c r="AG16" i="6"/>
  <c r="AG15" i="6"/>
  <c r="AG18" i="6"/>
  <c r="AG20" i="6"/>
  <c r="AG19" i="6"/>
  <c r="AL29" i="6"/>
  <c r="AJ29" i="6"/>
  <c r="AJ24" i="6"/>
  <c r="AP18" i="6"/>
  <c r="AQ18" i="6" s="1"/>
  <c r="AP21" i="6"/>
  <c r="AQ21" i="6" s="1"/>
  <c r="AP16" i="6"/>
  <c r="AQ16" i="6" s="1"/>
  <c r="AI21" i="6"/>
  <c r="AK21" i="6" s="1"/>
  <c r="BY18" i="6"/>
  <c r="CA18" i="6" s="1"/>
  <c r="AJ18" i="6"/>
  <c r="AI16" i="6"/>
  <c r="AK16" i="6" s="1"/>
  <c r="AP20" i="6"/>
  <c r="AQ20" i="6" s="1"/>
  <c r="AP26" i="6"/>
  <c r="AQ26" i="6" s="1"/>
  <c r="AJ25" i="6"/>
  <c r="AI26" i="6"/>
  <c r="AK26" i="6" s="1"/>
  <c r="AI15" i="6"/>
  <c r="AK15" i="6" s="1"/>
  <c r="AP27" i="6"/>
  <c r="AQ27" i="6" s="1"/>
  <c r="AP19" i="6"/>
  <c r="AQ19" i="6" s="1"/>
  <c r="BY15" i="6"/>
  <c r="CA15" i="6" s="1"/>
  <c r="BY16" i="6"/>
  <c r="CA16" i="6" s="1"/>
  <c r="AI18" i="6"/>
  <c r="AM18" i="6" s="1"/>
  <c r="AP28" i="6"/>
  <c r="AQ28" i="6" s="1"/>
  <c r="AL23" i="6"/>
  <c r="AL25" i="6"/>
  <c r="AL14" i="6"/>
  <c r="AL20" i="6"/>
  <c r="AL24" i="6"/>
  <c r="AL22" i="6"/>
  <c r="CD15" i="6"/>
  <c r="AL15" i="6"/>
  <c r="AJ30" i="6"/>
  <c r="AM28" i="6"/>
  <c r="AW28" i="6" s="1"/>
  <c r="AG14" i="6"/>
  <c r="AL16" i="6"/>
  <c r="AG17" i="6"/>
  <c r="AJ17" i="6"/>
  <c r="AL28" i="6"/>
  <c r="AL17" i="6"/>
  <c r="AG23" i="6"/>
  <c r="AL26" i="6"/>
  <c r="AI29" i="6"/>
  <c r="AK29" i="6" s="1"/>
  <c r="AI17" i="6"/>
  <c r="AI23" i="6"/>
  <c r="AK23" i="6" s="1"/>
  <c r="AI31" i="6"/>
  <c r="AK31" i="6" s="1"/>
  <c r="AI25" i="6"/>
  <c r="AP17" i="6"/>
  <c r="AQ17" i="6" s="1"/>
  <c r="AI19" i="6"/>
  <c r="AK19" i="6" s="1"/>
  <c r="AP22" i="6"/>
  <c r="AQ22" i="6" s="1"/>
  <c r="AM27" i="6"/>
  <c r="AW27" i="6" s="1"/>
  <c r="AL27" i="6"/>
  <c r="AL31" i="6"/>
  <c r="AL30" i="6"/>
  <c r="AP31" i="6"/>
  <c r="AQ31" i="6" s="1"/>
  <c r="CD18" i="6"/>
  <c r="BY20" i="6"/>
  <c r="AL18" i="6"/>
  <c r="AJ15" i="6"/>
  <c r="AG21" i="6"/>
  <c r="BY17" i="6"/>
  <c r="AI24" i="6"/>
  <c r="AM24" i="6" s="1"/>
  <c r="BY14" i="6"/>
  <c r="CA14" i="6" s="1"/>
  <c r="BY19" i="6"/>
  <c r="AI20" i="6"/>
  <c r="AI22" i="6"/>
  <c r="BY21" i="6"/>
  <c r="AI30" i="6"/>
  <c r="AT30" i="6" s="1"/>
  <c r="AU30" i="6" s="1"/>
  <c r="AI14" i="6"/>
  <c r="AM14" i="6" s="1"/>
  <c r="AM15" i="6" l="1"/>
  <c r="CB18" i="6"/>
  <c r="CC18" i="6" s="1"/>
  <c r="AR17" i="6"/>
  <c r="AM17" i="6"/>
  <c r="AT19" i="6"/>
  <c r="AU19" i="6" s="1"/>
  <c r="AM21" i="6"/>
  <c r="AW21" i="6" s="1"/>
  <c r="AR16" i="6"/>
  <c r="AS16" i="6" s="1"/>
  <c r="AT21" i="6"/>
  <c r="AU21" i="6" s="1"/>
  <c r="AR28" i="6"/>
  <c r="AS28" i="6" s="1"/>
  <c r="AM19" i="6"/>
  <c r="AW19" i="6" s="1"/>
  <c r="AM31" i="6"/>
  <c r="AW31" i="6" s="1"/>
  <c r="AM30" i="6"/>
  <c r="CB16" i="6"/>
  <c r="CC16" i="6" s="1"/>
  <c r="AM26" i="6"/>
  <c r="AW26" i="6" s="1"/>
  <c r="AR30" i="6"/>
  <c r="AS30" i="6" s="1"/>
  <c r="AR26" i="6"/>
  <c r="AS26" i="6" s="1"/>
  <c r="AK18" i="6"/>
  <c r="AW18" i="6" s="1"/>
  <c r="AR18" i="6"/>
  <c r="AS18" i="6" s="1"/>
  <c r="AS17" i="6"/>
  <c r="AK30" i="6"/>
  <c r="AT17" i="6"/>
  <c r="AU17" i="6" s="1"/>
  <c r="AT28" i="6"/>
  <c r="AU28" i="6" s="1"/>
  <c r="AM16" i="6"/>
  <c r="AW16" i="6" s="1"/>
  <c r="AT18" i="6"/>
  <c r="AU18" i="6" s="1"/>
  <c r="CB21" i="6"/>
  <c r="CC21" i="6" s="1"/>
  <c r="CA21" i="6"/>
  <c r="AK25" i="6"/>
  <c r="AT25" i="6"/>
  <c r="AU25" i="6" s="1"/>
  <c r="AT22" i="6"/>
  <c r="AU22" i="6" s="1"/>
  <c r="AK22" i="6"/>
  <c r="AK20" i="6"/>
  <c r="AT20" i="6"/>
  <c r="AU20" i="6" s="1"/>
  <c r="CB20" i="6"/>
  <c r="CC20" i="6" s="1"/>
  <c r="CA20" i="6"/>
  <c r="AR24" i="6"/>
  <c r="AS24" i="6" s="1"/>
  <c r="AR31" i="6"/>
  <c r="AS31" i="6" s="1"/>
  <c r="CB19" i="6"/>
  <c r="CC19" i="6" s="1"/>
  <c r="CA19" i="6"/>
  <c r="AK17" i="6"/>
  <c r="CE15" i="6"/>
  <c r="AR25" i="6"/>
  <c r="AS25" i="6" s="1"/>
  <c r="AR27" i="6"/>
  <c r="AS27" i="6" s="1"/>
  <c r="AT27" i="6"/>
  <c r="AU27" i="6" s="1"/>
  <c r="AT24" i="6"/>
  <c r="AU24" i="6" s="1"/>
  <c r="AK24" i="6"/>
  <c r="AW24" i="6" s="1"/>
  <c r="AT26" i="6"/>
  <c r="AU26" i="6" s="1"/>
  <c r="CB15" i="6"/>
  <c r="CC15" i="6" s="1"/>
  <c r="AM20" i="6"/>
  <c r="AM25" i="6"/>
  <c r="CB17" i="6"/>
  <c r="CC17" i="6" s="1"/>
  <c r="CA17" i="6"/>
  <c r="AR29" i="6"/>
  <c r="AS29" i="6" s="1"/>
  <c r="AR20" i="6"/>
  <c r="AS20" i="6" s="1"/>
  <c r="AR23" i="6"/>
  <c r="AS23" i="6" s="1"/>
  <c r="AT31" i="6"/>
  <c r="AU31" i="6" s="1"/>
  <c r="AM29" i="6"/>
  <c r="AW29" i="6" s="1"/>
  <c r="AT23" i="6"/>
  <c r="AU23" i="6" s="1"/>
  <c r="AR22" i="6"/>
  <c r="AS22" i="6" s="1"/>
  <c r="AM23" i="6"/>
  <c r="AW23" i="6" s="1"/>
  <c r="AK14" i="6"/>
  <c r="AT16" i="6"/>
  <c r="AU16" i="6" s="1"/>
  <c r="AT29" i="6"/>
  <c r="AU29" i="6" s="1"/>
  <c r="AM22" i="6"/>
  <c r="AR19" i="6"/>
  <c r="AS19" i="6" s="1"/>
  <c r="AR21" i="6"/>
  <c r="AS21" i="6" s="1"/>
  <c r="CE18" i="6" l="1"/>
  <c r="AW22" i="6"/>
  <c r="AW17" i="6"/>
  <c r="AW30" i="6"/>
  <c r="AW20" i="6"/>
  <c r="AW25" i="6"/>
  <c r="K31" i="7" l="1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U71" i="6"/>
  <c r="D19" i="5"/>
  <c r="D13" i="5"/>
  <c r="D16" i="5" s="1"/>
  <c r="L61" i="2"/>
  <c r="K61" i="2"/>
  <c r="J61" i="2"/>
  <c r="H61" i="2" s="1"/>
  <c r="I61" i="2"/>
  <c r="G61" i="2"/>
  <c r="L55" i="2"/>
  <c r="K55" i="2"/>
  <c r="J55" i="2"/>
  <c r="I55" i="2"/>
  <c r="H55" i="2"/>
  <c r="G55" i="2"/>
  <c r="P52" i="2"/>
  <c r="P51" i="2"/>
  <c r="P50" i="2"/>
  <c r="P49" i="2"/>
  <c r="N49" i="2"/>
  <c r="M49" i="2"/>
  <c r="L49" i="2"/>
  <c r="J49" i="2" s="1"/>
  <c r="K49" i="2"/>
  <c r="G49" i="2" s="1"/>
  <c r="I49" i="2"/>
  <c r="T35" i="2"/>
  <c r="X24" i="2"/>
  <c r="T21" i="2"/>
  <c r="E16" i="2"/>
  <c r="C16" i="2"/>
  <c r="B13" i="2"/>
  <c r="C13" i="2" s="1"/>
  <c r="D13" i="2" s="1"/>
  <c r="T11" i="2"/>
  <c r="D7" i="2"/>
  <c r="K6" i="2" s="1"/>
  <c r="I6" i="2" s="1"/>
  <c r="M6" i="2"/>
  <c r="L6" i="2"/>
  <c r="J6" i="2"/>
  <c r="G6" i="2" s="1"/>
  <c r="D6" i="2"/>
  <c r="AB4" i="2"/>
  <c r="AB3" i="2"/>
  <c r="F6" i="2" l="1"/>
  <c r="H6" i="2"/>
  <c r="H49" i="2"/>
</calcChain>
</file>

<file path=xl/sharedStrings.xml><?xml version="1.0" encoding="utf-8"?>
<sst xmlns="http://schemas.openxmlformats.org/spreadsheetml/2006/main" count="523" uniqueCount="264">
  <si>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</si>
  <si>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</si>
  <si>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</si>
  <si>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</si>
  <si>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</si>
  <si>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</si>
  <si>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</si>
  <si>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</si>
  <si>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</si>
  <si>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</si>
  <si>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</si>
  <si>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</si>
  <si>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</si>
  <si>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</si>
  <si>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</si>
  <si>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</si>
  <si>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</si>
  <si>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</si>
  <si>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</si>
  <si>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</si>
  <si>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</si>
  <si>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</si>
  <si>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</si>
  <si>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</si>
  <si>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</si>
  <si>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</si>
  <si>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</si>
  <si>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</si>
  <si>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</si>
  <si>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</si>
  <si>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</si>
  <si>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</si>
  <si>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</si>
  <si>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</si>
  <si>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</si>
  <si>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</si>
  <si>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</si>
  <si>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</si>
  <si>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</si>
  <si>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</si>
  <si>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</si>
  <si>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</si>
  <si>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</si>
  <si>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</si>
  <si>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</si>
  <si>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</si>
  <si>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</si>
  <si>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</si>
  <si>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</si>
  <si>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</si>
  <si>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</si>
  <si>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</si>
  <si>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</si>
  <si>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</si>
  <si>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</si>
  <si>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</si>
  <si>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</si>
  <si>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</si>
  <si>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</si>
  <si>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</si>
  <si>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</si>
  <si>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</si>
  <si>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</si>
  <si>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</si>
  <si>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</si>
  <si>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</si>
  <si>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</si>
  <si>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</si>
  <si>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</si>
  <si>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</si>
  <si>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</si>
  <si>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</si>
  <si>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</si>
  <si>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</si>
  <si>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</si>
  <si>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</si>
  <si>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</si>
  <si>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</si>
  <si>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</si>
  <si>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</si>
  <si>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</si>
  <si>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</si>
  <si>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</si>
  <si>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</si>
  <si>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</si>
  <si>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</si>
  <si>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</si>
  <si>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</si>
  <si>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</si>
  <si>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</si>
  <si>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</si>
  <si>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</si>
  <si>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</si>
  <si>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</si>
  <si>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</si>
  <si>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</si>
  <si>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</si>
  <si>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</si>
  <si>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</si>
  <si>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</si>
  <si>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</si>
  <si>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</si>
  <si>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</si>
  <si>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</si>
  <si>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</si>
  <si>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</si>
  <si>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</si>
  <si>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</si>
  <si>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</si>
  <si>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</si>
  <si>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</si>
  <si>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</si>
  <si>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</si>
  <si>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</si>
  <si>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</si>
  <si>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</si>
  <si>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</si>
  <si>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</si>
  <si>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</si>
  <si>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</si>
  <si>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</si>
  <si>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</si>
  <si>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</si>
  <si>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</si>
  <si>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</si>
  <si>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</si>
  <si>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</si>
  <si>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</si>
  <si>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</si>
  <si>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</si>
  <si>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</si>
  <si>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</si>
  <si>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</si>
  <si>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</si>
  <si>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</si>
  <si>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</si>
  <si>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</si>
  <si>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</si>
  <si>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</si>
  <si>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</si>
  <si>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</si>
  <si>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</si>
  <si>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</si>
  <si>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</si>
  <si>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</si>
  <si>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</si>
  <si>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</si>
  <si>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</si>
  <si>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</si>
  <si>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</si>
  <si>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</si>
  <si>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</si>
  <si>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</si>
  <si>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</si>
  <si>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</si>
  <si>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</si>
  <si>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</si>
  <si>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</si>
  <si>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</si>
  <si>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</si>
  <si>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</si>
  <si>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</si>
  <si>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</si>
  <si>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</si>
  <si>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</si>
  <si>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</si>
  <si>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</si>
  <si>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</si>
  <si>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</si>
  <si>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</si>
  <si>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</si>
  <si>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</si>
  <si>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</si>
  <si>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</si>
  <si>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</si>
  <si>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</si>
  <si>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</si>
  <si>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</si>
  <si>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</si>
  <si>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</si>
  <si>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</si>
  <si>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</si>
  <si>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</si>
  <si>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</si>
  <si>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</si>
  <si>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</si>
  <si>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</si>
  <si>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</si>
  <si>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</si>
  <si>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</si>
  <si>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</si>
  <si>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</si>
  <si>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</si>
  <si>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</si>
  <si>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</si>
  <si>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</si>
  <si>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</si>
  <si>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</si>
  <si>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</si>
  <si>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</si>
  <si>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</si>
  <si>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</si>
  <si>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</si>
  <si>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</si>
  <si>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</si>
  <si>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</si>
  <si>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</si>
  <si>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</si>
  <si>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</si>
  <si>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</si>
  <si>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</si>
  <si>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</si>
  <si>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</si>
  <si>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</si>
  <si>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</si>
  <si>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</si>
  <si>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</si>
  <si>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</si>
  <si>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</si>
  <si>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</si>
  <si>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</si>
  <si>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</si>
  <si>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</si>
  <si>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</si>
  <si>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</si>
  <si>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</si>
  <si>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</si>
  <si>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</si>
  <si>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</si>
  <si>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</si>
  <si>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</si>
  <si>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</si>
  <si>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</si>
  <si>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</si>
  <si>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</si>
  <si>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</si>
  <si>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</si>
  <si>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</si>
  <si>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</si>
  <si>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</si>
  <si>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</si>
  <si>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**r1 gas out line had a kink; 11:40 am</t>
  </si>
  <si>
    <t>Jeff_SloHot50_BioStat 33-1</t>
  </si>
  <si>
    <t>Jeff_SloHot50_BioStat 33-2</t>
  </si>
  <si>
    <t>Jeff_SloHot50_BioStat 33-3</t>
  </si>
  <si>
    <t>Jeff_SloHot50_BioStat 33-4</t>
  </si>
  <si>
    <t>Jeff_SloHot50_BioStat 33-5</t>
  </si>
  <si>
    <t>Jeff_SloHot50_BioStat 33-6</t>
  </si>
  <si>
    <t>Jeff_SloHot50_BioStat 33-7</t>
  </si>
  <si>
    <t>Jeff_SloHot50_BioStat 33-8</t>
  </si>
  <si>
    <t>Jeff_SloHot50_BioStat 33-9</t>
  </si>
  <si>
    <t>Jeff_SloHot50_BioStat 33-10</t>
  </si>
  <si>
    <t>Jeff_SloHot50_BioStat 33-11</t>
  </si>
  <si>
    <t>Jeff_SloHot50_BioStat 33-12</t>
  </si>
  <si>
    <t>Jeff_SloHot50_BioStat 33-13</t>
  </si>
  <si>
    <t>Jeff_SloHot50_BioStat 33-14</t>
  </si>
  <si>
    <t>Jeff_SloHot50_BioStat 33-15</t>
  </si>
  <si>
    <t>Jeff_SloHot50_BioStat 33-16</t>
  </si>
  <si>
    <t>Jeff_SloHot50_BioStat 33-17</t>
  </si>
  <si>
    <t>Jeff_SloHot50_BioStat 33-18</t>
  </si>
  <si>
    <t>*timings are from 32. correct</t>
  </si>
  <si>
    <t>need updated FAMES</t>
  </si>
  <si>
    <t>15 g/L</t>
  </si>
  <si>
    <t>15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</si>
</sst>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8" fillId="2" borderId="0" applyNumberFormat="0" applyBorder="0" applyAlignment="0" applyProtection="0"/>
    <xf numFmtId="0" fontId="9" fillId="3" borderId="1" applyNumberFormat="0" applyAlignment="0" applyProtection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4" fillId="4" borderId="0" xfId="1" applyFill="1"/>
    <xf numFmtId="0" fontId="4" fillId="5" borderId="0" xfId="1" applyFill="1"/>
    <xf numFmtId="0" fontId="4" fillId="6" borderId="0" xfId="1" applyFill="1"/>
    <xf numFmtId="0" fontId="4" fillId="7" borderId="0" xfId="1" applyFill="1"/>
    <xf numFmtId="0" fontId="7" fillId="0" borderId="0" xfId="1" applyFont="1"/>
    <xf numFmtId="0" fontId="8" fillId="2" borderId="0" xfId="2" applyBorder="1" applyAlignment="1">
      <alignment horizontal="center"/>
    </xf>
    <xf numFmtId="0" fontId="9" fillId="3" borderId="0" xfId="3" applyBorder="1" applyAlignment="1">
      <alignment horizontal="center"/>
    </xf>
    <xf numFmtId="0" fontId="4" fillId="0" borderId="4" xfId="1" applyBorder="1"/>
    <xf numFmtId="0" fontId="4" fillId="0" borderId="5" xfId="1" applyBorder="1"/>
    <xf numFmtId="0" fontId="4" fillId="0" borderId="0" xfId="1" applyAlignment="1">
      <alignment wrapText="1"/>
    </xf>
    <xf numFmtId="16" fontId="4" fillId="0" borderId="0" xfId="1" applyNumberFormat="1"/>
    <xf numFmtId="0" fontId="4" fillId="0" borderId="6" xfId="1" applyBorder="1"/>
    <xf numFmtId="0" fontId="4" fillId="0" borderId="0" xfId="1" applyAlignment="1">
      <alignment horizontal="center" wrapText="1"/>
    </xf>
    <xf numFmtId="0" fontId="4" fillId="0" borderId="7" xfId="1" applyBorder="1" applyAlignment="1">
      <alignment horizontal="center" wrapText="1"/>
    </xf>
    <xf numFmtId="0" fontId="4" fillId="0" borderId="7" xfId="1" applyBorder="1"/>
    <xf numFmtId="0" fontId="4" fillId="0" borderId="8" xfId="1" applyBorder="1"/>
    <xf numFmtId="0" fontId="4" fillId="0" borderId="9" xfId="1" applyBorder="1"/>
    <xf numFmtId="0" fontId="4" fillId="0" borderId="9" xfId="1" applyBorder="1" applyAlignment="1">
      <alignment horizontal="center" wrapText="1"/>
    </xf>
    <xf numFmtId="0" fontId="0" fillId="0" borderId="4" xfId="0" applyBorder="1"/>
    <xf numFmtId="166" fontId="4" fillId="0" borderId="0" xfId="4" applyNumberFormat="1"/>
    <xf numFmtId="2" fontId="4" fillId="0" borderId="0" xfId="1" applyNumberFormat="1"/>
    <xf numFmtId="164" fontId="4" fillId="0" borderId="10" xfId="1" applyNumberFormat="1" applyBorder="1"/>
    <xf numFmtId="0" fontId="4" fillId="0" borderId="10" xfId="1" applyBorder="1"/>
    <xf numFmtId="0" fontId="4" fillId="0" borderId="11" xfId="1" applyBorder="1"/>
    <xf numFmtId="2" fontId="4" fillId="0" borderId="5" xfId="1" applyNumberFormat="1" applyBorder="1"/>
    <xf numFmtId="165" fontId="10" fillId="0" borderId="0" xfId="1" applyNumberFormat="1" applyFont="1"/>
    <xf numFmtId="164" fontId="6" fillId="0" borderId="0" xfId="1" applyNumberFormat="1" applyFont="1"/>
    <xf numFmtId="165" fontId="4" fillId="0" borderId="10" xfId="1" applyNumberFormat="1" applyBorder="1"/>
    <xf numFmtId="165" fontId="4" fillId="0" borderId="11" xfId="1" applyNumberFormat="1" applyBorder="1"/>
    <xf numFmtId="1" fontId="4" fillId="0" borderId="0" xfId="1" applyNumberFormat="1"/>
    <xf numFmtId="165" fontId="4" fillId="0" borderId="11" xfId="1" quotePrefix="1" applyNumberFormat="1" applyBorder="1"/>
    <xf numFmtId="0" fontId="4" fillId="0" borderId="12" xfId="1" applyBorder="1"/>
    <xf numFmtId="2" fontId="4" fillId="0" borderId="12" xfId="1" applyNumberFormat="1" applyBorder="1"/>
    <xf numFmtId="0" fontId="4" fillId="0" borderId="13" xfId="1" applyBorder="1"/>
    <xf numFmtId="0" fontId="4" fillId="0" borderId="14" xfId="1" applyBorder="1"/>
    <xf numFmtId="0" fontId="3" fillId="0" borderId="0" xfId="1" applyFont="1" applyAlignment="1">
      <alignment horizontal="center"/>
    </xf>
    <xf numFmtId="0" fontId="2" fillId="0" borderId="0" xfId="1" applyFont="1"/>
    <xf numFmtId="18" fontId="2" fillId="0" borderId="0" xfId="1" applyNumberFormat="1" applyFont="1"/>
    <xf numFmtId="0" fontId="5" fillId="0" borderId="5" xfId="1" applyFont="1" applyBorder="1"/>
    <xf numFmtId="0" fontId="8" fillId="2" borderId="2" xfId="2" applyBorder="1" applyAlignment="1">
      <alignment horizontal="center"/>
    </xf>
    <xf numFmtId="0" fontId="9" fillId="3" borderId="3" xfId="3" applyBorder="1" applyAlignment="1">
      <alignment horizontal="center"/>
    </xf>
    <xf numFmtId="0" fontId="9" fillId="3" borderId="0" xfId="3" applyBorder="1" applyAlignment="1">
      <alignment horizontal="center"/>
    </xf>
    <xf numFmtId="0" fontId="1" fillId="0" borderId="0" xfId="1" applyFont="1"/>
  </cellXfs>
  <cellStyles count="5">
    <cellStyle name="Calculation 2" xfId="3" xr:uid="{3797B32C-37DF-4F27-A707-85A8410C3F4E}"/>
    <cellStyle name="Good 2" xfId="2" xr:uid="{52D138EF-E961-4D25-ABB9-91E4319E7E31}"/>
    <cellStyle name="Normal" xfId="0" builtinId="0"/>
    <cellStyle name="Normal 2" xfId="1" xr:uid="{4F148F3F-6E32-4064-AB9B-4C0FE46AAF91}"/>
    <cellStyle name="Percent 2" xfId="4" xr:uid="{E6011281-2D77-4431-81A8-040CEF26B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2F0E-2BA4-42C0-916D-7430D69D2159}">
  <dimension ref="A3:R36"/>
  <sheetViews>
    <sheetView workbookViewId="0">
      <selection activeCell="B36" sqref="B36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46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30C-C058-4F75-B69D-CB05587002E7}">
  <dimension ref="A1:AB84"/>
  <sheetViews>
    <sheetView topLeftCell="A44" workbookViewId="0">
      <selection activeCell="XEL34" sqref="XEL34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9EFA-91B2-41DB-9B65-BB61ECC65CB2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C32F-96D3-4316-B9FB-251BC646B828}">
  <dimension ref="A2:E9"/>
  <sheetViews>
    <sheetView workbookViewId="0">
      <selection activeCell="F17" sqref="F17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83E7-04C1-4373-AF1D-4C73FC5D93A5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08B-2415-482B-A284-931FCD9577A0}">
  <dimension ref="A2:DB76"/>
  <sheetViews>
    <sheetView showGridLines="0" tabSelected="1" topLeftCell="G3" zoomScale="88" zoomScaleNormal="125" workbookViewId="0">
      <selection activeCell="AC39" sqref="AC39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8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32" customWidth="1"/>
    <col min="79" max="79" width="24.83203125" style="44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R12" s="4" t="s">
        <v>260</v>
      </c>
      <c r="V12" s="1" t="s">
        <v>166</v>
      </c>
      <c r="Y12" s="1" t="s">
        <v>167</v>
      </c>
      <c r="AD12" s="4" t="s">
        <v>261</v>
      </c>
      <c r="BD12" s="49" t="s">
        <v>168</v>
      </c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15"/>
      <c r="BQ12" s="50" t="s">
        <v>169</v>
      </c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4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242</v>
      </c>
      <c r="C14" s="28" t="s">
        <v>225</v>
      </c>
      <c r="D14" s="28" t="s">
        <v>225</v>
      </c>
      <c r="E14" s="28">
        <v>9.5511700000000008</v>
      </c>
      <c r="F14" s="28"/>
      <c r="G14" s="28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2">
        <v>45693</v>
      </c>
      <c r="Q14" s="3">
        <v>0.40625</v>
      </c>
      <c r="R14" s="1">
        <v>0.5</v>
      </c>
      <c r="S14" s="1" t="s">
        <v>226</v>
      </c>
      <c r="T14" s="1">
        <v>1</v>
      </c>
      <c r="U14" s="1">
        <v>8</v>
      </c>
      <c r="V14" s="1" t="s">
        <v>227</v>
      </c>
      <c r="W14" s="4">
        <v>0.60599999999999998</v>
      </c>
      <c r="X14" s="1">
        <v>0</v>
      </c>
      <c r="Y14" s="1">
        <v>6.6791999999999998</v>
      </c>
      <c r="Z14" s="1">
        <v>6.6936999999999998</v>
      </c>
      <c r="AA14" s="1">
        <v>8</v>
      </c>
      <c r="AB14" s="1">
        <f t="shared" ref="AB14:AB31" si="0">Z14-Y14</f>
        <v>1.4499999999999957E-2</v>
      </c>
      <c r="AC14" s="1">
        <f t="shared" ref="AC14:AC31" si="1">AB14/(AA14/1000)</f>
        <v>1.8124999999999947</v>
      </c>
      <c r="AF14" s="29" t="e">
        <f t="shared" ref="AF14:AF31" si="2">AE14/AD14</f>
        <v>#DIV/0!</v>
      </c>
      <c r="AG14" s="1" t="e">
        <f>AF14*AC14</f>
        <v>#DIV/0!</v>
      </c>
      <c r="AI14" s="30">
        <f>$BF$14-BF14</f>
        <v>0</v>
      </c>
      <c r="AJ14" s="1">
        <f>BE14/R14</f>
        <v>0</v>
      </c>
      <c r="AK14" s="30" t="e">
        <f>BE14/AI14</f>
        <v>#DIV/0!</v>
      </c>
      <c r="AL14" s="8">
        <f>AC14/R14</f>
        <v>3.6249999999999893</v>
      </c>
      <c r="AM14" s="1" t="e">
        <f>AC14/AI14</f>
        <v>#DIV/0!</v>
      </c>
      <c r="AO14" s="30"/>
      <c r="BD14" s="1" t="str">
        <f>IF(ISNUMBER(C14),C14*1000/100,"")</f>
        <v/>
      </c>
      <c r="BE14" s="1">
        <f>IF(ISNUMBER(D14),D14*1000/100,0)</f>
        <v>0</v>
      </c>
      <c r="BF14" s="1">
        <f t="shared" ref="BF14:BO29" si="3">IF(ISNUMBER(E14),E14*1000/100,"")</f>
        <v>95.511700000000005</v>
      </c>
      <c r="BG14" s="1" t="str">
        <f t="shared" si="3"/>
        <v/>
      </c>
      <c r="BH14" s="1" t="str">
        <f t="shared" si="3"/>
        <v/>
      </c>
      <c r="BI14" s="1" t="str">
        <f t="shared" si="3"/>
        <v/>
      </c>
      <c r="BJ14" s="1" t="str">
        <f t="shared" si="3"/>
        <v/>
      </c>
      <c r="BK14" s="1" t="str">
        <f t="shared" si="3"/>
        <v/>
      </c>
      <c r="BL14" s="1" t="str">
        <f t="shared" si="3"/>
        <v/>
      </c>
      <c r="BM14" s="1" t="str">
        <f t="shared" si="3"/>
        <v/>
      </c>
      <c r="BN14" s="1" t="str">
        <f t="shared" si="3"/>
        <v/>
      </c>
      <c r="BO14" s="1" t="str">
        <f t="shared" si="3"/>
        <v/>
      </c>
      <c r="BP14" s="20"/>
      <c r="BQ14" s="20" t="str">
        <f>S14</f>
        <v>r1</v>
      </c>
      <c r="BR14" s="7"/>
      <c r="BS14" s="1" t="str">
        <f t="shared" ref="BS14:BS17" si="4">B14</f>
        <v>Jeff_SloHot50_BioStat 33-1</v>
      </c>
      <c r="BT14" s="30"/>
      <c r="BU14" s="34"/>
      <c r="BW14" s="7"/>
      <c r="BX14" s="7"/>
      <c r="BY14" s="7">
        <f t="shared" ref="BY14:BY21" si="5">$BF$14-BF14</f>
        <v>0</v>
      </c>
      <c r="BZ14" s="7"/>
      <c r="CA14" s="7">
        <f>BY14/R14</f>
        <v>0</v>
      </c>
      <c r="CB14" s="7"/>
      <c r="CC14" s="31"/>
      <c r="CD14" s="32"/>
      <c r="CE14" s="32"/>
      <c r="CG14" s="33"/>
      <c r="CH14" s="33"/>
    </row>
    <row r="15" spans="1:106" x14ac:dyDescent="0.2">
      <c r="A15" s="17"/>
      <c r="B15" s="28" t="s">
        <v>243</v>
      </c>
      <c r="C15" s="28" t="s">
        <v>225</v>
      </c>
      <c r="D15" s="28" t="s">
        <v>225</v>
      </c>
      <c r="E15" s="28">
        <v>9.5506899999999995</v>
      </c>
      <c r="F15" s="28"/>
      <c r="G15" s="28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P15" s="2">
        <v>45693</v>
      </c>
      <c r="Q15" s="3">
        <v>0.40625</v>
      </c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4">
        <v>0.68700000000000006</v>
      </c>
      <c r="X15" s="1">
        <v>0</v>
      </c>
      <c r="Y15" s="1">
        <v>6.7043999999999997</v>
      </c>
      <c r="Z15" s="1">
        <v>6.7168999999999999</v>
      </c>
      <c r="AA15" s="1">
        <v>8</v>
      </c>
      <c r="AB15" s="1">
        <f t="shared" si="0"/>
        <v>1.2500000000000178E-2</v>
      </c>
      <c r="AC15" s="1">
        <f t="shared" si="1"/>
        <v>1.5625000000000222</v>
      </c>
      <c r="AF15" s="29" t="e">
        <f t="shared" si="2"/>
        <v>#DIV/0!</v>
      </c>
      <c r="AG15" s="1" t="e">
        <f t="shared" ref="AG15:AG21" si="6">AF15*AC15</f>
        <v>#DIV/0!</v>
      </c>
      <c r="AI15" s="30">
        <f>$BF$15-BF15</f>
        <v>0</v>
      </c>
      <c r="AJ15" s="1">
        <f>BE15/R15</f>
        <v>0</v>
      </c>
      <c r="AK15" s="30" t="e">
        <f t="shared" ref="AK15:AK31" si="7">BE15/AI15</f>
        <v>#DIV/0!</v>
      </c>
      <c r="AL15" s="8">
        <f t="shared" ref="AL15:AL31" si="8">AC15/R15</f>
        <v>3.1250000000000444</v>
      </c>
      <c r="AM15" s="1" t="e">
        <f>AC15/AI15</f>
        <v>#DIV/0!</v>
      </c>
      <c r="AO15" s="30"/>
      <c r="BD15" s="1" t="str">
        <f t="shared" ref="BD15:BD25" si="9">IF(ISNUMBER(C15),C15*1000/100,"")</f>
        <v/>
      </c>
      <c r="BE15" s="1">
        <f t="shared" ref="BE15:BE25" si="10">IF(ISNUMBER(D15),D15*1000/100,0)</f>
        <v>0</v>
      </c>
      <c r="BF15" s="1">
        <f t="shared" si="3"/>
        <v>95.506899999999987</v>
      </c>
      <c r="BG15" s="1" t="str">
        <f t="shared" si="3"/>
        <v/>
      </c>
      <c r="BH15" s="1" t="str">
        <f t="shared" si="3"/>
        <v/>
      </c>
      <c r="BI15" s="1" t="str">
        <f t="shared" si="3"/>
        <v/>
      </c>
      <c r="BJ15" s="1" t="str">
        <f t="shared" si="3"/>
        <v/>
      </c>
      <c r="BK15" s="1" t="str">
        <f t="shared" si="3"/>
        <v/>
      </c>
      <c r="BL15" s="1" t="str">
        <f t="shared" si="3"/>
        <v/>
      </c>
      <c r="BM15" s="1" t="str">
        <f t="shared" si="3"/>
        <v/>
      </c>
      <c r="BN15" s="1" t="str">
        <f t="shared" si="3"/>
        <v/>
      </c>
      <c r="BO15" s="1" t="str">
        <f t="shared" si="3"/>
        <v/>
      </c>
      <c r="BP15" s="20"/>
      <c r="BQ15" s="20" t="str">
        <f>S15</f>
        <v>r2</v>
      </c>
      <c r="BR15" s="7"/>
      <c r="BS15" s="1" t="str">
        <f t="shared" si="4"/>
        <v>Jeff_SloHot50_BioStat 33-2</v>
      </c>
      <c r="BT15" s="30"/>
      <c r="BU15" s="34"/>
      <c r="BV15" s="7"/>
      <c r="BW15" s="36"/>
      <c r="BX15" s="36"/>
      <c r="BY15" s="7">
        <f t="shared" si="5"/>
        <v>4.8000000000172349E-3</v>
      </c>
      <c r="BZ15" s="7"/>
      <c r="CA15" s="7">
        <f>BY15/R18</f>
        <v>1.0666666666704966E-3</v>
      </c>
      <c r="CB15" s="7">
        <f t="shared" ref="CB15:CB21" si="11">BY15-BY14</f>
        <v>4.8000000000172349E-3</v>
      </c>
      <c r="CC15" s="31">
        <f>CB15/(R18-R14)</f>
        <v>1.2000000000043087E-3</v>
      </c>
      <c r="CD15" s="31">
        <f>AC15-AC14</f>
        <v>-0.24999999999997247</v>
      </c>
      <c r="CE15" s="37">
        <f>CD15/CB15</f>
        <v>-52.083333333140587</v>
      </c>
      <c r="CF15" s="8"/>
      <c r="CG15" s="38"/>
      <c r="CH15" s="38"/>
      <c r="CI15" s="33"/>
      <c r="CN15" s="30"/>
      <c r="CO15" s="30"/>
      <c r="CP15" s="7"/>
      <c r="CQ15" s="7"/>
      <c r="CR15" s="7"/>
      <c r="CS15" s="30"/>
      <c r="CZ15" s="7"/>
      <c r="DA15" s="7"/>
      <c r="DB15" s="7"/>
    </row>
    <row r="16" spans="1:106" x14ac:dyDescent="0.2">
      <c r="A16" s="17"/>
      <c r="B16" s="28" t="s">
        <v>244</v>
      </c>
      <c r="C16" s="28" t="s">
        <v>225</v>
      </c>
      <c r="D16" s="28" t="s">
        <v>225</v>
      </c>
      <c r="E16" s="28">
        <v>9.49146</v>
      </c>
      <c r="F16" s="28"/>
      <c r="G16" s="28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O16" s="46"/>
      <c r="P16" s="2">
        <v>45693</v>
      </c>
      <c r="Q16" s="3">
        <v>0.53125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4">
        <v>1.3759999999999999</v>
      </c>
      <c r="X16" s="1">
        <v>1</v>
      </c>
      <c r="Y16" s="1">
        <v>7.1614000000000004</v>
      </c>
      <c r="Z16" s="1">
        <v>7.1792999999999996</v>
      </c>
      <c r="AA16" s="1">
        <v>8</v>
      </c>
      <c r="AB16" s="1">
        <f t="shared" si="0"/>
        <v>1.7899999999999139E-2</v>
      </c>
      <c r="AC16" s="1">
        <f t="shared" si="1"/>
        <v>2.2374999999998924</v>
      </c>
      <c r="AD16" s="1">
        <v>2.2000000000000002</v>
      </c>
      <c r="AF16" s="29">
        <f t="shared" si="2"/>
        <v>0</v>
      </c>
      <c r="AG16" s="1">
        <f t="shared" si="6"/>
        <v>0</v>
      </c>
      <c r="AI16" s="30">
        <f>$BF$14-BF16</f>
        <v>0.59710000000001173</v>
      </c>
      <c r="AJ16" s="1">
        <f>BE16/R16</f>
        <v>0</v>
      </c>
      <c r="AK16" s="30">
        <f t="shared" si="7"/>
        <v>0</v>
      </c>
      <c r="AL16" s="8">
        <f t="shared" si="8"/>
        <v>0.63928571428568348</v>
      </c>
      <c r="AM16" s="8">
        <f>AC16/AI16</f>
        <v>3.7472785128116706</v>
      </c>
      <c r="AO16" s="30"/>
      <c r="AP16" s="1">
        <f t="shared" ref="AP16:AP31" si="12">BF14-BF16</f>
        <v>0.59710000000001173</v>
      </c>
      <c r="AQ16" s="8">
        <f>AP16/(R16-R14)</f>
        <v>0.19903333333333725</v>
      </c>
      <c r="AR16" s="8">
        <f>(AC16-AC14)/(AI16-AI14)</f>
        <v>0.71177357226576676</v>
      </c>
      <c r="AS16" s="30">
        <f>AR16/AQ16</f>
        <v>3.5761525988900655</v>
      </c>
      <c r="AT16" s="8">
        <f>(BE16-BE14)/(AI16-AI14)</f>
        <v>0</v>
      </c>
      <c r="AU16" s="35">
        <f>AT16/AP16</f>
        <v>0</v>
      </c>
      <c r="AV16" s="8"/>
      <c r="AW16" s="8">
        <f>AK16+AM16</f>
        <v>3.7472785128116706</v>
      </c>
      <c r="BD16" s="1" t="str">
        <f t="shared" si="9"/>
        <v/>
      </c>
      <c r="BE16" s="1">
        <f t="shared" si="10"/>
        <v>0</v>
      </c>
      <c r="BF16" s="1">
        <f t="shared" si="3"/>
        <v>94.914599999999993</v>
      </c>
      <c r="BG16" s="1" t="str">
        <f t="shared" si="3"/>
        <v/>
      </c>
      <c r="BH16" s="1" t="str">
        <f t="shared" si="3"/>
        <v/>
      </c>
      <c r="BI16" s="1" t="str">
        <f t="shared" si="3"/>
        <v/>
      </c>
      <c r="BJ16" s="1" t="str">
        <f t="shared" si="3"/>
        <v/>
      </c>
      <c r="BK16" s="1" t="str">
        <f t="shared" si="3"/>
        <v/>
      </c>
      <c r="BL16" s="1" t="str">
        <f t="shared" si="3"/>
        <v/>
      </c>
      <c r="BM16" s="1" t="str">
        <f t="shared" si="3"/>
        <v/>
      </c>
      <c r="BN16" s="1" t="str">
        <f t="shared" si="3"/>
        <v/>
      </c>
      <c r="BO16" s="1" t="str">
        <f t="shared" si="3"/>
        <v/>
      </c>
      <c r="BP16" s="20"/>
      <c r="BQ16" s="20" t="str">
        <f>S16</f>
        <v>r1</v>
      </c>
      <c r="BR16" s="7"/>
      <c r="BS16" s="1" t="str">
        <f t="shared" si="4"/>
        <v>Jeff_SloHot50_BioStat 33-3</v>
      </c>
      <c r="BT16" s="30"/>
      <c r="BU16" s="34"/>
      <c r="BV16" s="7"/>
      <c r="BW16" s="36"/>
      <c r="BX16" s="7"/>
      <c r="BY16" s="7">
        <f t="shared" si="5"/>
        <v>0.59710000000001173</v>
      </c>
      <c r="BZ16" s="7"/>
      <c r="CA16" s="7">
        <f>BY16/R20</f>
        <v>0.1085636363636385</v>
      </c>
      <c r="CB16" s="7">
        <f t="shared" si="11"/>
        <v>0.5922999999999945</v>
      </c>
      <c r="CC16" s="31">
        <f>CB16/(R20-R18)</f>
        <v>0.5922999999999945</v>
      </c>
      <c r="CD16" s="31"/>
      <c r="CE16" s="37"/>
      <c r="CF16" s="8"/>
      <c r="CG16" s="38"/>
      <c r="CH16" s="38"/>
      <c r="CI16" s="8"/>
      <c r="CN16" s="30"/>
      <c r="CO16" s="30"/>
      <c r="CP16" s="7"/>
      <c r="CQ16" s="7"/>
      <c r="CR16" s="7"/>
      <c r="CS16" s="30"/>
      <c r="CT16" s="30"/>
      <c r="CU16" s="30"/>
      <c r="CZ16" s="7"/>
      <c r="DA16" s="7"/>
      <c r="DB16" s="7"/>
    </row>
    <row r="17" spans="1:106" x14ac:dyDescent="0.2">
      <c r="B17" s="28" t="s">
        <v>245</v>
      </c>
      <c r="C17" s="28" t="s">
        <v>225</v>
      </c>
      <c r="D17" s="28" t="s">
        <v>225</v>
      </c>
      <c r="E17" s="28">
        <v>9.4779300000000006</v>
      </c>
      <c r="F17" s="28"/>
      <c r="G17" s="28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P17" s="2">
        <v>45693</v>
      </c>
      <c r="Q17" s="3">
        <v>0.53125</v>
      </c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4">
        <v>1.38</v>
      </c>
      <c r="X17" s="1">
        <v>1</v>
      </c>
      <c r="Y17" s="1">
        <v>7.1580000000000004</v>
      </c>
      <c r="Z17" s="1">
        <v>7.1749999999999998</v>
      </c>
      <c r="AA17" s="1">
        <v>8</v>
      </c>
      <c r="AB17" s="1">
        <f t="shared" si="0"/>
        <v>1.699999999999946E-2</v>
      </c>
      <c r="AC17" s="1">
        <f t="shared" si="1"/>
        <v>2.1249999999999325</v>
      </c>
      <c r="AD17" s="1">
        <v>1.8</v>
      </c>
      <c r="AF17" s="29">
        <f t="shared" si="2"/>
        <v>0</v>
      </c>
      <c r="AG17" s="1">
        <f t="shared" si="6"/>
        <v>0</v>
      </c>
      <c r="AI17" s="30">
        <f>$BF$15-BF17</f>
        <v>0.72759999999998115</v>
      </c>
      <c r="AJ17" s="1">
        <f t="shared" ref="AJ17:AJ31" si="13">BE17/R17</f>
        <v>0</v>
      </c>
      <c r="AK17" s="30">
        <f t="shared" si="7"/>
        <v>0</v>
      </c>
      <c r="AL17" s="8">
        <f t="shared" si="8"/>
        <v>0.60714285714283789</v>
      </c>
      <c r="AM17" s="8">
        <f t="shared" ref="AM17:AM31" si="14">AC17/AI17</f>
        <v>2.9205607476635342</v>
      </c>
      <c r="AO17" s="30"/>
      <c r="AP17" s="1">
        <f t="shared" si="12"/>
        <v>0.72759999999998115</v>
      </c>
      <c r="AQ17" s="8">
        <f>AP17/(R17-R15)</f>
        <v>0.24253333333332705</v>
      </c>
      <c r="AR17" s="8">
        <f t="shared" ref="AR17:AR31" si="15">(AC17-AC15)/(AI17-AI15)</f>
        <v>0.77308960967554274</v>
      </c>
      <c r="AS17" s="30">
        <f t="shared" ref="AS17:AS31" si="16">AR17/AQ17</f>
        <v>3.1875602378046843</v>
      </c>
      <c r="AT17" s="8">
        <f>(BE17-BE15)/(AI17-AI15)</f>
        <v>0</v>
      </c>
      <c r="AU17" s="35">
        <f t="shared" ref="AU17:AU31" si="17">AT17/AP17</f>
        <v>0</v>
      </c>
      <c r="AV17" s="8"/>
      <c r="AW17" s="8">
        <f t="shared" ref="AW17:AW31" si="18">AK17+AM17</f>
        <v>2.9205607476635342</v>
      </c>
      <c r="BD17" s="1" t="str">
        <f t="shared" si="9"/>
        <v/>
      </c>
      <c r="BE17" s="1">
        <f t="shared" si="10"/>
        <v>0</v>
      </c>
      <c r="BF17" s="1">
        <f t="shared" si="3"/>
        <v>94.779300000000006</v>
      </c>
      <c r="BG17" s="1" t="str">
        <f t="shared" si="3"/>
        <v/>
      </c>
      <c r="BH17" s="1" t="str">
        <f t="shared" si="3"/>
        <v/>
      </c>
      <c r="BI17" s="1" t="str">
        <f t="shared" si="3"/>
        <v/>
      </c>
      <c r="BJ17" s="1" t="str">
        <f t="shared" si="3"/>
        <v/>
      </c>
      <c r="BK17" s="1" t="str">
        <f t="shared" si="3"/>
        <v/>
      </c>
      <c r="BL17" s="1" t="str">
        <f t="shared" si="3"/>
        <v/>
      </c>
      <c r="BM17" s="1" t="str">
        <f t="shared" si="3"/>
        <v/>
      </c>
      <c r="BN17" s="1" t="str">
        <f t="shared" si="3"/>
        <v/>
      </c>
      <c r="BO17" s="1" t="str">
        <f t="shared" si="3"/>
        <v/>
      </c>
      <c r="BP17" s="20"/>
      <c r="BQ17" s="20" t="str">
        <f>S17</f>
        <v>r2</v>
      </c>
      <c r="BR17" s="7"/>
      <c r="BS17" s="1" t="str">
        <f t="shared" si="4"/>
        <v>Jeff_SloHot50_BioStat 33-4</v>
      </c>
      <c r="BT17" s="30"/>
      <c r="BU17" s="34"/>
      <c r="BV17" s="7"/>
      <c r="BW17" s="36"/>
      <c r="BX17" s="7"/>
      <c r="BY17" s="7">
        <f t="shared" si="5"/>
        <v>0.73239999999999839</v>
      </c>
      <c r="BZ17" s="7"/>
      <c r="CA17" s="7">
        <f>BY17/R22</f>
        <v>3.0516666666666598E-2</v>
      </c>
      <c r="CB17" s="7">
        <f t="shared" si="11"/>
        <v>0.13529999999998665</v>
      </c>
      <c r="CC17" s="31">
        <f>CB17/(R22-R20)</f>
        <v>7.313513513512792E-3</v>
      </c>
      <c r="CD17" s="31"/>
      <c r="CE17" s="37"/>
      <c r="CF17" s="8"/>
      <c r="CG17" s="38"/>
      <c r="CH17" s="38"/>
      <c r="CI17" s="8"/>
      <c r="CN17" s="8"/>
      <c r="CO17" s="30"/>
      <c r="CP17" s="7"/>
      <c r="CQ17" s="7"/>
      <c r="CR17" s="7"/>
      <c r="CS17" s="30"/>
      <c r="CT17" s="30"/>
      <c r="CU17" s="30"/>
      <c r="CZ17" s="7"/>
      <c r="DA17" s="7"/>
      <c r="DB17" s="7"/>
    </row>
    <row r="18" spans="1:106" x14ac:dyDescent="0.2">
      <c r="B18" s="28" t="s">
        <v>246</v>
      </c>
      <c r="C18" s="28" t="s">
        <v>225</v>
      </c>
      <c r="D18" s="28" t="s">
        <v>225</v>
      </c>
      <c r="E18" s="28">
        <v>9.4752200000000002</v>
      </c>
      <c r="F18" s="28"/>
      <c r="G18" s="28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>
        <v>45693</v>
      </c>
      <c r="Q18" s="3">
        <v>0.57291666666666663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4">
        <v>1.554</v>
      </c>
      <c r="X18" s="1">
        <v>2</v>
      </c>
      <c r="AA18" s="1">
        <v>8</v>
      </c>
      <c r="AB18" s="1">
        <f t="shared" si="0"/>
        <v>0</v>
      </c>
      <c r="AC18" s="1">
        <f t="shared" si="1"/>
        <v>0</v>
      </c>
      <c r="AF18" s="29" t="e">
        <f t="shared" si="2"/>
        <v>#DIV/0!</v>
      </c>
      <c r="AG18" s="1" t="e">
        <f t="shared" si="6"/>
        <v>#DIV/0!</v>
      </c>
      <c r="AI18" s="30">
        <f t="shared" ref="AI18" si="19">$BF$14-BF18</f>
        <v>0.75950000000001694</v>
      </c>
      <c r="AJ18" s="1">
        <f t="shared" si="13"/>
        <v>0</v>
      </c>
      <c r="AK18" s="30">
        <f t="shared" si="7"/>
        <v>0</v>
      </c>
      <c r="AL18" s="8">
        <f t="shared" si="8"/>
        <v>0</v>
      </c>
      <c r="AM18" s="8">
        <f t="shared" si="14"/>
        <v>0</v>
      </c>
      <c r="AO18" s="30"/>
      <c r="AP18" s="1">
        <f t="shared" si="12"/>
        <v>0.16240000000000521</v>
      </c>
      <c r="AQ18" s="8">
        <f t="shared" ref="AQ18:AQ31" si="20">AP18/(R18-R16)</f>
        <v>0.16240000000000521</v>
      </c>
      <c r="AR18" s="8">
        <f t="shared" si="15"/>
        <v>-13.777709359604806</v>
      </c>
      <c r="AS18" s="30">
        <f t="shared" si="16"/>
        <v>-84.838111820223915</v>
      </c>
      <c r="AT18" s="8">
        <f t="shared" ref="AT18:AT31" si="21">(BE18-BE16)/(AI18-AI16)</f>
        <v>0</v>
      </c>
      <c r="AU18" s="35">
        <f t="shared" si="17"/>
        <v>0</v>
      </c>
      <c r="AV18" s="8"/>
      <c r="AW18" s="8">
        <f t="shared" si="18"/>
        <v>0</v>
      </c>
      <c r="BD18" s="1" t="str">
        <f t="shared" si="9"/>
        <v/>
      </c>
      <c r="BE18" s="1">
        <f t="shared" si="10"/>
        <v>0</v>
      </c>
      <c r="BF18" s="1">
        <f t="shared" si="3"/>
        <v>94.752199999999988</v>
      </c>
      <c r="BG18" s="1" t="str">
        <f t="shared" si="3"/>
        <v/>
      </c>
      <c r="BH18" s="1" t="str">
        <f t="shared" si="3"/>
        <v/>
      </c>
      <c r="BI18" s="1" t="str">
        <f t="shared" si="3"/>
        <v/>
      </c>
      <c r="BJ18" s="1" t="str">
        <f t="shared" si="3"/>
        <v/>
      </c>
      <c r="BK18" s="1" t="str">
        <f t="shared" si="3"/>
        <v/>
      </c>
      <c r="BL18" s="1" t="str">
        <f t="shared" si="3"/>
        <v/>
      </c>
      <c r="BM18" s="1" t="str">
        <f t="shared" si="3"/>
        <v/>
      </c>
      <c r="BN18" s="1" t="str">
        <f t="shared" si="3"/>
        <v/>
      </c>
      <c r="BO18" s="1" t="str">
        <f t="shared" si="3"/>
        <v/>
      </c>
      <c r="BP18" s="20"/>
      <c r="BQ18" s="20" t="str">
        <f>S19</f>
        <v>r2</v>
      </c>
      <c r="BR18" s="7"/>
      <c r="BS18" s="1" t="e">
        <f>#REF!</f>
        <v>#REF!</v>
      </c>
      <c r="BT18" s="30"/>
      <c r="BU18" s="34"/>
      <c r="BV18" s="7"/>
      <c r="BW18" s="7"/>
      <c r="BX18" s="7"/>
      <c r="BY18" s="7">
        <f t="shared" si="5"/>
        <v>0.75950000000001694</v>
      </c>
      <c r="BZ18" s="7"/>
      <c r="CA18" s="7">
        <f>BY18/R26</f>
        <v>1.582291666666702E-2</v>
      </c>
      <c r="CB18" s="7">
        <f t="shared" si="11"/>
        <v>2.7100000000018554E-2</v>
      </c>
      <c r="CC18" s="31">
        <f>CB18/(R26-R22)</f>
        <v>1.1291666666674398E-3</v>
      </c>
      <c r="CD18" s="31">
        <f>AC18-AC15</f>
        <v>-1.5625000000000222</v>
      </c>
      <c r="CE18" s="37">
        <f>CD18/CB18</f>
        <v>-57.656826568227025</v>
      </c>
      <c r="CF18" s="8"/>
      <c r="CG18" s="38"/>
      <c r="CH18" s="38"/>
      <c r="CI18" s="8"/>
      <c r="CN18" s="8"/>
      <c r="CO18" s="30"/>
      <c r="CP18" s="7"/>
      <c r="CQ18" s="7"/>
      <c r="CR18" s="7"/>
      <c r="CS18" s="30"/>
      <c r="CT18" s="30"/>
      <c r="CU18" s="30"/>
      <c r="CZ18" s="7"/>
      <c r="DA18" s="8"/>
      <c r="DB18" s="7"/>
    </row>
    <row r="19" spans="1:106" x14ac:dyDescent="0.2">
      <c r="A19" s="18"/>
      <c r="B19" s="28" t="s">
        <v>247</v>
      </c>
      <c r="C19" s="28" t="s">
        <v>225</v>
      </c>
      <c r="D19" s="28" t="s">
        <v>225</v>
      </c>
      <c r="E19" s="28">
        <v>9.4395000000000007</v>
      </c>
      <c r="F19" s="28"/>
      <c r="G19" s="28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>
        <v>45693</v>
      </c>
      <c r="Q19" s="3">
        <v>0.57291666666666663</v>
      </c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W19" s="4">
        <v>1.514</v>
      </c>
      <c r="X19" s="1">
        <v>1</v>
      </c>
      <c r="AA19" s="1">
        <v>8</v>
      </c>
      <c r="AB19" s="1">
        <f t="shared" si="0"/>
        <v>0</v>
      </c>
      <c r="AC19" s="1">
        <f t="shared" si="1"/>
        <v>0</v>
      </c>
      <c r="AF19" s="29" t="e">
        <f t="shared" si="2"/>
        <v>#DIV/0!</v>
      </c>
      <c r="AG19" s="1" t="e">
        <f t="shared" si="6"/>
        <v>#DIV/0!</v>
      </c>
      <c r="AI19" s="30">
        <f t="shared" ref="AI19" si="22">$BF$15-BF19</f>
        <v>1.1118999999999915</v>
      </c>
      <c r="AJ19" s="1">
        <f t="shared" si="13"/>
        <v>0</v>
      </c>
      <c r="AK19" s="30">
        <f t="shared" si="7"/>
        <v>0</v>
      </c>
      <c r="AL19" s="8">
        <f t="shared" si="8"/>
        <v>0</v>
      </c>
      <c r="AM19" s="8">
        <f t="shared" si="14"/>
        <v>0</v>
      </c>
      <c r="AO19" s="30"/>
      <c r="AP19" s="1">
        <f t="shared" si="12"/>
        <v>0.3843000000000103</v>
      </c>
      <c r="AQ19" s="8">
        <f t="shared" si="20"/>
        <v>0.3843000000000103</v>
      </c>
      <c r="AR19" s="8">
        <f t="shared" si="15"/>
        <v>-5.5295342180584841</v>
      </c>
      <c r="AS19" s="30">
        <f t="shared" si="16"/>
        <v>-14.388587608790882</v>
      </c>
      <c r="AT19" s="8">
        <f t="shared" si="21"/>
        <v>0</v>
      </c>
      <c r="AU19" s="35">
        <f t="shared" si="17"/>
        <v>0</v>
      </c>
      <c r="AV19" s="8"/>
      <c r="AW19" s="8">
        <f t="shared" si="18"/>
        <v>0</v>
      </c>
      <c r="BD19" s="1" t="str">
        <f t="shared" si="9"/>
        <v/>
      </c>
      <c r="BE19" s="1">
        <f t="shared" si="10"/>
        <v>0</v>
      </c>
      <c r="BF19" s="1">
        <f t="shared" si="3"/>
        <v>94.394999999999996</v>
      </c>
      <c r="BG19" s="1" t="str">
        <f t="shared" si="3"/>
        <v/>
      </c>
      <c r="BH19" s="1" t="str">
        <f t="shared" si="3"/>
        <v/>
      </c>
      <c r="BI19" s="1" t="str">
        <f t="shared" si="3"/>
        <v/>
      </c>
      <c r="BJ19" s="1" t="str">
        <f t="shared" si="3"/>
        <v/>
      </c>
      <c r="BK19" s="1" t="str">
        <f t="shared" si="3"/>
        <v/>
      </c>
      <c r="BL19" s="1" t="str">
        <f t="shared" si="3"/>
        <v/>
      </c>
      <c r="BM19" s="1" t="str">
        <f t="shared" si="3"/>
        <v/>
      </c>
      <c r="BN19" s="1" t="str">
        <f t="shared" si="3"/>
        <v/>
      </c>
      <c r="BO19" s="1" t="str">
        <f t="shared" si="3"/>
        <v/>
      </c>
      <c r="BP19" s="20"/>
      <c r="BQ19" s="20" t="str">
        <f>S20</f>
        <v>r1</v>
      </c>
      <c r="BR19" s="7"/>
      <c r="BS19" s="1" t="str">
        <f>B18</f>
        <v>Jeff_SloHot50_BioStat 33-5</v>
      </c>
      <c r="BT19" s="7"/>
      <c r="BU19" s="34"/>
      <c r="BV19" s="7"/>
      <c r="BW19" s="7"/>
      <c r="BX19" s="7"/>
      <c r="BY19" s="7">
        <f t="shared" si="5"/>
        <v>1.1167000000000087</v>
      </c>
      <c r="BZ19" s="7"/>
      <c r="CA19" s="7" t="e">
        <f>BY19/#REF!</f>
        <v>#REF!</v>
      </c>
      <c r="CB19" s="7">
        <f t="shared" si="11"/>
        <v>0.35719999999999175</v>
      </c>
      <c r="CC19" s="31" t="e">
        <f>CB19/(#REF!-R26)</f>
        <v>#REF!</v>
      </c>
      <c r="CD19" s="31"/>
      <c r="CE19" s="37"/>
      <c r="CF19" s="8"/>
      <c r="CG19" s="38"/>
      <c r="CH19" s="38"/>
      <c r="CI19" s="8"/>
      <c r="CN19" s="8"/>
      <c r="CO19" s="30"/>
      <c r="CP19" s="7"/>
      <c r="CQ19" s="7"/>
      <c r="CR19" s="7"/>
      <c r="CS19" s="30"/>
      <c r="CT19" s="30"/>
      <c r="CU19" s="30"/>
      <c r="CZ19" s="7"/>
      <c r="DA19" s="8"/>
      <c r="DB19" s="7"/>
    </row>
    <row r="20" spans="1:106" x14ac:dyDescent="0.2">
      <c r="B20" s="28" t="s">
        <v>248</v>
      </c>
      <c r="C20" s="28" t="s">
        <v>225</v>
      </c>
      <c r="D20" s="28" t="s">
        <v>225</v>
      </c>
      <c r="E20" s="28">
        <v>9.4283099999999997</v>
      </c>
      <c r="F20" s="28"/>
      <c r="G20" s="28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>
        <v>45693</v>
      </c>
      <c r="Q20" s="3">
        <v>0.61458333333333337</v>
      </c>
      <c r="R20" s="7">
        <v>5.5</v>
      </c>
      <c r="S20" s="46" t="s">
        <v>226</v>
      </c>
      <c r="T20" s="1">
        <v>7</v>
      </c>
      <c r="U20" s="1">
        <v>8</v>
      </c>
      <c r="V20" s="1" t="s">
        <v>227</v>
      </c>
      <c r="W20" s="4">
        <v>2.1880000000000002</v>
      </c>
      <c r="X20" s="1">
        <v>2</v>
      </c>
      <c r="Y20" s="1">
        <v>7.1494</v>
      </c>
      <c r="Z20" s="1">
        <v>7.1779000000000002</v>
      </c>
      <c r="AA20" s="1">
        <v>8</v>
      </c>
      <c r="AB20" s="1">
        <f t="shared" si="0"/>
        <v>2.8500000000000192E-2</v>
      </c>
      <c r="AC20" s="1">
        <f t="shared" si="1"/>
        <v>3.562500000000024</v>
      </c>
      <c r="AD20" s="1">
        <v>6</v>
      </c>
      <c r="AF20" s="29">
        <f t="shared" si="2"/>
        <v>0</v>
      </c>
      <c r="AG20" s="1">
        <f t="shared" si="6"/>
        <v>0</v>
      </c>
      <c r="AI20" s="30">
        <f t="shared" ref="AI20" si="23">$BF$14-BF20</f>
        <v>1.2286000000000143</v>
      </c>
      <c r="AJ20" s="1">
        <f t="shared" si="13"/>
        <v>0</v>
      </c>
      <c r="AK20" s="30">
        <f t="shared" si="7"/>
        <v>0</v>
      </c>
      <c r="AL20" s="8">
        <f t="shared" si="8"/>
        <v>0.64772727272727704</v>
      </c>
      <c r="AM20" s="8">
        <f t="shared" si="14"/>
        <v>2.8996418687937346</v>
      </c>
      <c r="AO20" s="30"/>
      <c r="AP20" s="1">
        <f t="shared" si="12"/>
        <v>0.46909999999999741</v>
      </c>
      <c r="AQ20" s="8">
        <f t="shared" si="20"/>
        <v>0.46909999999999741</v>
      </c>
      <c r="AR20" s="8">
        <f t="shared" si="15"/>
        <v>7.5943295672565414</v>
      </c>
      <c r="AS20" s="30">
        <f t="shared" si="16"/>
        <v>16.189148512591309</v>
      </c>
      <c r="AT20" s="8">
        <f t="shared" si="21"/>
        <v>0</v>
      </c>
      <c r="AU20" s="35">
        <f t="shared" si="17"/>
        <v>0</v>
      </c>
      <c r="AV20" s="8"/>
      <c r="AW20" s="8">
        <f t="shared" si="18"/>
        <v>2.8996418687937346</v>
      </c>
      <c r="BD20" s="1" t="str">
        <f t="shared" si="9"/>
        <v/>
      </c>
      <c r="BE20" s="1">
        <f t="shared" si="10"/>
        <v>0</v>
      </c>
      <c r="BF20" s="1">
        <f t="shared" si="3"/>
        <v>94.28309999999999</v>
      </c>
      <c r="BG20" s="1" t="str">
        <f t="shared" si="3"/>
        <v/>
      </c>
      <c r="BH20" s="1" t="str">
        <f t="shared" si="3"/>
        <v/>
      </c>
      <c r="BI20" s="1" t="str">
        <f t="shared" si="3"/>
        <v/>
      </c>
      <c r="BJ20" s="1" t="str">
        <f t="shared" si="3"/>
        <v/>
      </c>
      <c r="BK20" s="1" t="str">
        <f t="shared" si="3"/>
        <v/>
      </c>
      <c r="BL20" s="1" t="str">
        <f t="shared" si="3"/>
        <v/>
      </c>
      <c r="BM20" s="1" t="str">
        <f t="shared" si="3"/>
        <v/>
      </c>
      <c r="BN20" s="1" t="str">
        <f t="shared" si="3"/>
        <v/>
      </c>
      <c r="BO20" s="1" t="str">
        <f t="shared" si="3"/>
        <v/>
      </c>
      <c r="BP20" s="20"/>
      <c r="BQ20" s="20" t="str">
        <f>S21</f>
        <v>r2</v>
      </c>
      <c r="BR20" s="7"/>
      <c r="BS20" s="1" t="str">
        <f>B19</f>
        <v>Jeff_SloHot50_BioStat 33-6</v>
      </c>
      <c r="BT20" s="7"/>
      <c r="BU20" s="34"/>
      <c r="BV20" s="7"/>
      <c r="BW20" s="7"/>
      <c r="BX20" s="7"/>
      <c r="BY20" s="7">
        <f t="shared" si="5"/>
        <v>1.2286000000000143</v>
      </c>
      <c r="BZ20" s="7"/>
      <c r="CA20" s="7">
        <f>BY20/R28</f>
        <v>2.2751851851852117E-2</v>
      </c>
      <c r="CB20" s="7">
        <f t="shared" si="11"/>
        <v>0.11190000000000566</v>
      </c>
      <c r="CC20" s="31" t="e">
        <f>CB20/(R28-#REF!)</f>
        <v>#REF!</v>
      </c>
      <c r="CD20" s="31"/>
      <c r="CE20" s="37"/>
      <c r="CF20" s="8"/>
      <c r="CG20" s="38"/>
      <c r="CH20" s="38"/>
      <c r="CI20" s="8"/>
      <c r="CN20" s="8"/>
      <c r="CO20" s="30"/>
      <c r="CP20" s="7"/>
      <c r="CQ20" s="7"/>
      <c r="CR20" s="7"/>
      <c r="CS20" s="30"/>
      <c r="CT20" s="30"/>
      <c r="CU20" s="30"/>
      <c r="CZ20" s="7"/>
      <c r="DA20" s="8"/>
      <c r="DB20" s="7"/>
    </row>
    <row r="21" spans="1:106" x14ac:dyDescent="0.2">
      <c r="B21" s="28" t="s">
        <v>249</v>
      </c>
      <c r="C21" s="28" t="s">
        <v>225</v>
      </c>
      <c r="D21" s="28" t="s">
        <v>225</v>
      </c>
      <c r="E21" s="28">
        <v>9.3791899999999995</v>
      </c>
      <c r="F21" s="28"/>
      <c r="G21" s="28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>
        <v>45693</v>
      </c>
      <c r="Q21" s="3">
        <v>0.61458333333333337</v>
      </c>
      <c r="R21" s="7">
        <v>5.5</v>
      </c>
      <c r="S21" s="1" t="s">
        <v>228</v>
      </c>
      <c r="T21" s="1">
        <v>8</v>
      </c>
      <c r="U21" s="1">
        <v>8</v>
      </c>
      <c r="W21" s="4">
        <v>2.3479999999999999</v>
      </c>
      <c r="X21" s="1">
        <v>2</v>
      </c>
      <c r="Y21" s="1">
        <v>7.2530999999999999</v>
      </c>
      <c r="Z21" s="1">
        <v>7.2732000000000001</v>
      </c>
      <c r="AA21" s="1">
        <v>8</v>
      </c>
      <c r="AB21" s="1">
        <f t="shared" si="0"/>
        <v>2.0100000000000229E-2</v>
      </c>
      <c r="AC21" s="1">
        <f t="shared" si="1"/>
        <v>2.5125000000000286</v>
      </c>
      <c r="AD21" s="1">
        <v>6.2</v>
      </c>
      <c r="AF21" s="29">
        <f t="shared" si="2"/>
        <v>0</v>
      </c>
      <c r="AG21" s="1">
        <f t="shared" si="6"/>
        <v>0</v>
      </c>
      <c r="AI21" s="30">
        <f t="shared" ref="AI21" si="24">$BF$15-BF21</f>
        <v>1.7150000000000034</v>
      </c>
      <c r="AJ21" s="1">
        <f t="shared" si="13"/>
        <v>0</v>
      </c>
      <c r="AK21" s="30">
        <f t="shared" si="7"/>
        <v>0</v>
      </c>
      <c r="AL21" s="8">
        <f t="shared" si="8"/>
        <v>0.45681818181818701</v>
      </c>
      <c r="AM21" s="8">
        <f t="shared" si="14"/>
        <v>1.4650145772594889</v>
      </c>
      <c r="AO21" s="30"/>
      <c r="AP21" s="1">
        <f t="shared" si="12"/>
        <v>0.60310000000001196</v>
      </c>
      <c r="AQ21" s="8">
        <f t="shared" si="20"/>
        <v>0.60310000000001196</v>
      </c>
      <c r="AR21" s="8">
        <f t="shared" si="15"/>
        <v>4.1659757917426274</v>
      </c>
      <c r="AS21" s="30">
        <f t="shared" si="16"/>
        <v>6.9076037004519062</v>
      </c>
      <c r="AT21" s="8">
        <f t="shared" si="21"/>
        <v>0</v>
      </c>
      <c r="AU21" s="35">
        <f t="shared" si="17"/>
        <v>0</v>
      </c>
      <c r="AV21" s="8"/>
      <c r="AW21" s="8">
        <f t="shared" si="18"/>
        <v>1.4650145772594889</v>
      </c>
      <c r="BD21" s="1" t="str">
        <f t="shared" si="9"/>
        <v/>
      </c>
      <c r="BE21" s="1">
        <f t="shared" si="10"/>
        <v>0</v>
      </c>
      <c r="BF21" s="1">
        <f t="shared" si="3"/>
        <v>93.791899999999984</v>
      </c>
      <c r="BG21" s="1" t="str">
        <f t="shared" si="3"/>
        <v/>
      </c>
      <c r="BH21" s="1" t="str">
        <f t="shared" si="3"/>
        <v/>
      </c>
      <c r="BI21" s="1" t="str">
        <f t="shared" si="3"/>
        <v/>
      </c>
      <c r="BJ21" s="1" t="str">
        <f t="shared" si="3"/>
        <v/>
      </c>
      <c r="BK21" s="1" t="str">
        <f t="shared" si="3"/>
        <v/>
      </c>
      <c r="BL21" s="1" t="str">
        <f t="shared" si="3"/>
        <v/>
      </c>
      <c r="BM21" s="1" t="str">
        <f t="shared" si="3"/>
        <v/>
      </c>
      <c r="BN21" s="1" t="str">
        <f t="shared" si="3"/>
        <v/>
      </c>
      <c r="BO21" s="1" t="str">
        <f t="shared" si="3"/>
        <v/>
      </c>
      <c r="BP21" s="20"/>
      <c r="BQ21" s="20" t="str">
        <f>S22</f>
        <v>r1</v>
      </c>
      <c r="BR21" s="7"/>
      <c r="BS21" s="1" t="str">
        <f>B20</f>
        <v>Jeff_SloHot50_BioStat 33-7</v>
      </c>
      <c r="BT21" s="7"/>
      <c r="BU21" s="34"/>
      <c r="BV21" s="7"/>
      <c r="BW21" s="7"/>
      <c r="BX21" s="7"/>
      <c r="BY21" s="7">
        <f t="shared" si="5"/>
        <v>1.7198000000000206</v>
      </c>
      <c r="BZ21" s="7"/>
      <c r="CA21" s="7">
        <f>BY21/R30</f>
        <v>2.3886111111111399E-2</v>
      </c>
      <c r="CB21" s="7">
        <f t="shared" si="11"/>
        <v>0.4912000000000063</v>
      </c>
      <c r="CC21" s="31">
        <f>CB21/(R30-R28)</f>
        <v>2.7288888888889237E-2</v>
      </c>
      <c r="CD21" s="31"/>
      <c r="CE21" s="37"/>
      <c r="CF21" s="8"/>
      <c r="CG21" s="38"/>
      <c r="CH21" s="38"/>
      <c r="CI21" s="8"/>
      <c r="CN21" s="8"/>
      <c r="CO21" s="30"/>
      <c r="CP21" s="7"/>
      <c r="CQ21" s="7"/>
      <c r="CR21" s="7"/>
      <c r="CS21" s="30"/>
      <c r="CT21" s="30"/>
      <c r="CU21" s="30"/>
      <c r="CZ21" s="7"/>
      <c r="DA21" s="8"/>
      <c r="DB21" s="7"/>
    </row>
    <row r="22" spans="1:106" x14ac:dyDescent="0.2">
      <c r="B22" s="28" t="s">
        <v>250</v>
      </c>
      <c r="C22" s="28">
        <v>2.4930000000000001E-2</v>
      </c>
      <c r="D22" s="28" t="s">
        <v>225</v>
      </c>
      <c r="E22" s="28">
        <v>8.8161400000000008</v>
      </c>
      <c r="F22" s="28"/>
      <c r="G22" s="28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45694</v>
      </c>
      <c r="Q22" s="3">
        <v>0.38541666666666669</v>
      </c>
      <c r="R22" s="1">
        <v>24</v>
      </c>
      <c r="S22" s="1" t="s">
        <v>226</v>
      </c>
      <c r="T22" s="1">
        <v>9</v>
      </c>
      <c r="U22" s="1">
        <v>8</v>
      </c>
      <c r="W22" s="4">
        <v>10.18</v>
      </c>
      <c r="X22" s="1">
        <v>11</v>
      </c>
      <c r="Y22" s="1">
        <v>7.2598000000000003</v>
      </c>
      <c r="Z22" s="1">
        <v>7.3137999999999996</v>
      </c>
      <c r="AA22" s="1">
        <v>8</v>
      </c>
      <c r="AB22" s="1">
        <f t="shared" si="0"/>
        <v>5.3999999999999382E-2</v>
      </c>
      <c r="AC22" s="1">
        <f t="shared" si="1"/>
        <v>6.7499999999999227</v>
      </c>
      <c r="AD22" s="1">
        <v>17.3</v>
      </c>
      <c r="AF22" s="29">
        <f t="shared" si="2"/>
        <v>0</v>
      </c>
      <c r="AG22" s="1" t="e">
        <f>AF22*#REF!</f>
        <v>#REF!</v>
      </c>
      <c r="AI22" s="30">
        <f t="shared" ref="AI22" si="25">$BF$14-BF22</f>
        <v>7.3502999999999901</v>
      </c>
      <c r="AJ22" s="1">
        <f t="shared" si="13"/>
        <v>0</v>
      </c>
      <c r="AK22" s="30">
        <f t="shared" si="7"/>
        <v>0</v>
      </c>
      <c r="AL22" s="8">
        <f t="shared" si="8"/>
        <v>0.28124999999999678</v>
      </c>
      <c r="AM22" s="8">
        <f t="shared" si="14"/>
        <v>0.91832986408717088</v>
      </c>
      <c r="AO22" s="30"/>
      <c r="AP22" s="1">
        <f t="shared" si="12"/>
        <v>6.1216999999999757</v>
      </c>
      <c r="AQ22" s="8">
        <f t="shared" si="20"/>
        <v>0.33090270270270139</v>
      </c>
      <c r="AR22" s="8">
        <f t="shared" si="15"/>
        <v>0.52068869758398995</v>
      </c>
      <c r="AS22" s="30">
        <f t="shared" si="16"/>
        <v>1.5735401776146907</v>
      </c>
      <c r="AT22" s="8">
        <f t="shared" si="21"/>
        <v>0</v>
      </c>
      <c r="AU22" s="35">
        <f t="shared" si="17"/>
        <v>0</v>
      </c>
      <c r="AV22" s="8"/>
      <c r="AW22" s="8">
        <f t="shared" si="18"/>
        <v>0.91832986408717088</v>
      </c>
      <c r="BD22" s="1">
        <f t="shared" si="9"/>
        <v>0.24929999999999999</v>
      </c>
      <c r="BE22" s="1">
        <f t="shared" si="10"/>
        <v>0</v>
      </c>
      <c r="BF22" s="1">
        <f t="shared" si="3"/>
        <v>88.161400000000015</v>
      </c>
      <c r="BG22" s="1" t="str">
        <f t="shared" si="3"/>
        <v/>
      </c>
      <c r="BH22" s="1" t="str">
        <f t="shared" si="3"/>
        <v/>
      </c>
      <c r="BI22" s="1" t="str">
        <f t="shared" si="3"/>
        <v/>
      </c>
      <c r="BJ22" s="1" t="str">
        <f t="shared" si="3"/>
        <v/>
      </c>
      <c r="BK22" s="1" t="str">
        <f t="shared" si="3"/>
        <v/>
      </c>
      <c r="BL22" s="1" t="str">
        <f t="shared" si="3"/>
        <v/>
      </c>
      <c r="BM22" s="1" t="str">
        <f t="shared" si="3"/>
        <v/>
      </c>
      <c r="BN22" s="1" t="str">
        <f t="shared" si="3"/>
        <v/>
      </c>
      <c r="BO22" s="1" t="str">
        <f t="shared" si="3"/>
        <v/>
      </c>
      <c r="BP22" s="20"/>
      <c r="BQ22" s="20"/>
      <c r="BR22" s="7"/>
      <c r="BS22" s="1" t="e">
        <f>#REF!</f>
        <v>#REF!</v>
      </c>
      <c r="BT22" s="7"/>
      <c r="BU22" s="34"/>
      <c r="BV22" s="7"/>
      <c r="BW22" s="7"/>
      <c r="BX22" s="7"/>
      <c r="BY22" s="7"/>
      <c r="BZ22" s="7"/>
      <c r="CA22" s="7"/>
      <c r="CB22" s="7"/>
      <c r="CC22" s="31"/>
      <c r="CD22" s="31"/>
      <c r="CE22" s="37"/>
      <c r="CF22" s="8"/>
      <c r="CG22" s="38"/>
      <c r="CH22" s="38"/>
      <c r="CI22" s="8"/>
      <c r="CN22" s="8"/>
      <c r="CO22" s="30"/>
      <c r="CP22" s="7"/>
      <c r="CQ22" s="7"/>
      <c r="CR22" s="7"/>
      <c r="CS22" s="30"/>
      <c r="CT22" s="30"/>
      <c r="CU22" s="30"/>
      <c r="CZ22" s="7"/>
      <c r="DA22" s="8"/>
      <c r="DB22" s="7"/>
    </row>
    <row r="23" spans="1:106" x14ac:dyDescent="0.2">
      <c r="B23" s="28" t="s">
        <v>251</v>
      </c>
      <c r="C23" s="28">
        <v>3.2800000000000003E-2</v>
      </c>
      <c r="D23" s="28">
        <v>0.10401000000000001</v>
      </c>
      <c r="E23" s="28">
        <v>7.2764100000000003</v>
      </c>
      <c r="F23" s="28"/>
      <c r="G23" s="28" t="s">
        <v>225</v>
      </c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>
        <v>45694</v>
      </c>
      <c r="Q23" s="3">
        <v>0.38541666666666669</v>
      </c>
      <c r="R23" s="1">
        <v>24</v>
      </c>
      <c r="S23" s="1" t="s">
        <v>228</v>
      </c>
      <c r="T23" s="1">
        <v>10</v>
      </c>
      <c r="U23" s="1">
        <v>8</v>
      </c>
      <c r="W23" s="4">
        <v>27.68</v>
      </c>
      <c r="X23" s="1">
        <v>24</v>
      </c>
      <c r="Y23" s="1">
        <v>7.1753</v>
      </c>
      <c r="Z23" s="1">
        <v>7.2935999999999996</v>
      </c>
      <c r="AA23" s="1">
        <v>8</v>
      </c>
      <c r="AB23" s="1">
        <f t="shared" si="0"/>
        <v>0.11829999999999963</v>
      </c>
      <c r="AC23" s="1">
        <f t="shared" si="1"/>
        <v>14.787499999999953</v>
      </c>
      <c r="AD23" s="1">
        <v>16</v>
      </c>
      <c r="AF23" s="29">
        <f t="shared" si="2"/>
        <v>0</v>
      </c>
      <c r="AG23" s="1">
        <f>AF23*AC22</f>
        <v>0</v>
      </c>
      <c r="AI23" s="30">
        <f t="shared" ref="AI23" si="26">$BF$15-BF23</f>
        <v>22.742799999999988</v>
      </c>
      <c r="AJ23" s="1">
        <f t="shared" si="13"/>
        <v>4.3337500000000001E-2</v>
      </c>
      <c r="AK23" s="30">
        <f t="shared" si="7"/>
        <v>4.5733155108429943E-2</v>
      </c>
      <c r="AL23" s="8">
        <f t="shared" si="8"/>
        <v>0.61614583333333139</v>
      </c>
      <c r="AM23" s="8">
        <f t="shared" si="14"/>
        <v>0.65020577941150437</v>
      </c>
      <c r="AO23" s="30"/>
      <c r="AP23" s="1">
        <f t="shared" si="12"/>
        <v>21.027799999999985</v>
      </c>
      <c r="AQ23" s="8">
        <f t="shared" si="20"/>
        <v>1.136637837837837</v>
      </c>
      <c r="AR23" s="8">
        <f t="shared" si="15"/>
        <v>0.58375103434500675</v>
      </c>
      <c r="AS23" s="30">
        <f t="shared" si="16"/>
        <v>0.5135769854850547</v>
      </c>
      <c r="AT23" s="8">
        <f t="shared" si="21"/>
        <v>4.9463091716679862E-2</v>
      </c>
      <c r="AU23" s="35">
        <f t="shared" si="17"/>
        <v>2.3522713606121373E-3</v>
      </c>
      <c r="AV23" s="8"/>
      <c r="AW23" s="8">
        <f t="shared" si="18"/>
        <v>0.69593893451993427</v>
      </c>
      <c r="BD23" s="1">
        <f t="shared" si="9"/>
        <v>0.32800000000000007</v>
      </c>
      <c r="BE23" s="1">
        <f t="shared" si="10"/>
        <v>1.0401</v>
      </c>
      <c r="BF23" s="1">
        <f t="shared" si="3"/>
        <v>72.764099999999999</v>
      </c>
      <c r="BG23" s="1" t="str">
        <f t="shared" si="3"/>
        <v/>
      </c>
      <c r="BH23" s="1" t="str">
        <f t="shared" si="3"/>
        <v/>
      </c>
      <c r="BI23" s="1" t="str">
        <f t="shared" si="3"/>
        <v/>
      </c>
      <c r="BJ23" s="1" t="str">
        <f t="shared" si="3"/>
        <v/>
      </c>
      <c r="BK23" s="1" t="str">
        <f t="shared" si="3"/>
        <v/>
      </c>
      <c r="BL23" s="1" t="str">
        <f t="shared" si="3"/>
        <v/>
      </c>
      <c r="BM23" s="1" t="str">
        <f t="shared" si="3"/>
        <v/>
      </c>
      <c r="BN23" s="1" t="str">
        <f t="shared" si="3"/>
        <v/>
      </c>
      <c r="BO23" s="1" t="str">
        <f t="shared" si="3"/>
        <v/>
      </c>
      <c r="BP23" s="20"/>
      <c r="BQ23" s="20"/>
      <c r="BR23" s="7"/>
      <c r="BS23" s="1" t="str">
        <f t="shared" ref="BS23" si="27">B21</f>
        <v>Jeff_SloHot50_BioStat 33-8</v>
      </c>
      <c r="BT23" s="39"/>
      <c r="BU23" s="34"/>
      <c r="BV23" s="7"/>
      <c r="BW23" s="7"/>
      <c r="BX23" s="7"/>
      <c r="BY23" s="7"/>
      <c r="BZ23" s="7"/>
      <c r="CA23" s="7"/>
      <c r="CB23" s="7"/>
      <c r="CC23" s="31"/>
      <c r="CD23" s="31"/>
      <c r="CE23" s="37"/>
      <c r="CF23" s="8"/>
      <c r="CG23" s="38"/>
      <c r="CH23" s="38"/>
      <c r="CI23" s="8"/>
      <c r="CN23" s="8"/>
      <c r="CO23" s="30"/>
      <c r="CP23" s="7"/>
      <c r="CQ23" s="7"/>
      <c r="CR23" s="7"/>
      <c r="CS23" s="30"/>
      <c r="CT23" s="30"/>
      <c r="CU23" s="30"/>
      <c r="CZ23" s="7"/>
      <c r="DA23" s="8"/>
      <c r="DB23" s="7"/>
    </row>
    <row r="24" spans="1:106" x14ac:dyDescent="0.2">
      <c r="B24" s="28" t="s">
        <v>252</v>
      </c>
      <c r="C24" s="28">
        <v>2.8639999999999999E-2</v>
      </c>
      <c r="D24" s="28" t="s">
        <v>225</v>
      </c>
      <c r="E24" s="28">
        <v>8.6110399999999991</v>
      </c>
      <c r="F24" s="28"/>
      <c r="G24" s="17"/>
      <c r="H24" s="17"/>
      <c r="I24" s="17"/>
      <c r="J24" s="17"/>
      <c r="K24" s="17"/>
      <c r="L24" s="17"/>
      <c r="M24" s="17"/>
      <c r="N24" s="17"/>
      <c r="P24" s="2">
        <v>45694</v>
      </c>
      <c r="Q24" s="47">
        <v>0.65625</v>
      </c>
      <c r="R24" s="4">
        <f>R22+6.5</f>
        <v>30.5</v>
      </c>
      <c r="S24" s="1" t="s">
        <v>226</v>
      </c>
      <c r="T24" s="1">
        <v>11</v>
      </c>
      <c r="U24" s="1">
        <v>8</v>
      </c>
      <c r="W24" s="4">
        <v>13.7</v>
      </c>
      <c r="X24" s="1">
        <v>14</v>
      </c>
      <c r="Y24" s="1">
        <v>7.4222999999999999</v>
      </c>
      <c r="Z24" s="1">
        <v>7.4911000000000003</v>
      </c>
      <c r="AA24" s="1">
        <v>8</v>
      </c>
      <c r="AB24" s="1">
        <f t="shared" si="0"/>
        <v>6.8800000000000416E-2</v>
      </c>
      <c r="AC24" s="1">
        <f t="shared" si="1"/>
        <v>8.6000000000000512</v>
      </c>
      <c r="AD24" s="1">
        <v>17.100000000000001</v>
      </c>
      <c r="AF24" s="29">
        <f t="shared" si="2"/>
        <v>0</v>
      </c>
      <c r="AI24" s="30">
        <f t="shared" ref="AI24" si="28">$BF$14-BF24</f>
        <v>9.4013000000000204</v>
      </c>
      <c r="AJ24" s="1">
        <f t="shared" si="13"/>
        <v>0</v>
      </c>
      <c r="AK24" s="30">
        <f t="shared" si="7"/>
        <v>0</v>
      </c>
      <c r="AL24" s="8">
        <f t="shared" si="8"/>
        <v>0.28196721311475575</v>
      </c>
      <c r="AM24" s="8">
        <f t="shared" si="14"/>
        <v>0.91476710667673966</v>
      </c>
      <c r="AO24" s="30"/>
      <c r="AP24" s="1">
        <f t="shared" si="12"/>
        <v>2.0510000000000304</v>
      </c>
      <c r="AQ24" s="8">
        <f t="shared" si="20"/>
        <v>0.31553846153846621</v>
      </c>
      <c r="AR24" s="8">
        <f t="shared" si="15"/>
        <v>0.90199902486596828</v>
      </c>
      <c r="AS24" s="30">
        <f t="shared" si="16"/>
        <v>2.8586024678833288</v>
      </c>
      <c r="AT24" s="8">
        <f t="shared" si="21"/>
        <v>0</v>
      </c>
      <c r="AU24" s="35">
        <f t="shared" si="17"/>
        <v>0</v>
      </c>
      <c r="AV24" s="8"/>
      <c r="AW24" s="8">
        <f t="shared" si="18"/>
        <v>0.91476710667673966</v>
      </c>
      <c r="BD24" s="1">
        <f t="shared" si="9"/>
        <v>0.28639999999999999</v>
      </c>
      <c r="BE24" s="1">
        <f t="shared" si="10"/>
        <v>0</v>
      </c>
      <c r="BF24" s="1">
        <f t="shared" si="3"/>
        <v>86.110399999999984</v>
      </c>
      <c r="BG24" s="1" t="str">
        <f t="shared" si="3"/>
        <v/>
      </c>
      <c r="BH24" s="1" t="str">
        <f t="shared" si="3"/>
        <v/>
      </c>
      <c r="BI24" s="1" t="str">
        <f t="shared" si="3"/>
        <v/>
      </c>
      <c r="BJ24" s="1" t="str">
        <f t="shared" si="3"/>
        <v/>
      </c>
      <c r="BK24" s="1" t="str">
        <f t="shared" si="3"/>
        <v/>
      </c>
      <c r="BL24" s="1" t="str">
        <f t="shared" si="3"/>
        <v/>
      </c>
      <c r="BM24" s="1" t="str">
        <f t="shared" si="3"/>
        <v/>
      </c>
      <c r="BN24" s="1" t="str">
        <f t="shared" si="3"/>
        <v/>
      </c>
      <c r="BO24" s="1" t="str">
        <f t="shared" si="3"/>
        <v/>
      </c>
      <c r="BP24" s="20"/>
      <c r="BQ24" s="20"/>
      <c r="BR24" s="7"/>
      <c r="BT24" s="39"/>
      <c r="BU24" s="34"/>
      <c r="BV24" s="7"/>
      <c r="BW24" s="7"/>
      <c r="BX24" s="7"/>
      <c r="BY24" s="7"/>
      <c r="BZ24" s="7"/>
      <c r="CA24" s="7"/>
      <c r="CB24" s="7"/>
      <c r="CC24" s="31"/>
      <c r="CD24" s="31"/>
      <c r="CE24" s="37"/>
      <c r="CF24" s="8"/>
      <c r="CG24" s="38"/>
      <c r="CH24" s="38"/>
      <c r="CI24" s="8"/>
      <c r="CN24" s="8"/>
      <c r="CO24" s="30"/>
      <c r="CP24" s="7"/>
      <c r="CQ24" s="7"/>
      <c r="CR24" s="7"/>
      <c r="CS24" s="30"/>
      <c r="CT24" s="30"/>
      <c r="CU24" s="30"/>
      <c r="CZ24" s="7"/>
      <c r="DA24" s="8"/>
      <c r="DB24" s="7"/>
    </row>
    <row r="25" spans="1:106" x14ac:dyDescent="0.2">
      <c r="B25" s="28" t="s">
        <v>253</v>
      </c>
      <c r="C25" s="28">
        <v>3.1579999999999997E-2</v>
      </c>
      <c r="D25" s="28">
        <v>0.23397000000000001</v>
      </c>
      <c r="E25" s="28">
        <v>6.7991999999999999</v>
      </c>
      <c r="F25" s="28"/>
      <c r="G25" s="17"/>
      <c r="H25" s="17"/>
      <c r="I25" s="17"/>
      <c r="J25" s="17"/>
      <c r="K25" s="17"/>
      <c r="L25" s="17"/>
      <c r="M25" s="17"/>
      <c r="N25" s="17"/>
      <c r="P25" s="2">
        <v>45694</v>
      </c>
      <c r="Q25" s="47">
        <v>0.65625</v>
      </c>
      <c r="R25" s="4">
        <f>R23+6.5</f>
        <v>30.5</v>
      </c>
      <c r="S25" s="1" t="s">
        <v>228</v>
      </c>
      <c r="T25" s="1">
        <v>12</v>
      </c>
      <c r="U25" s="1">
        <v>8</v>
      </c>
      <c r="W25" s="4">
        <v>35.15</v>
      </c>
      <c r="X25" s="1">
        <v>32</v>
      </c>
      <c r="Y25" s="1">
        <v>7.1524000000000001</v>
      </c>
      <c r="Z25" s="1">
        <v>7.2816000000000001</v>
      </c>
      <c r="AA25" s="1">
        <v>8</v>
      </c>
      <c r="AB25" s="1">
        <f t="shared" si="0"/>
        <v>0.12919999999999998</v>
      </c>
      <c r="AC25" s="1">
        <f t="shared" si="1"/>
        <v>16.149999999999999</v>
      </c>
      <c r="AD25" s="1">
        <v>15.8</v>
      </c>
      <c r="AF25" s="29">
        <f t="shared" si="2"/>
        <v>0</v>
      </c>
      <c r="AI25" s="30">
        <f t="shared" ref="AI25" si="29">$BF$15-BF25</f>
        <v>27.514899999999983</v>
      </c>
      <c r="AJ25" s="1">
        <f t="shared" si="13"/>
        <v>7.6711475409836069E-2</v>
      </c>
      <c r="AK25" s="30">
        <f t="shared" si="7"/>
        <v>8.5033927072240917E-2</v>
      </c>
      <c r="AL25" s="8">
        <f t="shared" si="8"/>
        <v>0.52950819672131144</v>
      </c>
      <c r="AM25" s="8">
        <f t="shared" si="14"/>
        <v>0.58695470454190302</v>
      </c>
      <c r="AO25" s="30"/>
      <c r="AP25" s="1">
        <f t="shared" si="12"/>
        <v>4.7720999999999947</v>
      </c>
      <c r="AQ25" s="8">
        <f t="shared" si="20"/>
        <v>0.73416923076922991</v>
      </c>
      <c r="AR25" s="8">
        <f t="shared" si="15"/>
        <v>0.28551371513590384</v>
      </c>
      <c r="AS25" s="30">
        <f t="shared" si="16"/>
        <v>0.38889359996298845</v>
      </c>
      <c r="AT25" s="8">
        <f t="shared" si="21"/>
        <v>0.27233293518576762</v>
      </c>
      <c r="AU25" s="35">
        <f t="shared" si="17"/>
        <v>5.7067734369725683E-2</v>
      </c>
      <c r="AV25" s="8"/>
      <c r="AW25" s="8">
        <f t="shared" si="18"/>
        <v>0.67198863161414391</v>
      </c>
      <c r="BD25" s="1">
        <f t="shared" si="9"/>
        <v>0.31579999999999997</v>
      </c>
      <c r="BE25" s="1">
        <f t="shared" si="10"/>
        <v>2.3397000000000001</v>
      </c>
      <c r="BF25" s="1">
        <f t="shared" si="3"/>
        <v>67.992000000000004</v>
      </c>
      <c r="BG25" s="1" t="str">
        <f t="shared" si="3"/>
        <v/>
      </c>
      <c r="BH25" s="1" t="str">
        <f t="shared" si="3"/>
        <v/>
      </c>
      <c r="BI25" s="1" t="str">
        <f t="shared" si="3"/>
        <v/>
      </c>
      <c r="BJ25" s="1" t="str">
        <f t="shared" si="3"/>
        <v/>
      </c>
      <c r="BK25" s="1" t="str">
        <f t="shared" si="3"/>
        <v/>
      </c>
      <c r="BL25" s="1" t="str">
        <f t="shared" si="3"/>
        <v/>
      </c>
      <c r="BM25" s="1" t="str">
        <f t="shared" si="3"/>
        <v/>
      </c>
      <c r="BN25" s="1" t="str">
        <f t="shared" si="3"/>
        <v/>
      </c>
      <c r="BO25" s="1" t="str">
        <f t="shared" si="3"/>
        <v/>
      </c>
      <c r="BP25" s="20"/>
      <c r="BQ25" s="20"/>
      <c r="BR25" s="7"/>
      <c r="BU25" s="34"/>
      <c r="BV25" s="7"/>
      <c r="BW25" s="7"/>
      <c r="BX25" s="7"/>
      <c r="BY25" s="7"/>
      <c r="BZ25" s="7"/>
      <c r="CA25" s="7"/>
      <c r="CB25" s="7"/>
      <c r="CC25" s="31"/>
      <c r="CD25" s="31"/>
      <c r="CE25" s="37"/>
      <c r="CF25" s="8"/>
      <c r="CG25" s="38"/>
      <c r="CH25" s="38"/>
      <c r="CI25" s="8"/>
      <c r="CN25" s="8"/>
      <c r="CO25" s="30"/>
      <c r="CP25" s="7"/>
      <c r="CQ25" s="7"/>
      <c r="CR25" s="7"/>
      <c r="CS25" s="40"/>
      <c r="CT25" s="30"/>
      <c r="CU25" s="30"/>
      <c r="CZ25" s="7"/>
      <c r="DA25" s="8"/>
    </row>
    <row r="26" spans="1:106" s="41" customFormat="1" ht="17" thickBot="1" x14ac:dyDescent="0.25">
      <c r="B26" s="28" t="s">
        <v>254</v>
      </c>
      <c r="C26" s="28">
        <v>3.3529999999999997E-2</v>
      </c>
      <c r="D26" s="28">
        <v>3.7200000000000002E-3</v>
      </c>
      <c r="E26" s="28">
        <v>7.9759900000000004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45695</v>
      </c>
      <c r="Q26" s="3">
        <v>0.38541666666666669</v>
      </c>
      <c r="R26" s="1">
        <v>48</v>
      </c>
      <c r="S26" s="1" t="s">
        <v>226</v>
      </c>
      <c r="T26" s="1">
        <v>13</v>
      </c>
      <c r="U26" s="1">
        <v>8</v>
      </c>
      <c r="V26" s="1"/>
      <c r="W26" s="4">
        <v>19.96</v>
      </c>
      <c r="X26" s="1">
        <v>20</v>
      </c>
      <c r="Y26" s="1">
        <v>7.1542000000000003</v>
      </c>
      <c r="Z26" s="1">
        <v>7.2428999999999997</v>
      </c>
      <c r="AA26" s="1">
        <v>8</v>
      </c>
      <c r="AB26" s="1">
        <f t="shared" si="0"/>
        <v>8.8699999999999335E-2</v>
      </c>
      <c r="AC26" s="1">
        <f t="shared" si="1"/>
        <v>11.087499999999917</v>
      </c>
      <c r="AD26" s="1">
        <v>17.2</v>
      </c>
      <c r="AE26" s="1"/>
      <c r="AF26" s="1">
        <f t="shared" si="2"/>
        <v>0</v>
      </c>
      <c r="AG26" s="1"/>
      <c r="AH26" s="1"/>
      <c r="AI26" s="30">
        <f t="shared" ref="AI26" si="30">$BF$14-BF26</f>
        <v>15.751800000000003</v>
      </c>
      <c r="AJ26" s="1">
        <f t="shared" si="13"/>
        <v>7.7500000000000008E-4</v>
      </c>
      <c r="AK26" s="30">
        <f t="shared" si="7"/>
        <v>2.3616348607778158E-3</v>
      </c>
      <c r="AL26" s="8">
        <f t="shared" si="8"/>
        <v>0.23098958333333161</v>
      </c>
      <c r="AM26" s="8">
        <f t="shared" si="14"/>
        <v>0.70388780964714603</v>
      </c>
      <c r="AN26" s="1"/>
      <c r="AO26" s="1"/>
      <c r="AP26" s="1">
        <f t="shared" si="12"/>
        <v>6.3504999999999825</v>
      </c>
      <c r="AQ26" s="8">
        <f t="shared" si="20"/>
        <v>0.36288571428571331</v>
      </c>
      <c r="AR26" s="8">
        <f t="shared" si="15"/>
        <v>0.39170144083141051</v>
      </c>
      <c r="AS26" s="30">
        <f t="shared" si="16"/>
        <v>1.0794071670812853</v>
      </c>
      <c r="AT26" s="8">
        <f t="shared" si="21"/>
        <v>5.8578064719313604E-3</v>
      </c>
      <c r="AU26" s="35">
        <f t="shared" si="17"/>
        <v>9.2241657695163795E-4</v>
      </c>
      <c r="AV26" s="8"/>
      <c r="AW26" s="8">
        <f t="shared" si="18"/>
        <v>0.70624944450792382</v>
      </c>
      <c r="AX26" s="1"/>
      <c r="AY26" s="1"/>
      <c r="AZ26" s="1"/>
      <c r="BA26" s="1"/>
      <c r="BB26" s="1"/>
      <c r="BC26" s="1"/>
      <c r="BD26" s="1">
        <f>IF(ISNUMBER(C26),C26*1000/100,"")</f>
        <v>0.33529999999999993</v>
      </c>
      <c r="BE26" s="1">
        <f>IF(ISNUMBER(D26),D26*1000/100,0)</f>
        <v>3.7200000000000004E-2</v>
      </c>
      <c r="BF26" s="1">
        <f>IF(ISNUMBER(E26),E26*1000/100,"")</f>
        <v>79.759900000000002</v>
      </c>
      <c r="BG26" s="1" t="str">
        <f t="shared" si="3"/>
        <v/>
      </c>
      <c r="BH26" s="1" t="str">
        <f t="shared" si="3"/>
        <v/>
      </c>
      <c r="BI26" s="1" t="str">
        <f t="shared" si="3"/>
        <v/>
      </c>
      <c r="BJ26" s="1" t="str">
        <f t="shared" si="3"/>
        <v/>
      </c>
      <c r="BK26" s="1" t="str">
        <f t="shared" si="3"/>
        <v/>
      </c>
      <c r="BL26" s="1" t="str">
        <f t="shared" si="3"/>
        <v/>
      </c>
      <c r="BM26" s="1" t="str">
        <f t="shared" si="3"/>
        <v/>
      </c>
      <c r="BN26" s="1" t="str">
        <f t="shared" si="3"/>
        <v/>
      </c>
      <c r="BO26" s="1" t="str">
        <f t="shared" si="3"/>
        <v/>
      </c>
      <c r="BP26" s="20"/>
      <c r="BQ26" s="20"/>
      <c r="BR26" s="7"/>
      <c r="BS26" s="1"/>
      <c r="BT26" s="1"/>
      <c r="BU26" s="34"/>
      <c r="BV26" s="7"/>
      <c r="BW26" s="7"/>
      <c r="BX26" s="7"/>
      <c r="BY26" s="7"/>
      <c r="BZ26" s="7"/>
      <c r="CA26" s="7"/>
      <c r="CB26" s="7"/>
      <c r="CC26" s="31"/>
      <c r="CD26" s="31"/>
      <c r="CE26" s="37"/>
      <c r="CF26" s="8"/>
      <c r="CG26" s="38"/>
      <c r="CH26" s="38"/>
      <c r="CI26" s="8"/>
      <c r="CJ26" s="1"/>
      <c r="CL26" s="1"/>
      <c r="CM26" s="1"/>
      <c r="CN26" s="8"/>
      <c r="CO26" s="30"/>
      <c r="CP26" s="7"/>
      <c r="CQ26" s="7"/>
      <c r="CR26" s="7"/>
      <c r="CS26" s="42"/>
      <c r="CT26" s="30"/>
      <c r="CU26" s="30"/>
      <c r="CX26" s="1"/>
      <c r="CY26" s="1"/>
      <c r="CZ26" s="7"/>
      <c r="DA26" s="8"/>
    </row>
    <row r="27" spans="1:106" x14ac:dyDescent="0.2">
      <c r="B27" s="28" t="s">
        <v>255</v>
      </c>
      <c r="C27" s="28">
        <v>3.3680000000000002E-2</v>
      </c>
      <c r="D27" s="28">
        <v>0.70691000000000004</v>
      </c>
      <c r="E27" s="28">
        <v>5.7370400000000004</v>
      </c>
      <c r="F27" s="28"/>
      <c r="G27" s="17"/>
      <c r="H27" s="17"/>
      <c r="I27" s="17"/>
      <c r="J27" s="17"/>
      <c r="K27" s="17"/>
      <c r="L27" s="17"/>
      <c r="M27" s="17"/>
      <c r="P27" s="2">
        <v>45695</v>
      </c>
      <c r="Q27" s="3">
        <v>0.38541666666666669</v>
      </c>
      <c r="R27" s="1">
        <v>48</v>
      </c>
      <c r="S27" s="1" t="s">
        <v>228</v>
      </c>
      <c r="T27" s="1">
        <v>14</v>
      </c>
      <c r="U27" s="1">
        <v>8</v>
      </c>
      <c r="W27" s="4">
        <v>33.119999999999997</v>
      </c>
      <c r="X27" s="1">
        <v>60</v>
      </c>
      <c r="Y27" s="1">
        <v>7.1471</v>
      </c>
      <c r="Z27" s="1">
        <v>7.2744999999999997</v>
      </c>
      <c r="AA27" s="1">
        <v>8</v>
      </c>
      <c r="AB27" s="1">
        <f t="shared" si="0"/>
        <v>0.12739999999999974</v>
      </c>
      <c r="AC27" s="1">
        <f t="shared" si="1"/>
        <v>15.924999999999967</v>
      </c>
      <c r="AD27" s="1">
        <v>18.7</v>
      </c>
      <c r="AF27" s="1">
        <f t="shared" si="2"/>
        <v>0</v>
      </c>
      <c r="AI27" s="30">
        <f t="shared" ref="AI27" si="31">$BF$15-BF27</f>
        <v>38.136499999999991</v>
      </c>
      <c r="AJ27" s="1">
        <f t="shared" si="13"/>
        <v>0.14727291666666667</v>
      </c>
      <c r="AK27" s="30">
        <f t="shared" si="7"/>
        <v>0.18536310358842584</v>
      </c>
      <c r="AL27" s="8">
        <f t="shared" si="8"/>
        <v>0.33177083333333263</v>
      </c>
      <c r="AM27" s="8">
        <f t="shared" si="14"/>
        <v>0.41757895978917758</v>
      </c>
      <c r="AP27" s="1">
        <f t="shared" si="12"/>
        <v>10.621600000000008</v>
      </c>
      <c r="AQ27" s="8">
        <f t="shared" si="20"/>
        <v>0.60694857142857184</v>
      </c>
      <c r="AR27" s="8">
        <f t="shared" si="15"/>
        <v>-2.118324922799121E-2</v>
      </c>
      <c r="AS27" s="30">
        <f t="shared" si="16"/>
        <v>-3.490122594428767E-2</v>
      </c>
      <c r="AT27" s="8">
        <f t="shared" si="21"/>
        <v>0.44526248399487806</v>
      </c>
      <c r="AU27" s="35">
        <f t="shared" si="17"/>
        <v>4.1920471868162772E-2</v>
      </c>
      <c r="AV27" s="8"/>
      <c r="AW27" s="8">
        <f t="shared" si="18"/>
        <v>0.60294206337760348</v>
      </c>
      <c r="BD27" s="1">
        <f t="shared" ref="BD27:BD31" si="32">IF(ISNUMBER(C27),C27*1000/100,"")</f>
        <v>0.33679999999999999</v>
      </c>
      <c r="BE27" s="1">
        <f t="shared" ref="BE27:BE31" si="33">IF(ISNUMBER(D27),D27*1000/100,0)</f>
        <v>7.0691000000000006</v>
      </c>
      <c r="BF27" s="1">
        <f t="shared" ref="BF27:BF31" si="34">IF(ISNUMBER(E27),E27*1000/100,"")</f>
        <v>57.370399999999997</v>
      </c>
      <c r="BG27" s="1" t="str">
        <f t="shared" si="3"/>
        <v/>
      </c>
      <c r="BH27" s="1" t="str">
        <f t="shared" si="3"/>
        <v/>
      </c>
      <c r="BI27" s="1" t="str">
        <f t="shared" si="3"/>
        <v/>
      </c>
      <c r="BJ27" s="1" t="str">
        <f t="shared" si="3"/>
        <v/>
      </c>
      <c r="BK27" s="1" t="str">
        <f t="shared" si="3"/>
        <v/>
      </c>
      <c r="BL27" s="1" t="str">
        <f t="shared" si="3"/>
        <v/>
      </c>
      <c r="BM27" s="1" t="str">
        <f t="shared" si="3"/>
        <v/>
      </c>
      <c r="BN27" s="1" t="str">
        <f t="shared" si="3"/>
        <v/>
      </c>
      <c r="BO27" s="1" t="str">
        <f t="shared" si="3"/>
        <v/>
      </c>
      <c r="BP27" s="20"/>
      <c r="BQ27" s="20"/>
      <c r="BR27" s="7"/>
      <c r="BT27" s="7"/>
      <c r="BU27" s="34"/>
      <c r="BV27" s="7"/>
      <c r="BW27" s="7"/>
      <c r="BX27" s="7"/>
      <c r="BY27" s="7"/>
      <c r="BZ27" s="7"/>
      <c r="CA27" s="7"/>
      <c r="CB27" s="7"/>
      <c r="CC27" s="31"/>
      <c r="CD27" s="31"/>
      <c r="CE27" s="37"/>
      <c r="CF27" s="8"/>
      <c r="CG27" s="38"/>
      <c r="CH27" s="38"/>
      <c r="CI27" s="8"/>
      <c r="CN27" s="8"/>
      <c r="CO27" s="30"/>
      <c r="CP27" s="7"/>
      <c r="CQ27" s="7"/>
      <c r="CR27" s="7"/>
      <c r="CS27" s="30"/>
      <c r="CT27" s="30"/>
      <c r="CU27" s="30"/>
      <c r="CZ27" s="7"/>
      <c r="DA27" s="8"/>
    </row>
    <row r="28" spans="1:106" x14ac:dyDescent="0.2">
      <c r="B28" s="28" t="s">
        <v>256</v>
      </c>
      <c r="C28" s="28">
        <v>3.5700000000000003E-2</v>
      </c>
      <c r="D28" s="28">
        <v>4.7800000000000004E-3</v>
      </c>
      <c r="E28" s="28">
        <v>7.7825899999999999</v>
      </c>
      <c r="F28" s="28"/>
      <c r="G28" s="17"/>
      <c r="H28" s="17"/>
      <c r="I28" s="17"/>
      <c r="J28" s="17"/>
      <c r="K28" s="17"/>
      <c r="L28" s="17"/>
      <c r="M28" s="17"/>
      <c r="P28" s="2">
        <v>45695</v>
      </c>
      <c r="Q28" s="3">
        <v>0.63541666666666663</v>
      </c>
      <c r="R28" s="4">
        <f>R26+6</f>
        <v>54</v>
      </c>
      <c r="S28" s="1" t="s">
        <v>226</v>
      </c>
      <c r="T28" s="1">
        <v>15</v>
      </c>
      <c r="U28" s="1">
        <v>8</v>
      </c>
      <c r="W28" s="4">
        <v>23.4</v>
      </c>
      <c r="X28" s="1">
        <v>22</v>
      </c>
      <c r="Y28" s="1">
        <v>7.4649000000000001</v>
      </c>
      <c r="Z28" s="1">
        <v>7.5670999999999999</v>
      </c>
      <c r="AA28" s="1">
        <v>8</v>
      </c>
      <c r="AB28" s="1">
        <f t="shared" si="0"/>
        <v>0.10219999999999985</v>
      </c>
      <c r="AC28" s="1">
        <f t="shared" si="1"/>
        <v>12.774999999999981</v>
      </c>
      <c r="AD28" s="1">
        <v>18</v>
      </c>
      <c r="AF28" s="1">
        <f t="shared" si="2"/>
        <v>0</v>
      </c>
      <c r="AI28" s="30">
        <f t="shared" ref="AI28" si="35">$BF$14-BF28</f>
        <v>17.6858</v>
      </c>
      <c r="AJ28" s="1">
        <f t="shared" si="13"/>
        <v>8.8518518518518525E-4</v>
      </c>
      <c r="AK28" s="30">
        <f t="shared" si="7"/>
        <v>2.7027332662361895E-3</v>
      </c>
      <c r="AL28" s="8">
        <f t="shared" si="8"/>
        <v>0.23657407407407371</v>
      </c>
      <c r="AM28" s="8">
        <f t="shared" si="14"/>
        <v>0.7223309095432483</v>
      </c>
      <c r="AP28" s="1">
        <f t="shared" si="12"/>
        <v>1.9339999999999975</v>
      </c>
      <c r="AQ28" s="8">
        <f t="shared" si="20"/>
        <v>0.32233333333333292</v>
      </c>
      <c r="AR28" s="8">
        <f t="shared" si="15"/>
        <v>0.8725439503619784</v>
      </c>
      <c r="AS28" s="30">
        <f t="shared" si="16"/>
        <v>2.7069615833360277</v>
      </c>
      <c r="AT28" s="8">
        <f t="shared" si="21"/>
        <v>5.4808686659772558E-3</v>
      </c>
      <c r="AU28" s="35">
        <f t="shared" si="17"/>
        <v>2.8339548428010669E-3</v>
      </c>
      <c r="AV28" s="8"/>
      <c r="AW28" s="8">
        <f t="shared" si="18"/>
        <v>0.72503364280948446</v>
      </c>
      <c r="BD28" s="1">
        <f t="shared" si="32"/>
        <v>0.35700000000000004</v>
      </c>
      <c r="BE28" s="1">
        <f t="shared" si="33"/>
        <v>4.7800000000000002E-2</v>
      </c>
      <c r="BF28" s="1">
        <f t="shared" si="34"/>
        <v>77.825900000000004</v>
      </c>
      <c r="BG28" s="1" t="str">
        <f t="shared" si="3"/>
        <v/>
      </c>
      <c r="BH28" s="1" t="str">
        <f t="shared" si="3"/>
        <v/>
      </c>
      <c r="BI28" s="1" t="str">
        <f t="shared" si="3"/>
        <v/>
      </c>
      <c r="BJ28" s="1" t="str">
        <f t="shared" si="3"/>
        <v/>
      </c>
      <c r="BK28" s="1" t="str">
        <f t="shared" si="3"/>
        <v/>
      </c>
      <c r="BL28" s="1" t="str">
        <f t="shared" si="3"/>
        <v/>
      </c>
      <c r="BM28" s="1" t="str">
        <f t="shared" si="3"/>
        <v/>
      </c>
      <c r="BN28" s="1" t="str">
        <f t="shared" si="3"/>
        <v/>
      </c>
      <c r="BO28" s="1" t="str">
        <f t="shared" si="3"/>
        <v/>
      </c>
      <c r="BP28" s="20"/>
      <c r="BR28" s="1"/>
      <c r="BZ28" s="1"/>
      <c r="CA28" s="1"/>
    </row>
    <row r="29" spans="1:106" x14ac:dyDescent="0.2">
      <c r="B29" s="28" t="s">
        <v>257</v>
      </c>
      <c r="C29" s="28">
        <v>3.5249999999999997E-2</v>
      </c>
      <c r="D29" s="28">
        <v>0.87812000000000001</v>
      </c>
      <c r="E29" s="28">
        <v>5.4025999999999996</v>
      </c>
      <c r="F29" s="28"/>
      <c r="G29" s="17"/>
      <c r="H29" s="17"/>
      <c r="I29" s="17"/>
      <c r="J29" s="17"/>
      <c r="K29" s="17"/>
      <c r="L29" s="17"/>
      <c r="M29" s="17"/>
      <c r="P29" s="2">
        <v>45695</v>
      </c>
      <c r="Q29" s="3">
        <v>0.63541666666666663</v>
      </c>
      <c r="R29" s="4">
        <f>R27+6</f>
        <v>54</v>
      </c>
      <c r="S29" s="1" t="s">
        <v>228</v>
      </c>
      <c r="T29" s="1">
        <v>16</v>
      </c>
      <c r="U29" s="1">
        <v>8</v>
      </c>
      <c r="W29" s="4">
        <v>35.200000000000003</v>
      </c>
      <c r="X29" s="1">
        <v>71</v>
      </c>
      <c r="Y29" s="1">
        <v>7.1534000000000004</v>
      </c>
      <c r="Z29" s="1">
        <v>7.2931999999999997</v>
      </c>
      <c r="AA29" s="1">
        <v>8</v>
      </c>
      <c r="AB29" s="1">
        <f t="shared" si="0"/>
        <v>0.13979999999999926</v>
      </c>
      <c r="AC29" s="1">
        <f t="shared" si="1"/>
        <v>17.474999999999905</v>
      </c>
      <c r="AD29" s="1">
        <v>17.899999999999999</v>
      </c>
      <c r="AF29" s="1">
        <f t="shared" si="2"/>
        <v>0</v>
      </c>
      <c r="AI29" s="30">
        <f>$BF$15-BF29</f>
        <v>41.480899999999991</v>
      </c>
      <c r="AJ29" s="1">
        <f t="shared" si="13"/>
        <v>0.16261481481481482</v>
      </c>
      <c r="AK29" s="30">
        <f t="shared" si="7"/>
        <v>0.21169261033391276</v>
      </c>
      <c r="AL29" s="8">
        <f t="shared" si="8"/>
        <v>0.32361111111110935</v>
      </c>
      <c r="AM29" s="8">
        <f t="shared" si="14"/>
        <v>0.42127822684657057</v>
      </c>
      <c r="AP29" s="1">
        <f t="shared" si="12"/>
        <v>3.3444000000000003</v>
      </c>
      <c r="AQ29" s="8">
        <f t="shared" si="20"/>
        <v>0.55740000000000001</v>
      </c>
      <c r="AR29" s="8">
        <f t="shared" si="15"/>
        <v>0.46346130845590788</v>
      </c>
      <c r="AS29" s="30">
        <f t="shared" si="16"/>
        <v>0.83146987523485449</v>
      </c>
      <c r="AT29" s="8">
        <f t="shared" si="21"/>
        <v>0.5119303911015427</v>
      </c>
      <c r="AU29" s="35">
        <f t="shared" si="17"/>
        <v>0.15307092186985488</v>
      </c>
      <c r="AV29" s="8"/>
      <c r="AW29" s="8">
        <f t="shared" si="18"/>
        <v>0.6329708371804833</v>
      </c>
      <c r="BD29" s="1">
        <f t="shared" si="32"/>
        <v>0.35249999999999998</v>
      </c>
      <c r="BE29" s="1">
        <f t="shared" si="33"/>
        <v>8.7812000000000001</v>
      </c>
      <c r="BF29" s="1">
        <f t="shared" si="34"/>
        <v>54.025999999999996</v>
      </c>
      <c r="BG29" s="1" t="str">
        <f t="shared" si="3"/>
        <v/>
      </c>
      <c r="BH29" s="1" t="str">
        <f t="shared" si="3"/>
        <v/>
      </c>
      <c r="BI29" s="1" t="str">
        <f t="shared" si="3"/>
        <v/>
      </c>
      <c r="BJ29" s="1" t="str">
        <f t="shared" si="3"/>
        <v/>
      </c>
      <c r="BK29" s="1" t="str">
        <f t="shared" si="3"/>
        <v/>
      </c>
      <c r="BL29" s="1" t="str">
        <f t="shared" si="3"/>
        <v/>
      </c>
      <c r="BM29" s="1" t="str">
        <f t="shared" si="3"/>
        <v/>
      </c>
      <c r="BN29" s="1" t="str">
        <f t="shared" si="3"/>
        <v/>
      </c>
      <c r="BO29" s="1" t="str">
        <f t="shared" si="3"/>
        <v/>
      </c>
      <c r="BP29" s="20"/>
      <c r="BR29" s="1"/>
      <c r="BZ29" s="1"/>
      <c r="CA29" s="1"/>
    </row>
    <row r="30" spans="1:106" x14ac:dyDescent="0.2">
      <c r="B30" s="28" t="s">
        <v>258</v>
      </c>
      <c r="C30" s="28">
        <v>3.6810000000000002E-2</v>
      </c>
      <c r="D30" s="28">
        <v>3.014E-2</v>
      </c>
      <c r="E30" s="28">
        <v>7.2914500000000002</v>
      </c>
      <c r="F30" s="28"/>
      <c r="L30" s="17"/>
      <c r="M30" s="17"/>
      <c r="P30" s="2">
        <v>45696</v>
      </c>
      <c r="Q30" s="3">
        <v>0.38541666666666669</v>
      </c>
      <c r="R30" s="1">
        <v>72</v>
      </c>
      <c r="S30" s="1" t="s">
        <v>226</v>
      </c>
      <c r="T30" s="1">
        <v>17</v>
      </c>
      <c r="U30" s="1">
        <v>8</v>
      </c>
      <c r="W30" s="4">
        <v>29.96</v>
      </c>
      <c r="X30" s="1">
        <v>26</v>
      </c>
      <c r="Y30" s="1">
        <v>7.1481000000000003</v>
      </c>
      <c r="Z30" s="1">
        <v>7.2709000000000001</v>
      </c>
      <c r="AA30" s="1">
        <v>8</v>
      </c>
      <c r="AB30" s="1">
        <f t="shared" si="0"/>
        <v>0.1227999999999998</v>
      </c>
      <c r="AC30" s="1">
        <f t="shared" si="1"/>
        <v>15.349999999999975</v>
      </c>
      <c r="AD30" s="1">
        <v>17.399999999999999</v>
      </c>
      <c r="AF30" s="1">
        <f t="shared" si="2"/>
        <v>0</v>
      </c>
      <c r="AI30" s="30">
        <f>$BF$14-BF30</f>
        <v>22.597200000000001</v>
      </c>
      <c r="AJ30" s="1">
        <f t="shared" si="13"/>
        <v>4.1861111111111109E-3</v>
      </c>
      <c r="AK30" s="30">
        <f t="shared" si="7"/>
        <v>1.3337935673446268E-2</v>
      </c>
      <c r="AL30" s="8">
        <f t="shared" si="8"/>
        <v>0.2131944444444441</v>
      </c>
      <c r="AM30" s="8">
        <f t="shared" si="14"/>
        <v>0.67928769936098166</v>
      </c>
      <c r="AP30" s="1">
        <f t="shared" si="12"/>
        <v>4.9114000000000004</v>
      </c>
      <c r="AQ30" s="8">
        <f t="shared" si="20"/>
        <v>0.27285555555555557</v>
      </c>
      <c r="AR30" s="8">
        <f t="shared" si="15"/>
        <v>0.52429042635500955</v>
      </c>
      <c r="AS30" s="30">
        <f t="shared" si="16"/>
        <v>1.9214944159282834</v>
      </c>
      <c r="AT30" s="8">
        <f t="shared" si="21"/>
        <v>5.1634971698497366E-2</v>
      </c>
      <c r="AU30" s="35">
        <f t="shared" si="17"/>
        <v>1.0513289835586057E-2</v>
      </c>
      <c r="AV30" s="8"/>
      <c r="AW30" s="8">
        <f t="shared" si="18"/>
        <v>0.69262563503442798</v>
      </c>
      <c r="BD30" s="1">
        <f t="shared" si="32"/>
        <v>0.36810000000000004</v>
      </c>
      <c r="BE30" s="1">
        <f t="shared" si="33"/>
        <v>0.3014</v>
      </c>
      <c r="BF30" s="1">
        <f t="shared" si="34"/>
        <v>72.914500000000004</v>
      </c>
      <c r="BP30" s="20"/>
      <c r="BR30" s="1"/>
      <c r="BZ30" s="1"/>
      <c r="CA30" s="1"/>
    </row>
    <row r="31" spans="1:106" x14ac:dyDescent="0.2">
      <c r="B31" s="28" t="s">
        <v>259</v>
      </c>
      <c r="C31" s="28">
        <v>3.7080000000000002E-2</v>
      </c>
      <c r="D31" s="28">
        <v>1.0245599999999999</v>
      </c>
      <c r="E31" s="28">
        <v>5.3727</v>
      </c>
      <c r="F31" s="28"/>
      <c r="L31" s="17"/>
      <c r="M31" s="17"/>
      <c r="P31" s="2">
        <v>45696</v>
      </c>
      <c r="Q31" s="3">
        <v>0.38541666666666669</v>
      </c>
      <c r="R31" s="1">
        <v>72</v>
      </c>
      <c r="S31" s="1" t="s">
        <v>228</v>
      </c>
      <c r="T31" s="1">
        <v>18</v>
      </c>
      <c r="U31" s="1">
        <v>8</v>
      </c>
      <c r="W31" s="4">
        <v>33.44</v>
      </c>
      <c r="X31" s="1">
        <v>106</v>
      </c>
      <c r="Y31" s="1">
        <v>7.1394000000000002</v>
      </c>
      <c r="Z31" s="1">
        <v>7.2672999999999996</v>
      </c>
      <c r="AA31" s="1">
        <v>8</v>
      </c>
      <c r="AB31" s="1">
        <f t="shared" si="0"/>
        <v>0.12789999999999946</v>
      </c>
      <c r="AC31" s="1">
        <f t="shared" si="1"/>
        <v>15.987499999999931</v>
      </c>
      <c r="AD31" s="1">
        <v>18</v>
      </c>
      <c r="AF31" s="1">
        <f t="shared" si="2"/>
        <v>0</v>
      </c>
      <c r="AI31" s="30">
        <f t="shared" ref="AI31" si="36">$BF$15-BF31</f>
        <v>41.779899999999991</v>
      </c>
      <c r="AJ31" s="1">
        <f t="shared" si="13"/>
        <v>0.14229999999999998</v>
      </c>
      <c r="AK31" s="30">
        <f t="shared" si="7"/>
        <v>0.24522796847287814</v>
      </c>
      <c r="AL31" s="8">
        <f t="shared" si="8"/>
        <v>0.22204861111111016</v>
      </c>
      <c r="AM31" s="8">
        <f t="shared" si="14"/>
        <v>0.38266008295855031</v>
      </c>
      <c r="AP31" s="1">
        <f t="shared" si="12"/>
        <v>0.29899999999999949</v>
      </c>
      <c r="AQ31" s="8">
        <f t="shared" si="20"/>
        <v>1.6611111111111083E-2</v>
      </c>
      <c r="AR31" s="8">
        <f t="shared" si="15"/>
        <v>-4.9749163879597882</v>
      </c>
      <c r="AS31" s="30">
        <f t="shared" si="16"/>
        <v>-299.49329425844928</v>
      </c>
      <c r="AT31" s="8">
        <f t="shared" si="21"/>
        <v>4.897658862876261</v>
      </c>
      <c r="AU31" s="35">
        <f t="shared" si="17"/>
        <v>16.380129976174814</v>
      </c>
      <c r="AV31" s="8"/>
      <c r="AW31" s="8">
        <f t="shared" si="18"/>
        <v>0.62788805143142845</v>
      </c>
      <c r="BD31" s="1">
        <f t="shared" si="32"/>
        <v>0.37079999999999996</v>
      </c>
      <c r="BE31" s="1">
        <f t="shared" si="33"/>
        <v>10.2456</v>
      </c>
      <c r="BF31" s="1">
        <f t="shared" si="34"/>
        <v>53.726999999999997</v>
      </c>
      <c r="BP31" s="20"/>
      <c r="BR31" s="1"/>
      <c r="BZ31" s="1"/>
      <c r="CA31" s="1"/>
    </row>
    <row r="32" spans="1:106" x14ac:dyDescent="0.2">
      <c r="B32" s="28"/>
      <c r="C32" s="28"/>
      <c r="D32" s="28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AF32" s="29"/>
      <c r="AI32" s="30"/>
      <c r="AK32" s="30"/>
      <c r="AL32" s="8"/>
      <c r="AM32" s="8"/>
      <c r="AO32" s="30"/>
      <c r="AQ32" s="8"/>
      <c r="AR32" s="8"/>
      <c r="AS32" s="30"/>
      <c r="AT32" s="8"/>
      <c r="AU32" s="35"/>
      <c r="AV32" s="8"/>
      <c r="AW32" s="8"/>
      <c r="BP32" s="20"/>
      <c r="BQ32" s="20"/>
      <c r="BR32" s="7"/>
      <c r="BT32" s="39"/>
      <c r="BU32" s="34"/>
      <c r="BV32" s="7"/>
      <c r="BW32" s="7"/>
      <c r="BX32" s="7"/>
      <c r="BY32" s="7"/>
      <c r="BZ32" s="7"/>
      <c r="CA32" s="7"/>
      <c r="CB32" s="7"/>
      <c r="CC32" s="31"/>
      <c r="CD32" s="31"/>
      <c r="CE32" s="37"/>
      <c r="CF32" s="8"/>
      <c r="CG32" s="38"/>
      <c r="CH32" s="38"/>
      <c r="CI32" s="8"/>
      <c r="CN32" s="8"/>
      <c r="CO32" s="30"/>
      <c r="CP32" s="7"/>
      <c r="CQ32" s="7"/>
      <c r="CR32" s="7"/>
      <c r="CS32" s="30"/>
      <c r="CT32" s="30"/>
      <c r="CU32" s="30"/>
      <c r="CZ32" s="7"/>
      <c r="DA32" s="8"/>
      <c r="DB32" s="7"/>
    </row>
    <row r="33" spans="2:105" x14ac:dyDescent="0.2">
      <c r="B33" s="28"/>
      <c r="C33" s="28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AF33" s="29"/>
      <c r="AI33" s="30"/>
      <c r="AK33" s="30"/>
      <c r="AL33" s="8"/>
      <c r="AM33" s="8"/>
      <c r="AO33" s="30"/>
      <c r="AQ33" s="8"/>
      <c r="AR33" s="8"/>
      <c r="AS33" s="30"/>
      <c r="AT33" s="8"/>
      <c r="AU33" s="35"/>
      <c r="AV33" s="8"/>
      <c r="AW33" s="8"/>
      <c r="BP33" s="20"/>
      <c r="BQ33" s="20"/>
      <c r="BR33" s="7"/>
      <c r="BU33" s="34"/>
      <c r="BV33" s="7"/>
      <c r="BW33" s="7"/>
      <c r="BX33" s="7"/>
      <c r="BY33" s="7"/>
      <c r="BZ33" s="7"/>
      <c r="CA33" s="7"/>
      <c r="CB33" s="7"/>
      <c r="CC33" s="31"/>
      <c r="CD33" s="31"/>
      <c r="CE33" s="37"/>
      <c r="CF33" s="8"/>
      <c r="CG33" s="38"/>
      <c r="CH33" s="38"/>
      <c r="CI33" s="8"/>
      <c r="CN33" s="8"/>
      <c r="CO33" s="30"/>
      <c r="CP33" s="7"/>
      <c r="CQ33" s="7"/>
      <c r="CR33" s="7"/>
      <c r="CS33" s="40"/>
      <c r="CT33" s="30"/>
      <c r="CU33" s="30"/>
      <c r="CZ33" s="7"/>
      <c r="DA33" s="8"/>
    </row>
    <row r="34" spans="2:105" s="41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20"/>
      <c r="BQ34" s="20"/>
      <c r="BR34" s="7"/>
      <c r="BS34" s="1"/>
      <c r="BT34" s="1"/>
      <c r="BU34" s="34"/>
      <c r="BV34" s="7"/>
      <c r="BW34" s="7"/>
      <c r="BX34" s="7"/>
      <c r="BY34" s="7"/>
      <c r="BZ34" s="7"/>
      <c r="CA34" s="7"/>
      <c r="CB34" s="7"/>
      <c r="CC34" s="31"/>
      <c r="CD34" s="31"/>
      <c r="CE34" s="37"/>
      <c r="CF34" s="8"/>
      <c r="CG34" s="38"/>
      <c r="CH34" s="38"/>
      <c r="CI34" s="8"/>
      <c r="CJ34" s="1"/>
      <c r="CL34" s="1"/>
      <c r="CM34" s="1"/>
      <c r="CN34" s="8"/>
      <c r="CO34" s="30"/>
      <c r="CP34" s="7"/>
      <c r="CQ34" s="7"/>
      <c r="CR34" s="7"/>
      <c r="CS34" s="42"/>
      <c r="CT34" s="30"/>
      <c r="CU34" s="30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AC35" s="1">
        <f>AVERAGE(AC25:AC31)</f>
        <v>14.964285714285667</v>
      </c>
      <c r="BP35" s="20"/>
      <c r="BQ35" s="20"/>
      <c r="BR35" s="7"/>
      <c r="BT35" s="7"/>
      <c r="BU35" s="34"/>
      <c r="BV35" s="7"/>
      <c r="BW35" s="7"/>
      <c r="BX35" s="7"/>
      <c r="BY35" s="7"/>
      <c r="BZ35" s="7"/>
      <c r="CA35" s="7"/>
      <c r="CB35" s="7"/>
      <c r="CC35" s="31"/>
      <c r="CD35" s="31"/>
      <c r="CE35" s="37"/>
      <c r="CF35" s="8"/>
      <c r="CG35" s="38"/>
      <c r="CH35" s="38"/>
      <c r="CI35" s="8"/>
      <c r="CN35" s="8"/>
      <c r="CO35" s="30"/>
      <c r="CP35" s="7"/>
      <c r="CQ35" s="7"/>
      <c r="CR35" s="7"/>
      <c r="CS35" s="30"/>
      <c r="CT35" s="30"/>
      <c r="CU35" s="30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AC36" s="52" t="s">
        <v>262</v>
      </c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AC37" s="52" t="s">
        <v>263</v>
      </c>
      <c r="BP37" s="20"/>
      <c r="BR37" s="1"/>
      <c r="BZ37" s="1"/>
      <c r="CA37" s="1"/>
    </row>
    <row r="38" spans="2:105" x14ac:dyDescent="0.2">
      <c r="L38" s="17"/>
      <c r="M38" s="17"/>
      <c r="AC38" s="1">
        <f>AC14/(W14*U14)</f>
        <v>0.37386551155115405</v>
      </c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7"/>
      <c r="CD67" s="43"/>
      <c r="CH67" s="38"/>
      <c r="CI67" s="8"/>
      <c r="CN67" s="30"/>
      <c r="CO67" s="30"/>
      <c r="CP67" s="7"/>
      <c r="CQ67" s="7"/>
      <c r="CR67" s="7"/>
      <c r="CS67" s="30"/>
      <c r="CT67" s="30"/>
      <c r="CU67" s="30"/>
      <c r="CZ67" s="7"/>
      <c r="DA67" s="7"/>
    </row>
    <row r="68" spans="21:105" x14ac:dyDescent="0.2">
      <c r="BR68" s="1"/>
      <c r="BU68" s="18"/>
      <c r="BZ68" s="1"/>
      <c r="CA68" s="1"/>
      <c r="CC68" s="32"/>
      <c r="CD68" s="44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DC1-E48A-48E9-A30C-F03419091C33}">
  <dimension ref="A2:R31"/>
  <sheetViews>
    <sheetView topLeftCell="A2" zoomScale="60" zoomScaleNormal="60"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18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pans="1:18" x14ac:dyDescent="0.2">
      <c r="A3" s="1" t="s">
        <v>229</v>
      </c>
      <c r="B3" s="45">
        <v>1.0760000000000001</v>
      </c>
      <c r="C3" s="45">
        <v>1.2789999999999999</v>
      </c>
      <c r="F3" s="45">
        <v>1.1659999999999999</v>
      </c>
      <c r="G3" s="45">
        <v>1.2410000000000001</v>
      </c>
      <c r="H3" s="45">
        <v>1.1319999999999999</v>
      </c>
      <c r="I3" s="45">
        <v>1.151</v>
      </c>
      <c r="J3" s="45">
        <v>1.115</v>
      </c>
      <c r="K3" s="45">
        <v>1.079</v>
      </c>
      <c r="L3" s="45">
        <v>1.2070000000000001</v>
      </c>
      <c r="M3" s="45">
        <v>1.1479999999999999</v>
      </c>
      <c r="N3" s="45">
        <v>1.131</v>
      </c>
      <c r="O3" s="45">
        <v>1.1659999999999999</v>
      </c>
      <c r="P3" s="45">
        <v>1.248</v>
      </c>
      <c r="Q3" s="45">
        <v>1.0760000000000001</v>
      </c>
      <c r="R3" s="45">
        <v>1.0069999999999999</v>
      </c>
    </row>
    <row r="4" spans="1:18" x14ac:dyDescent="0.2">
      <c r="A4" s="1" t="s">
        <v>230</v>
      </c>
      <c r="B4" s="45" t="s">
        <v>231</v>
      </c>
      <c r="C4" s="45" t="s">
        <v>231</v>
      </c>
      <c r="F4" s="45" t="s">
        <v>231</v>
      </c>
      <c r="G4" s="45" t="s">
        <v>231</v>
      </c>
      <c r="H4" s="45" t="s">
        <v>231</v>
      </c>
      <c r="I4" s="45" t="s">
        <v>231</v>
      </c>
      <c r="J4" s="45" t="s">
        <v>231</v>
      </c>
      <c r="K4" s="45" t="s">
        <v>231</v>
      </c>
      <c r="L4" s="45" t="s">
        <v>231</v>
      </c>
      <c r="M4" s="45" t="s">
        <v>231</v>
      </c>
      <c r="N4" s="45" t="s">
        <v>231</v>
      </c>
      <c r="O4" s="45" t="s">
        <v>231</v>
      </c>
      <c r="P4" s="45" t="s">
        <v>231</v>
      </c>
      <c r="Q4" s="45" t="s">
        <v>231</v>
      </c>
      <c r="R4" s="45" t="s">
        <v>231</v>
      </c>
    </row>
    <row r="5" spans="1:18" x14ac:dyDescent="0.2">
      <c r="A5" s="1" t="s">
        <v>232</v>
      </c>
      <c r="B5" s="45">
        <v>0.21</v>
      </c>
      <c r="C5" s="45">
        <v>0.251</v>
      </c>
      <c r="F5" s="45">
        <v>0.38400000000000001</v>
      </c>
      <c r="G5" s="45">
        <v>0.40500000000000003</v>
      </c>
      <c r="H5" s="45">
        <v>0.35399999999999998</v>
      </c>
      <c r="I5" s="45">
        <v>0.36599999999999999</v>
      </c>
      <c r="J5" s="45">
        <v>0.36499999999999999</v>
      </c>
      <c r="K5" s="45">
        <v>0.34200000000000003</v>
      </c>
      <c r="L5" s="45">
        <v>0.39500000000000002</v>
      </c>
      <c r="M5" s="45">
        <v>0.45200000000000001</v>
      </c>
      <c r="N5" s="45">
        <v>0.438</v>
      </c>
      <c r="O5" s="45">
        <v>0.47099999999999997</v>
      </c>
      <c r="P5" s="45">
        <v>0.45100000000000001</v>
      </c>
      <c r="Q5" s="45">
        <v>0.55700000000000005</v>
      </c>
      <c r="R5" s="45">
        <v>0.40100000000000002</v>
      </c>
    </row>
    <row r="6" spans="1:18" x14ac:dyDescent="0.2">
      <c r="A6" s="1" t="s">
        <v>233</v>
      </c>
      <c r="B6" s="45">
        <v>2.3E-2</v>
      </c>
      <c r="C6" s="45">
        <v>0.02</v>
      </c>
      <c r="F6" s="45">
        <v>9.1999999999999998E-2</v>
      </c>
      <c r="G6" s="45">
        <v>0.106</v>
      </c>
      <c r="H6" s="45">
        <v>8.1000000000000003E-2</v>
      </c>
      <c r="I6" s="45">
        <v>0.105</v>
      </c>
      <c r="J6" s="45">
        <v>8.2000000000000003E-2</v>
      </c>
      <c r="K6" s="45">
        <v>0.09</v>
      </c>
      <c r="L6" s="45">
        <v>9.2999999999999999E-2</v>
      </c>
      <c r="M6" s="45">
        <v>0.13</v>
      </c>
      <c r="N6" s="45">
        <v>0.14099999999999999</v>
      </c>
      <c r="O6" s="45">
        <v>0.16</v>
      </c>
      <c r="P6" s="45">
        <v>0.17299999999999999</v>
      </c>
      <c r="Q6" s="45">
        <v>0.23400000000000001</v>
      </c>
      <c r="R6" s="45">
        <v>0.153</v>
      </c>
    </row>
    <row r="7" spans="1:18" x14ac:dyDescent="0.2">
      <c r="A7" s="1" t="s">
        <v>234</v>
      </c>
      <c r="B7" s="45">
        <v>0.157</v>
      </c>
      <c r="C7" s="45">
        <v>0.19</v>
      </c>
      <c r="F7" s="45">
        <v>0.26500000000000001</v>
      </c>
      <c r="G7" s="45">
        <v>0.248</v>
      </c>
      <c r="H7" s="45">
        <v>0.24</v>
      </c>
      <c r="I7" s="45">
        <v>0.222</v>
      </c>
      <c r="J7" s="45">
        <v>0.248</v>
      </c>
      <c r="K7" s="45">
        <v>0.22700000000000001</v>
      </c>
      <c r="L7" s="45">
        <v>0.28799999999999998</v>
      </c>
      <c r="M7" s="45">
        <v>0.33700000000000002</v>
      </c>
      <c r="N7" s="45">
        <v>0.31900000000000001</v>
      </c>
      <c r="O7" s="45">
        <v>0.35099999999999998</v>
      </c>
      <c r="P7" s="45">
        <v>0.34599999999999997</v>
      </c>
      <c r="Q7" s="45">
        <v>0.39500000000000002</v>
      </c>
      <c r="R7" s="45">
        <v>0.32</v>
      </c>
    </row>
    <row r="8" spans="1:18" x14ac:dyDescent="0.2">
      <c r="A8" s="1" t="s">
        <v>235</v>
      </c>
      <c r="B8" s="45">
        <v>0.05</v>
      </c>
      <c r="C8" s="45">
        <v>4.5999999999999999E-2</v>
      </c>
      <c r="F8" s="45">
        <v>0.69499999999999995</v>
      </c>
      <c r="G8" s="45">
        <v>0.88600000000000001</v>
      </c>
      <c r="H8" s="45">
        <v>0.64300000000000002</v>
      </c>
      <c r="I8" s="45">
        <v>0.86699999999999999</v>
      </c>
      <c r="J8" s="45">
        <v>0.70799999999999996</v>
      </c>
      <c r="K8" s="45">
        <v>0.71799999999999997</v>
      </c>
      <c r="L8" s="45">
        <v>0.79900000000000004</v>
      </c>
      <c r="M8" s="45">
        <v>1.1419999999999999</v>
      </c>
      <c r="N8" s="45">
        <v>1.167</v>
      </c>
      <c r="O8" s="45">
        <v>1.3680000000000001</v>
      </c>
      <c r="P8" s="45">
        <v>1.206</v>
      </c>
      <c r="Q8" s="45">
        <v>1.8480000000000001</v>
      </c>
      <c r="R8" s="45">
        <v>1.0269999999999999</v>
      </c>
    </row>
    <row r="9" spans="1:18" x14ac:dyDescent="0.2">
      <c r="A9" s="1" t="s">
        <v>236</v>
      </c>
      <c r="B9" s="45">
        <v>7.0999999999999994E-2</v>
      </c>
      <c r="C9" s="45">
        <v>4.9000000000000002E-2</v>
      </c>
      <c r="F9" s="45">
        <v>0.34799999999999998</v>
      </c>
      <c r="G9" s="45">
        <v>0.217</v>
      </c>
      <c r="H9" s="45">
        <v>0.27800000000000002</v>
      </c>
      <c r="I9" s="45">
        <v>0.17799999999999999</v>
      </c>
      <c r="J9" s="45">
        <v>0.254</v>
      </c>
      <c r="K9" s="45">
        <v>0.125</v>
      </c>
      <c r="L9" s="45">
        <v>0.18</v>
      </c>
      <c r="M9" s="45">
        <v>0.105</v>
      </c>
      <c r="N9" s="45">
        <v>0.216</v>
      </c>
      <c r="O9" s="45">
        <v>0.104</v>
      </c>
      <c r="P9" s="45">
        <v>0.16600000000000001</v>
      </c>
      <c r="Q9" s="45">
        <v>0.106</v>
      </c>
      <c r="R9" s="45">
        <v>0.13</v>
      </c>
    </row>
    <row r="10" spans="1:18" x14ac:dyDescent="0.2">
      <c r="A10" s="1" t="s">
        <v>237</v>
      </c>
      <c r="B10" s="45" t="s">
        <v>231</v>
      </c>
      <c r="C10" s="45" t="s">
        <v>231</v>
      </c>
      <c r="F10" s="45" t="s">
        <v>231</v>
      </c>
      <c r="G10" s="45" t="s">
        <v>231</v>
      </c>
      <c r="H10" s="45" t="s">
        <v>231</v>
      </c>
      <c r="I10" s="45" t="s">
        <v>231</v>
      </c>
      <c r="J10" s="45" t="s">
        <v>231</v>
      </c>
      <c r="K10" s="45" t="s">
        <v>231</v>
      </c>
      <c r="L10" s="45" t="s">
        <v>231</v>
      </c>
      <c r="M10" s="45" t="s">
        <v>231</v>
      </c>
      <c r="N10" s="45" t="s">
        <v>231</v>
      </c>
      <c r="O10" s="45" t="s">
        <v>231</v>
      </c>
      <c r="P10" s="45" t="s">
        <v>231</v>
      </c>
      <c r="Q10" s="45" t="s">
        <v>231</v>
      </c>
      <c r="R10" s="45" t="s">
        <v>231</v>
      </c>
    </row>
    <row r="11" spans="1:18" x14ac:dyDescent="0.2">
      <c r="A11" s="1" t="s">
        <v>238</v>
      </c>
      <c r="B11" s="45">
        <v>2E-3</v>
      </c>
      <c r="C11" s="45">
        <v>1E-3</v>
      </c>
      <c r="F11" s="45">
        <v>3.1E-2</v>
      </c>
      <c r="G11" s="45">
        <v>3.3000000000000002E-2</v>
      </c>
      <c r="H11" s="45">
        <v>2.7E-2</v>
      </c>
      <c r="I11" s="45">
        <v>3.4000000000000002E-2</v>
      </c>
      <c r="J11" s="45">
        <v>2.9000000000000001E-2</v>
      </c>
      <c r="K11" s="45">
        <v>2.9000000000000001E-2</v>
      </c>
      <c r="L11" s="45">
        <v>0.04</v>
      </c>
      <c r="M11" s="45">
        <v>5.3999999999999999E-2</v>
      </c>
      <c r="N11" s="45">
        <v>6.6000000000000003E-2</v>
      </c>
      <c r="O11" s="45">
        <v>6.6000000000000003E-2</v>
      </c>
      <c r="P11" s="45">
        <v>7.2999999999999995E-2</v>
      </c>
      <c r="Q11" s="45">
        <v>0.08</v>
      </c>
      <c r="R11" s="45">
        <v>6.5000000000000002E-2</v>
      </c>
    </row>
    <row r="14" spans="1:18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8" x14ac:dyDescent="0.2">
      <c r="A15" s="45">
        <v>1.0760000000000001</v>
      </c>
      <c r="B15" s="45" t="s">
        <v>231</v>
      </c>
      <c r="C15" s="45">
        <v>0.21</v>
      </c>
      <c r="D15" s="45">
        <v>2.3E-2</v>
      </c>
      <c r="E15" s="45">
        <v>0.157</v>
      </c>
      <c r="F15" s="45">
        <v>0.05</v>
      </c>
      <c r="G15" s="45">
        <v>7.0999999999999994E-2</v>
      </c>
      <c r="H15" s="45" t="s">
        <v>231</v>
      </c>
      <c r="I15" s="45">
        <v>2E-3</v>
      </c>
      <c r="K15" s="1">
        <f>SUM(B15:I15)</f>
        <v>0.51300000000000001</v>
      </c>
      <c r="L15" s="1">
        <f>K15*0.5</f>
        <v>0.25650000000000001</v>
      </c>
    </row>
    <row r="16" spans="1:18" x14ac:dyDescent="0.2">
      <c r="A16" s="45">
        <v>1.2789999999999999</v>
      </c>
      <c r="B16" s="45" t="s">
        <v>231</v>
      </c>
      <c r="C16" s="45">
        <v>0.251</v>
      </c>
      <c r="D16" s="45">
        <v>0.02</v>
      </c>
      <c r="E16" s="45">
        <v>0.19</v>
      </c>
      <c r="F16" s="45">
        <v>4.5999999999999999E-2</v>
      </c>
      <c r="G16" s="45">
        <v>4.9000000000000002E-2</v>
      </c>
      <c r="H16" s="45" t="s">
        <v>231</v>
      </c>
      <c r="I16" s="45">
        <v>1E-3</v>
      </c>
      <c r="K16" s="1">
        <f t="shared" ref="K16:K31" si="0">SUM(B16:I16)</f>
        <v>0.55700000000000005</v>
      </c>
      <c r="L16" s="1">
        <f t="shared" ref="L16:L31" si="1">K16*0.5</f>
        <v>0.27850000000000003</v>
      </c>
    </row>
    <row r="17" spans="1:12" x14ac:dyDescent="0.2">
      <c r="K17" s="1">
        <f t="shared" si="0"/>
        <v>0</v>
      </c>
      <c r="L17" s="1">
        <f t="shared" si="1"/>
        <v>0</v>
      </c>
    </row>
    <row r="18" spans="1:12" x14ac:dyDescent="0.2">
      <c r="K18" s="1">
        <f t="shared" si="0"/>
        <v>0</v>
      </c>
      <c r="L18" s="1">
        <f t="shared" si="1"/>
        <v>0</v>
      </c>
    </row>
    <row r="19" spans="1:12" x14ac:dyDescent="0.2">
      <c r="A19" s="45">
        <v>1.1659999999999999</v>
      </c>
      <c r="B19" s="45" t="s">
        <v>231</v>
      </c>
      <c r="C19" s="45">
        <v>0.38400000000000001</v>
      </c>
      <c r="D19" s="45">
        <v>9.1999999999999998E-2</v>
      </c>
      <c r="E19" s="45">
        <v>0.26500000000000001</v>
      </c>
      <c r="F19" s="45">
        <v>0.69499999999999995</v>
      </c>
      <c r="G19" s="45">
        <v>0.34799999999999998</v>
      </c>
      <c r="H19" s="45" t="s">
        <v>231</v>
      </c>
      <c r="I19" s="45">
        <v>3.1E-2</v>
      </c>
      <c r="K19" s="1">
        <f t="shared" si="0"/>
        <v>1.8149999999999997</v>
      </c>
      <c r="L19" s="1">
        <f t="shared" si="1"/>
        <v>0.90749999999999986</v>
      </c>
    </row>
    <row r="20" spans="1:12" x14ac:dyDescent="0.2">
      <c r="A20" s="45">
        <v>1.2410000000000001</v>
      </c>
      <c r="B20" s="45" t="s">
        <v>231</v>
      </c>
      <c r="C20" s="45">
        <v>0.40500000000000003</v>
      </c>
      <c r="D20" s="45">
        <v>0.106</v>
      </c>
      <c r="E20" s="45">
        <v>0.248</v>
      </c>
      <c r="F20" s="45">
        <v>0.88600000000000001</v>
      </c>
      <c r="G20" s="45">
        <v>0.217</v>
      </c>
      <c r="H20" s="45" t="s">
        <v>231</v>
      </c>
      <c r="I20" s="45">
        <v>3.3000000000000002E-2</v>
      </c>
      <c r="K20" s="1">
        <f t="shared" si="0"/>
        <v>1.895</v>
      </c>
      <c r="L20" s="1">
        <f t="shared" si="1"/>
        <v>0.94750000000000001</v>
      </c>
    </row>
    <row r="21" spans="1:12" x14ac:dyDescent="0.2">
      <c r="A21" s="45">
        <v>1.1319999999999999</v>
      </c>
      <c r="B21" s="45" t="s">
        <v>231</v>
      </c>
      <c r="C21" s="45">
        <v>0.35399999999999998</v>
      </c>
      <c r="D21" s="45">
        <v>8.1000000000000003E-2</v>
      </c>
      <c r="E21" s="45">
        <v>0.24</v>
      </c>
      <c r="F21" s="45">
        <v>0.64300000000000002</v>
      </c>
      <c r="G21" s="45">
        <v>0.27800000000000002</v>
      </c>
      <c r="H21" s="45" t="s">
        <v>231</v>
      </c>
      <c r="I21" s="45">
        <v>2.7E-2</v>
      </c>
      <c r="K21" s="1">
        <f t="shared" si="0"/>
        <v>1.623</v>
      </c>
      <c r="L21" s="1">
        <f t="shared" si="1"/>
        <v>0.8115</v>
      </c>
    </row>
    <row r="22" spans="1:12" x14ac:dyDescent="0.2">
      <c r="A22" s="45">
        <v>1.151</v>
      </c>
      <c r="B22" s="45" t="s">
        <v>231</v>
      </c>
      <c r="C22" s="45">
        <v>0.36599999999999999</v>
      </c>
      <c r="D22" s="45">
        <v>0.105</v>
      </c>
      <c r="E22" s="45">
        <v>0.222</v>
      </c>
      <c r="F22" s="45">
        <v>0.86699999999999999</v>
      </c>
      <c r="G22" s="45">
        <v>0.17799999999999999</v>
      </c>
      <c r="H22" s="45" t="s">
        <v>231</v>
      </c>
      <c r="I22" s="45">
        <v>3.4000000000000002E-2</v>
      </c>
      <c r="K22" s="1">
        <f t="shared" si="0"/>
        <v>1.772</v>
      </c>
      <c r="L22" s="1">
        <f t="shared" si="1"/>
        <v>0.88600000000000001</v>
      </c>
    </row>
    <row r="23" spans="1:12" x14ac:dyDescent="0.2">
      <c r="A23" s="45">
        <v>1.115</v>
      </c>
      <c r="B23" s="45" t="s">
        <v>231</v>
      </c>
      <c r="C23" s="45">
        <v>0.36499999999999999</v>
      </c>
      <c r="D23" s="45">
        <v>8.2000000000000003E-2</v>
      </c>
      <c r="E23" s="45">
        <v>0.248</v>
      </c>
      <c r="F23" s="45">
        <v>0.70799999999999996</v>
      </c>
      <c r="G23" s="45">
        <v>0.254</v>
      </c>
      <c r="H23" s="45" t="s">
        <v>231</v>
      </c>
      <c r="I23" s="45">
        <v>2.9000000000000001E-2</v>
      </c>
      <c r="K23" s="1">
        <f t="shared" si="0"/>
        <v>1.6859999999999999</v>
      </c>
      <c r="L23" s="1">
        <f t="shared" si="1"/>
        <v>0.84299999999999997</v>
      </c>
    </row>
    <row r="24" spans="1:12" x14ac:dyDescent="0.2">
      <c r="A24" s="45">
        <v>1.079</v>
      </c>
      <c r="B24" s="45" t="s">
        <v>231</v>
      </c>
      <c r="C24" s="45">
        <v>0.34200000000000003</v>
      </c>
      <c r="D24" s="45">
        <v>0.09</v>
      </c>
      <c r="E24" s="45">
        <v>0.22700000000000001</v>
      </c>
      <c r="F24" s="45">
        <v>0.71799999999999997</v>
      </c>
      <c r="G24" s="45">
        <v>0.125</v>
      </c>
      <c r="H24" s="45" t="s">
        <v>231</v>
      </c>
      <c r="I24" s="45">
        <v>2.9000000000000001E-2</v>
      </c>
      <c r="K24" s="1">
        <f t="shared" si="0"/>
        <v>1.5309999999999999</v>
      </c>
      <c r="L24" s="1">
        <f t="shared" si="1"/>
        <v>0.76549999999999996</v>
      </c>
    </row>
    <row r="25" spans="1:12" x14ac:dyDescent="0.2">
      <c r="A25" s="45">
        <v>1.2070000000000001</v>
      </c>
      <c r="B25" s="45" t="s">
        <v>231</v>
      </c>
      <c r="C25" s="45">
        <v>0.39500000000000002</v>
      </c>
      <c r="D25" s="45">
        <v>9.2999999999999999E-2</v>
      </c>
      <c r="E25" s="45">
        <v>0.28799999999999998</v>
      </c>
      <c r="F25" s="45">
        <v>0.79900000000000004</v>
      </c>
      <c r="G25" s="45">
        <v>0.18</v>
      </c>
      <c r="H25" s="45" t="s">
        <v>231</v>
      </c>
      <c r="I25" s="45">
        <v>0.04</v>
      </c>
      <c r="K25" s="1">
        <f t="shared" si="0"/>
        <v>1.7950000000000002</v>
      </c>
      <c r="L25" s="1">
        <f t="shared" si="1"/>
        <v>0.89750000000000008</v>
      </c>
    </row>
    <row r="26" spans="1:12" x14ac:dyDescent="0.2">
      <c r="A26" s="45">
        <v>1.1479999999999999</v>
      </c>
      <c r="B26" s="45" t="s">
        <v>231</v>
      </c>
      <c r="C26" s="45">
        <v>0.45200000000000001</v>
      </c>
      <c r="D26" s="45">
        <v>0.13</v>
      </c>
      <c r="E26" s="45">
        <v>0.33700000000000002</v>
      </c>
      <c r="F26" s="45">
        <v>1.1419999999999999</v>
      </c>
      <c r="G26" s="45">
        <v>0.105</v>
      </c>
      <c r="H26" s="45" t="s">
        <v>231</v>
      </c>
      <c r="I26" s="45">
        <v>5.3999999999999999E-2</v>
      </c>
      <c r="K26" s="1">
        <f t="shared" si="0"/>
        <v>2.2199999999999998</v>
      </c>
      <c r="L26" s="1">
        <f t="shared" si="1"/>
        <v>1.1099999999999999</v>
      </c>
    </row>
    <row r="27" spans="1:12" x14ac:dyDescent="0.2">
      <c r="A27" s="45">
        <v>1.131</v>
      </c>
      <c r="B27" s="45" t="s">
        <v>231</v>
      </c>
      <c r="C27" s="45">
        <v>0.438</v>
      </c>
      <c r="D27" s="45">
        <v>0.14099999999999999</v>
      </c>
      <c r="E27" s="45">
        <v>0.31900000000000001</v>
      </c>
      <c r="F27" s="45">
        <v>1.167</v>
      </c>
      <c r="G27" s="45">
        <v>0.216</v>
      </c>
      <c r="H27" s="45" t="s">
        <v>231</v>
      </c>
      <c r="I27" s="45">
        <v>6.6000000000000003E-2</v>
      </c>
      <c r="K27" s="1">
        <f t="shared" si="0"/>
        <v>2.347</v>
      </c>
      <c r="L27" s="1">
        <f t="shared" si="1"/>
        <v>1.1735</v>
      </c>
    </row>
    <row r="28" spans="1:12" x14ac:dyDescent="0.2">
      <c r="A28" s="45">
        <v>1.1659999999999999</v>
      </c>
      <c r="B28" s="45" t="s">
        <v>231</v>
      </c>
      <c r="C28" s="45">
        <v>0.47099999999999997</v>
      </c>
      <c r="D28" s="45">
        <v>0.16</v>
      </c>
      <c r="E28" s="45">
        <v>0.35099999999999998</v>
      </c>
      <c r="F28" s="45">
        <v>1.3680000000000001</v>
      </c>
      <c r="G28" s="45">
        <v>0.104</v>
      </c>
      <c r="H28" s="45" t="s">
        <v>231</v>
      </c>
      <c r="I28" s="45">
        <v>6.6000000000000003E-2</v>
      </c>
      <c r="K28" s="1">
        <f t="shared" si="0"/>
        <v>2.52</v>
      </c>
      <c r="L28" s="1">
        <f t="shared" si="1"/>
        <v>1.26</v>
      </c>
    </row>
    <row r="29" spans="1:12" x14ac:dyDescent="0.2">
      <c r="A29" s="45">
        <v>1.248</v>
      </c>
      <c r="B29" s="45" t="s">
        <v>231</v>
      </c>
      <c r="C29" s="45">
        <v>0.45100000000000001</v>
      </c>
      <c r="D29" s="45">
        <v>0.17299999999999999</v>
      </c>
      <c r="E29" s="45">
        <v>0.34599999999999997</v>
      </c>
      <c r="F29" s="45">
        <v>1.206</v>
      </c>
      <c r="G29" s="45">
        <v>0.16600000000000001</v>
      </c>
      <c r="H29" s="45" t="s">
        <v>231</v>
      </c>
      <c r="I29" s="45">
        <v>7.2999999999999995E-2</v>
      </c>
      <c r="K29" s="1">
        <f t="shared" si="0"/>
        <v>2.415</v>
      </c>
      <c r="L29" s="1">
        <f t="shared" si="1"/>
        <v>1.2075</v>
      </c>
    </row>
    <row r="30" spans="1:12" x14ac:dyDescent="0.2">
      <c r="A30" s="45">
        <v>1.0760000000000001</v>
      </c>
      <c r="B30" s="45" t="s">
        <v>231</v>
      </c>
      <c r="C30" s="45">
        <v>0.55700000000000005</v>
      </c>
      <c r="D30" s="45">
        <v>0.23400000000000001</v>
      </c>
      <c r="E30" s="45">
        <v>0.39500000000000002</v>
      </c>
      <c r="F30" s="45">
        <v>1.8480000000000001</v>
      </c>
      <c r="G30" s="45">
        <v>0.106</v>
      </c>
      <c r="H30" s="45" t="s">
        <v>231</v>
      </c>
      <c r="I30" s="45">
        <v>0.08</v>
      </c>
      <c r="K30" s="1">
        <f t="shared" si="0"/>
        <v>3.2199999999999998</v>
      </c>
      <c r="L30" s="1">
        <f t="shared" si="1"/>
        <v>1.6099999999999999</v>
      </c>
    </row>
    <row r="31" spans="1:12" x14ac:dyDescent="0.2">
      <c r="A31" s="45">
        <v>1.0069999999999999</v>
      </c>
      <c r="B31" s="45" t="s">
        <v>231</v>
      </c>
      <c r="C31" s="45">
        <v>0.40100000000000002</v>
      </c>
      <c r="D31" s="45">
        <v>0.153</v>
      </c>
      <c r="E31" s="45">
        <v>0.32</v>
      </c>
      <c r="F31" s="45">
        <v>1.0269999999999999</v>
      </c>
      <c r="G31" s="45">
        <v>0.13</v>
      </c>
      <c r="H31" s="45" t="s">
        <v>231</v>
      </c>
      <c r="I31" s="45">
        <v>6.5000000000000002E-2</v>
      </c>
      <c r="K31" s="1">
        <f t="shared" si="0"/>
        <v>2.0960000000000001</v>
      </c>
      <c r="L31" s="1">
        <f t="shared" si="1"/>
        <v>1.048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9D8-83B0-4D34-AAD5-AA6276D8F493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EBB-9C2F-4032-BE06-F878C0CC634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2025-01-30T20:01:08Z</dcterms:created>
  <dcterms:modified xsi:type="dcterms:W3CDTF">2025-02-26T19:31:09Z</dcterms:modified>
</cp:coreProperties>
</file>