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threeYeast/2024_PPI_threeYeast/Experiments/Biostat2L/Biostat2L_23/HPLC/"/>
    </mc:Choice>
  </mc:AlternateContent>
  <xr:revisionPtr revIDLastSave="0" documentId="8_{CA1FC520-7BC7-0340-A027-431B5FABD1D9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ummary Export864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" i="1" l="1"/>
  <c r="P39" i="1"/>
  <c r="N38" i="1"/>
  <c r="O31" i="1"/>
  <c r="P30" i="1"/>
  <c r="N29" i="1"/>
  <c r="O10" i="1"/>
  <c r="P9" i="1"/>
  <c r="N8" i="1"/>
</calcChain>
</file>

<file path=xl/sharedStrings.xml><?xml version="1.0" encoding="utf-8"?>
<sst xmlns="http://schemas.openxmlformats.org/spreadsheetml/2006/main" count="321" uniqueCount="59">
  <si>
    <t>#</t>
  </si>
  <si>
    <t xml:space="preserve">Sample Set Summary March08 </t>
  </si>
  <si>
    <t>Project Name:    Genaral2021_Aug</t>
  </si>
  <si>
    <t>Reported by User:    System</t>
  </si>
  <si>
    <t>Sample Set Name 241106_SloHot_Jeff</t>
  </si>
  <si>
    <t>Sample Set Start Date 11/7/2024 11:01:10 AM PST</t>
  </si>
  <si>
    <t>Sample Set Finish Date 11/8/2024 12:32:20 AM PST</t>
  </si>
  <si>
    <t>Component Summary For Amount</t>
  </si>
  <si>
    <t>SampleName</t>
  </si>
  <si>
    <t>trehalose</t>
  </si>
  <si>
    <t>Citric Acid</t>
  </si>
  <si>
    <t>Glucose</t>
  </si>
  <si>
    <t>Xylose</t>
  </si>
  <si>
    <t>Erythritol</t>
  </si>
  <si>
    <t>Lactic Acid</t>
  </si>
  <si>
    <t>Glycerol</t>
  </si>
  <si>
    <t>Acetic Acid</t>
  </si>
  <si>
    <t>Jef_SloHot50_Glucose(0.494817Ck1</t>
  </si>
  <si>
    <t xml:space="preserve"> </t>
  </si>
  <si>
    <t>Jeff_SloHot50_Citric(1.0125) Ck1</t>
  </si>
  <si>
    <t>Jeff_SloHot50_3HP Ck1</t>
  </si>
  <si>
    <t>Jeff_SloHot50_Biostat 2L-22-1</t>
  </si>
  <si>
    <t>Jeff_SloHot50_Biostat 2L-22-2</t>
  </si>
  <si>
    <t>Jeff_SloHot50_Biostat 2L-22-3</t>
  </si>
  <si>
    <t>Jeff_SloHot50_Biostat 2L-22-4</t>
  </si>
  <si>
    <t>Jeff_SloHot50_Biostat 2L-22-5</t>
  </si>
  <si>
    <t>Jeff_SloHot50_Biostat 2L-22-6</t>
  </si>
  <si>
    <t>Jeff_SloHot50_Biostat 2L-22-7</t>
  </si>
  <si>
    <t>Jeff_SloHot50_Biostat 2L-22-8</t>
  </si>
  <si>
    <t>Jeff_SloHot50_Biostat 2L-22-9</t>
  </si>
  <si>
    <t>Jeff_SloHot50_Biostat 2L-22-10</t>
  </si>
  <si>
    <t>Jeff_SloHot50_Biostat 2L-22-11</t>
  </si>
  <si>
    <t>Jeff_SloHot50_Biostat 2L-22-12</t>
  </si>
  <si>
    <t>Jeff_SloHot50_Biostat 2L-22-13</t>
  </si>
  <si>
    <t>Jeff_SloHot50_Biostat 2L-22-14</t>
  </si>
  <si>
    <t>Jeff_SloHot50_Biostat 2L-22-15</t>
  </si>
  <si>
    <t>Jeff_SloHot50_Biostat 2L-22-16</t>
  </si>
  <si>
    <t>Jeff_SloHot50_Biostat 2L-22-17</t>
  </si>
  <si>
    <t>Jeff_SloHot50_Biostat 2L-22-18</t>
  </si>
  <si>
    <t>Jef_SloHot50_Glucose(0.494817Ck2</t>
  </si>
  <si>
    <t>Jeff_SloHot50_Citric(1.0125) Ck2</t>
  </si>
  <si>
    <t>Jeff_SloHot50_3HP Ck2</t>
  </si>
  <si>
    <t>Jeff_SloHot50_Biostat 2L-23-1</t>
  </si>
  <si>
    <t>Jeff_SloHot50_Biostat 2L-23-2</t>
  </si>
  <si>
    <t>Jeff_SloHot50_Biostat 2L-23-3</t>
  </si>
  <si>
    <t>Jeff_SloHot50_Biostat 2L-23-4</t>
  </si>
  <si>
    <t>Jeff_SloHot50_Biostat 2L-23-5</t>
  </si>
  <si>
    <t>Jeff_SloHot50_Biostat 2L-23-6</t>
  </si>
  <si>
    <t>Jef_SloHot50_Glucose(0.494817Ck3</t>
  </si>
  <si>
    <t>Jeff_SloHot50_Citric(1.0125) Ck3</t>
  </si>
  <si>
    <t>Jeff_SloHot50_3HP Ck3</t>
  </si>
  <si>
    <t>results in wt %</t>
  </si>
  <si>
    <t>results in g/L</t>
  </si>
  <si>
    <t>RI Detector</t>
  </si>
  <si>
    <t>Ethanol</t>
  </si>
  <si>
    <t>3-Hydroxy-propionic Acid</t>
  </si>
  <si>
    <t>Check solutions</t>
  </si>
  <si>
    <t xml:space="preserve">glucose </t>
  </si>
  <si>
    <t>3HP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</si>
</sst>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34" borderId="10" xfId="0" applyFill="1" applyBorder="1"/>
    <xf numFmtId="0" fontId="0" fillId="0" borderId="10" xfId="0" applyBorder="1" applyAlignment="1">
      <alignment wrapText="1"/>
    </xf>
    <xf numFmtId="1" fontId="0" fillId="0" borderId="10" xfId="0" applyNumberFormat="1" applyBorder="1"/>
    <xf numFmtId="1" fontId="0" fillId="0" borderId="0" xfId="0" applyNumberFormat="1"/>
    <xf numFmtId="0" fontId="0" fillId="33" borderId="11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0" fillId="33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2" max="2" width="35.83203125" customWidth="1"/>
    <col min="12" max="12" width="13.5" customWidth="1"/>
  </cols>
  <sheetData>
    <row r="1" spans="1:16" x14ac:dyDescent="0.2">
      <c r="A1" t="s">
        <v>0</v>
      </c>
      <c r="B1" t="s">
        <v>1</v>
      </c>
    </row>
    <row r="2" spans="1:16" x14ac:dyDescent="0.2">
      <c r="A2" t="s">
        <v>2</v>
      </c>
      <c r="B2" t="s">
        <v>3</v>
      </c>
    </row>
    <row r="3" spans="1:16" x14ac:dyDescent="0.2">
      <c r="A3" t="s">
        <v>4</v>
      </c>
      <c r="N3" t="s">
        <v>56</v>
      </c>
    </row>
    <row r="4" spans="1:16" x14ac:dyDescent="0.2">
      <c r="A4" t="s">
        <v>5</v>
      </c>
      <c r="N4" s="1" t="s">
        <v>57</v>
      </c>
      <c r="O4" s="1" t="s">
        <v>58</v>
      </c>
      <c r="P4" s="1" t="s">
        <v>10</v>
      </c>
    </row>
    <row r="5" spans="1:16" x14ac:dyDescent="0.2">
      <c r="A5" t="s">
        <v>6</v>
      </c>
      <c r="C5" s="6" t="s">
        <v>51</v>
      </c>
      <c r="D5" s="7"/>
      <c r="E5" s="7"/>
      <c r="F5" s="7"/>
      <c r="G5" s="7"/>
      <c r="H5" s="7"/>
      <c r="I5" s="7"/>
      <c r="J5" s="7"/>
      <c r="K5" s="8"/>
      <c r="L5" s="2" t="s">
        <v>52</v>
      </c>
      <c r="N5" s="1">
        <v>0.49481700000000001</v>
      </c>
      <c r="O5" s="1">
        <v>0.85260000000000002</v>
      </c>
      <c r="P5" s="1">
        <v>1.0125</v>
      </c>
    </row>
    <row r="6" spans="1:16" x14ac:dyDescent="0.2">
      <c r="A6" t="s">
        <v>7</v>
      </c>
      <c r="C6" s="9" t="s">
        <v>53</v>
      </c>
      <c r="D6" s="9"/>
      <c r="E6" s="9"/>
      <c r="F6" s="9"/>
      <c r="G6" s="9"/>
      <c r="H6" s="9"/>
      <c r="I6" s="9"/>
      <c r="J6" s="9"/>
      <c r="K6" s="9"/>
      <c r="L6" s="9"/>
    </row>
    <row r="7" spans="1:16" ht="32" x14ac:dyDescent="0.2">
      <c r="A7" s="1" t="s">
        <v>0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54</v>
      </c>
      <c r="L7" s="3" t="s">
        <v>55</v>
      </c>
    </row>
    <row r="8" spans="1:16" x14ac:dyDescent="0.2">
      <c r="A8" s="1">
        <v>1</v>
      </c>
      <c r="B8" s="1" t="s">
        <v>17</v>
      </c>
      <c r="C8" s="1" t="s">
        <v>18</v>
      </c>
      <c r="D8" s="1" t="s">
        <v>18</v>
      </c>
      <c r="E8" s="1">
        <v>0.50883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 s="1" t="s">
        <v>18</v>
      </c>
      <c r="L8" s="1" t="s">
        <v>18</v>
      </c>
      <c r="N8" s="4">
        <f>E8/$N$5*100</f>
        <v>102.83195605648147</v>
      </c>
      <c r="O8" s="5"/>
      <c r="P8" s="5"/>
    </row>
    <row r="9" spans="1:16" x14ac:dyDescent="0.2">
      <c r="A9" s="1">
        <v>2</v>
      </c>
      <c r="B9" s="1" t="s">
        <v>19</v>
      </c>
      <c r="C9" s="1" t="s">
        <v>18</v>
      </c>
      <c r="D9" s="1">
        <v>1.0205900000000001</v>
      </c>
      <c r="E9" s="1" t="s">
        <v>18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 s="1" t="s">
        <v>18</v>
      </c>
      <c r="L9" s="1" t="s">
        <v>18</v>
      </c>
      <c r="N9" s="5"/>
      <c r="O9" s="5"/>
      <c r="P9" s="4">
        <f>D9/$P$5*100</f>
        <v>100.79901234567903</v>
      </c>
    </row>
    <row r="10" spans="1:16" x14ac:dyDescent="0.2">
      <c r="A10" s="1">
        <v>3</v>
      </c>
      <c r="B10" s="1" t="s">
        <v>20</v>
      </c>
      <c r="C10" s="1" t="s">
        <v>18</v>
      </c>
      <c r="D10" s="1" t="s">
        <v>18</v>
      </c>
      <c r="E10" s="1" t="s">
        <v>18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18</v>
      </c>
      <c r="K10" s="1" t="s">
        <v>18</v>
      </c>
      <c r="L10" s="1">
        <v>0.80928</v>
      </c>
      <c r="N10" s="5"/>
      <c r="O10" s="4">
        <f>L10/$O$5*100</f>
        <v>94.919071076706544</v>
      </c>
      <c r="P10" s="5"/>
    </row>
    <row r="11" spans="1:16" x14ac:dyDescent="0.2">
      <c r="A11" s="1">
        <v>4</v>
      </c>
      <c r="B11" s="1" t="s">
        <v>21</v>
      </c>
      <c r="C11" s="1" t="s">
        <v>18</v>
      </c>
      <c r="D11" s="1" t="s">
        <v>18</v>
      </c>
      <c r="E11" s="1">
        <v>9.94374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  <c r="K11" s="1" t="s">
        <v>18</v>
      </c>
      <c r="L11" s="1" t="s">
        <v>18</v>
      </c>
    </row>
    <row r="12" spans="1:16" x14ac:dyDescent="0.2">
      <c r="A12" s="1">
        <v>5</v>
      </c>
      <c r="B12" s="1" t="s">
        <v>22</v>
      </c>
      <c r="C12" s="1" t="s">
        <v>18</v>
      </c>
      <c r="D12" s="1" t="s">
        <v>18</v>
      </c>
      <c r="E12" s="1">
        <v>9.9393100000000008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  <c r="K12" s="1" t="s">
        <v>18</v>
      </c>
      <c r="L12" s="1" t="s">
        <v>18</v>
      </c>
    </row>
    <row r="13" spans="1:16" x14ac:dyDescent="0.2">
      <c r="A13" s="1">
        <v>6</v>
      </c>
      <c r="B13" s="1" t="s">
        <v>23</v>
      </c>
      <c r="C13" s="1">
        <v>1.585E-2</v>
      </c>
      <c r="D13" s="1" t="s">
        <v>18</v>
      </c>
      <c r="E13" s="1">
        <v>8.9716000000000005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18</v>
      </c>
      <c r="K13" s="1" t="s">
        <v>18</v>
      </c>
      <c r="L13" s="1" t="s">
        <v>18</v>
      </c>
    </row>
    <row r="14" spans="1:16" x14ac:dyDescent="0.2">
      <c r="A14" s="1">
        <v>7</v>
      </c>
      <c r="B14" s="1" t="s">
        <v>24</v>
      </c>
      <c r="C14" s="1">
        <v>9.2499999999999995E-3</v>
      </c>
      <c r="D14" s="1" t="s">
        <v>18</v>
      </c>
      <c r="E14" s="1">
        <v>9.8614800000000002</v>
      </c>
      <c r="F14" s="1" t="s">
        <v>18</v>
      </c>
      <c r="G14" s="1" t="s">
        <v>18</v>
      </c>
      <c r="H14" s="1" t="s">
        <v>18</v>
      </c>
      <c r="I14" s="1" t="s">
        <v>18</v>
      </c>
      <c r="J14" s="1" t="s">
        <v>18</v>
      </c>
      <c r="K14" s="1" t="s">
        <v>18</v>
      </c>
      <c r="L14" s="1" t="s">
        <v>18</v>
      </c>
    </row>
    <row r="15" spans="1:16" x14ac:dyDescent="0.2">
      <c r="A15" s="1">
        <v>8</v>
      </c>
      <c r="B15" s="1" t="s">
        <v>25</v>
      </c>
      <c r="C15" s="1">
        <v>2.7820000000000001E-2</v>
      </c>
      <c r="D15" s="1">
        <v>2.5000000000000001E-2</v>
      </c>
      <c r="E15" s="1">
        <v>8.6679300000000001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18</v>
      </c>
      <c r="K15" s="1" t="s">
        <v>18</v>
      </c>
      <c r="L15" s="1" t="s">
        <v>18</v>
      </c>
    </row>
    <row r="16" spans="1:16" x14ac:dyDescent="0.2">
      <c r="A16" s="1">
        <v>9</v>
      </c>
      <c r="B16" s="1" t="s">
        <v>26</v>
      </c>
      <c r="C16" s="1">
        <v>1.3259999999999999E-2</v>
      </c>
      <c r="D16" s="1" t="s">
        <v>18</v>
      </c>
      <c r="E16" s="1">
        <v>9.6959800000000005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18</v>
      </c>
      <c r="K16" s="1" t="s">
        <v>18</v>
      </c>
      <c r="L16" s="1" t="s">
        <v>18</v>
      </c>
    </row>
    <row r="17" spans="1:16" x14ac:dyDescent="0.2">
      <c r="A17" s="1">
        <v>10</v>
      </c>
      <c r="B17" s="1" t="s">
        <v>27</v>
      </c>
      <c r="C17" s="1">
        <v>2.7900000000000001E-2</v>
      </c>
      <c r="D17" s="1">
        <v>0.12189</v>
      </c>
      <c r="E17" s="1">
        <v>8.2517600000000009</v>
      </c>
      <c r="F17" s="1" t="s">
        <v>18</v>
      </c>
      <c r="G17" s="1" t="s">
        <v>18</v>
      </c>
      <c r="H17" s="1" t="s">
        <v>18</v>
      </c>
      <c r="I17" s="1" t="s">
        <v>18</v>
      </c>
      <c r="J17" s="1" t="s">
        <v>18</v>
      </c>
      <c r="K17" s="1" t="s">
        <v>18</v>
      </c>
      <c r="L17" s="1" t="s">
        <v>18</v>
      </c>
    </row>
    <row r="18" spans="1:16" x14ac:dyDescent="0.2">
      <c r="A18" s="1">
        <v>11</v>
      </c>
      <c r="B18" s="1" t="s">
        <v>28</v>
      </c>
      <c r="C18" s="1">
        <v>2.085E-2</v>
      </c>
      <c r="D18" s="1" t="s">
        <v>18</v>
      </c>
      <c r="E18" s="1">
        <v>9.4529200000000007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18</v>
      </c>
      <c r="K18" s="1" t="s">
        <v>18</v>
      </c>
      <c r="L18" s="1" t="s">
        <v>18</v>
      </c>
    </row>
    <row r="19" spans="1:16" x14ac:dyDescent="0.2">
      <c r="A19" s="1">
        <v>12</v>
      </c>
      <c r="B19" s="1" t="s">
        <v>29</v>
      </c>
      <c r="C19" s="1">
        <v>2.9960000000000001E-2</v>
      </c>
      <c r="D19" s="1">
        <v>0.55422000000000005</v>
      </c>
      <c r="E19" s="1">
        <v>7.3547700000000003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 s="1" t="s">
        <v>18</v>
      </c>
      <c r="L19" s="1" t="s">
        <v>18</v>
      </c>
    </row>
    <row r="20" spans="1:16" x14ac:dyDescent="0.2">
      <c r="A20" s="1">
        <v>13</v>
      </c>
      <c r="B20" s="1" t="s">
        <v>30</v>
      </c>
      <c r="C20" s="1">
        <v>2.7869999999999999E-2</v>
      </c>
      <c r="D20" s="1">
        <v>3.014E-2</v>
      </c>
      <c r="E20" s="1">
        <v>8.5330700000000004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18</v>
      </c>
      <c r="K20" s="1" t="s">
        <v>18</v>
      </c>
      <c r="L20" s="1" t="s">
        <v>18</v>
      </c>
    </row>
    <row r="21" spans="1:16" x14ac:dyDescent="0.2">
      <c r="A21" s="1">
        <v>14</v>
      </c>
      <c r="B21" s="1" t="s">
        <v>31</v>
      </c>
      <c r="C21" s="1">
        <v>3.1280000000000002E-2</v>
      </c>
      <c r="D21" s="1">
        <v>0.81966000000000006</v>
      </c>
      <c r="E21" s="1">
        <v>6.8884800000000004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 s="1" t="s">
        <v>18</v>
      </c>
      <c r="L21" s="1" t="s">
        <v>18</v>
      </c>
    </row>
    <row r="22" spans="1:16" x14ac:dyDescent="0.2">
      <c r="A22" s="1">
        <v>15</v>
      </c>
      <c r="B22" s="1" t="s">
        <v>32</v>
      </c>
      <c r="C22" s="1">
        <v>2.8660000000000001E-2</v>
      </c>
      <c r="D22" s="1">
        <v>0.14152999999999999</v>
      </c>
      <c r="E22" s="1">
        <v>8.0579000000000001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18</v>
      </c>
      <c r="K22" s="1" t="s">
        <v>18</v>
      </c>
      <c r="L22" s="1" t="s">
        <v>18</v>
      </c>
    </row>
    <row r="23" spans="1:16" x14ac:dyDescent="0.2">
      <c r="A23" s="1">
        <v>16</v>
      </c>
      <c r="B23" s="1" t="s">
        <v>33</v>
      </c>
      <c r="C23" s="1">
        <v>3.6560000000000002E-2</v>
      </c>
      <c r="D23" s="1">
        <v>1.3469599999999999</v>
      </c>
      <c r="E23" s="1">
        <v>5.9727399999999999</v>
      </c>
      <c r="F23" s="1" t="s">
        <v>18</v>
      </c>
      <c r="G23" s="1" t="s">
        <v>18</v>
      </c>
      <c r="H23" s="1" t="s">
        <v>18</v>
      </c>
      <c r="I23" s="1" t="s">
        <v>18</v>
      </c>
      <c r="J23" s="1" t="s">
        <v>18</v>
      </c>
      <c r="K23" s="1" t="s">
        <v>18</v>
      </c>
      <c r="L23" s="1" t="s">
        <v>18</v>
      </c>
    </row>
    <row r="24" spans="1:16" x14ac:dyDescent="0.2">
      <c r="A24" s="1">
        <v>17</v>
      </c>
      <c r="B24" s="1" t="s">
        <v>34</v>
      </c>
      <c r="C24" s="1">
        <v>3.3250000000000002E-2</v>
      </c>
      <c r="D24" s="1">
        <v>0.56499999999999995</v>
      </c>
      <c r="E24" s="1">
        <v>7.1642099999999997</v>
      </c>
      <c r="F24" s="1" t="s">
        <v>18</v>
      </c>
      <c r="G24" s="1" t="s">
        <v>18</v>
      </c>
      <c r="H24" s="1" t="s">
        <v>18</v>
      </c>
      <c r="I24" s="1" t="s">
        <v>18</v>
      </c>
      <c r="J24" s="1" t="s">
        <v>18</v>
      </c>
      <c r="K24" s="1" t="s">
        <v>18</v>
      </c>
      <c r="L24" s="1" t="s">
        <v>18</v>
      </c>
    </row>
    <row r="25" spans="1:16" x14ac:dyDescent="0.2">
      <c r="A25" s="1">
        <v>18</v>
      </c>
      <c r="B25" s="1" t="s">
        <v>35</v>
      </c>
      <c r="C25" s="1">
        <v>4.0590000000000001E-2</v>
      </c>
      <c r="D25" s="1">
        <v>1.6271500000000001</v>
      </c>
      <c r="E25" s="1">
        <v>5.56637</v>
      </c>
      <c r="F25" s="1" t="s">
        <v>18</v>
      </c>
      <c r="G25" s="1" t="s">
        <v>18</v>
      </c>
      <c r="H25" s="1" t="s">
        <v>18</v>
      </c>
      <c r="I25" s="1" t="s">
        <v>18</v>
      </c>
      <c r="J25" s="1" t="s">
        <v>18</v>
      </c>
      <c r="K25" s="1" t="s">
        <v>18</v>
      </c>
      <c r="L25" s="1" t="s">
        <v>18</v>
      </c>
    </row>
    <row r="26" spans="1:16" x14ac:dyDescent="0.2">
      <c r="A26" s="1">
        <v>19</v>
      </c>
      <c r="B26" s="1" t="s">
        <v>36</v>
      </c>
      <c r="C26" s="1">
        <v>3.6409999999999998E-2</v>
      </c>
      <c r="D26" s="1">
        <v>0.86907000000000001</v>
      </c>
      <c r="E26" s="1">
        <v>6.6324300000000003</v>
      </c>
      <c r="F26" s="1" t="s">
        <v>18</v>
      </c>
      <c r="G26" s="1" t="s">
        <v>18</v>
      </c>
      <c r="H26" s="1" t="s">
        <v>18</v>
      </c>
      <c r="I26" s="1" t="s">
        <v>18</v>
      </c>
      <c r="J26" s="1" t="s">
        <v>18</v>
      </c>
      <c r="K26" s="1" t="s">
        <v>18</v>
      </c>
      <c r="L26" s="1" t="s">
        <v>18</v>
      </c>
    </row>
    <row r="27" spans="1:16" x14ac:dyDescent="0.2">
      <c r="A27" s="1">
        <v>20</v>
      </c>
      <c r="B27" s="1" t="s">
        <v>37</v>
      </c>
      <c r="C27" s="1">
        <v>4.231E-2</v>
      </c>
      <c r="D27" s="1">
        <v>2.1609600000000002</v>
      </c>
      <c r="E27" s="1">
        <v>4.7194799999999999</v>
      </c>
      <c r="F27" s="1" t="s">
        <v>18</v>
      </c>
      <c r="G27" s="1" t="s">
        <v>18</v>
      </c>
      <c r="H27" s="1" t="s">
        <v>18</v>
      </c>
      <c r="I27" s="1" t="s">
        <v>18</v>
      </c>
      <c r="J27" s="1" t="s">
        <v>18</v>
      </c>
      <c r="K27" s="1" t="s">
        <v>18</v>
      </c>
      <c r="L27" s="1" t="s">
        <v>18</v>
      </c>
    </row>
    <row r="28" spans="1:16" x14ac:dyDescent="0.2">
      <c r="A28" s="1">
        <v>21</v>
      </c>
      <c r="B28" s="1" t="s">
        <v>38</v>
      </c>
      <c r="C28" s="1">
        <v>4.4549999999999999E-2</v>
      </c>
      <c r="D28" s="1">
        <v>1.5276000000000001</v>
      </c>
      <c r="E28" s="1">
        <v>5.6360200000000003</v>
      </c>
      <c r="F28" s="1" t="s">
        <v>18</v>
      </c>
      <c r="G28" s="1" t="s">
        <v>18</v>
      </c>
      <c r="H28" s="1" t="s">
        <v>18</v>
      </c>
      <c r="I28" s="1" t="s">
        <v>18</v>
      </c>
      <c r="J28" s="1" t="s">
        <v>18</v>
      </c>
      <c r="K28" s="1" t="s">
        <v>18</v>
      </c>
      <c r="L28" s="1" t="s">
        <v>18</v>
      </c>
    </row>
    <row r="29" spans="1:16" x14ac:dyDescent="0.2">
      <c r="A29" s="1">
        <v>22</v>
      </c>
      <c r="B29" s="1" t="s">
        <v>39</v>
      </c>
      <c r="C29" s="1" t="s">
        <v>18</v>
      </c>
      <c r="D29" s="1" t="s">
        <v>18</v>
      </c>
      <c r="E29" s="1">
        <v>0.51056000000000001</v>
      </c>
      <c r="F29" s="1" t="s">
        <v>18</v>
      </c>
      <c r="G29" s="1" t="s">
        <v>18</v>
      </c>
      <c r="H29" s="1" t="s">
        <v>18</v>
      </c>
      <c r="I29" s="1" t="s">
        <v>18</v>
      </c>
      <c r="J29" s="1" t="s">
        <v>18</v>
      </c>
      <c r="K29" s="1" t="s">
        <v>18</v>
      </c>
      <c r="L29" s="1" t="s">
        <v>18</v>
      </c>
      <c r="N29" s="4">
        <f>E29/$N$5*100</f>
        <v>103.18158026098538</v>
      </c>
      <c r="O29" s="5"/>
      <c r="P29" s="5"/>
    </row>
    <row r="30" spans="1:16" x14ac:dyDescent="0.2">
      <c r="A30" s="1">
        <v>23</v>
      </c>
      <c r="B30" s="1" t="s">
        <v>40</v>
      </c>
      <c r="C30" s="1" t="s">
        <v>18</v>
      </c>
      <c r="D30" s="1">
        <v>1.01213</v>
      </c>
      <c r="E30" s="1" t="s">
        <v>18</v>
      </c>
      <c r="F30" s="1" t="s">
        <v>18</v>
      </c>
      <c r="G30" s="1" t="s">
        <v>18</v>
      </c>
      <c r="H30" s="1" t="s">
        <v>18</v>
      </c>
      <c r="I30" s="1" t="s">
        <v>18</v>
      </c>
      <c r="J30" s="1" t="s">
        <v>18</v>
      </c>
      <c r="K30" s="1" t="s">
        <v>18</v>
      </c>
      <c r="L30" s="1" t="s">
        <v>18</v>
      </c>
      <c r="N30" s="5"/>
      <c r="O30" s="5"/>
      <c r="P30" s="4">
        <f>D30/$P$5*100</f>
        <v>99.963456790123459</v>
      </c>
    </row>
    <row r="31" spans="1:16" x14ac:dyDescent="0.2">
      <c r="A31" s="1">
        <v>24</v>
      </c>
      <c r="B31" s="1" t="s">
        <v>41</v>
      </c>
      <c r="C31" s="1" t="s">
        <v>18</v>
      </c>
      <c r="D31" s="1" t="s">
        <v>18</v>
      </c>
      <c r="E31" s="1" t="s">
        <v>18</v>
      </c>
      <c r="F31" s="1" t="s">
        <v>18</v>
      </c>
      <c r="G31" s="1" t="s">
        <v>18</v>
      </c>
      <c r="H31" s="1" t="s">
        <v>18</v>
      </c>
      <c r="I31" s="1" t="s">
        <v>18</v>
      </c>
      <c r="J31" s="1" t="s">
        <v>18</v>
      </c>
      <c r="K31" s="1" t="s">
        <v>18</v>
      </c>
      <c r="L31" s="1">
        <v>0.81701000000000001</v>
      </c>
      <c r="N31" s="5"/>
      <c r="O31" s="4">
        <f>L31/$O$5*100</f>
        <v>95.825709594182499</v>
      </c>
      <c r="P31" s="5"/>
    </row>
    <row r="32" spans="1:16" x14ac:dyDescent="0.2">
      <c r="A32" s="1">
        <v>25</v>
      </c>
      <c r="B32" s="1" t="s">
        <v>42</v>
      </c>
      <c r="C32" s="1">
        <v>8.4799999999999997E-3</v>
      </c>
      <c r="D32" s="1">
        <v>3.49E-3</v>
      </c>
      <c r="E32" s="1">
        <v>9.7911800000000007</v>
      </c>
      <c r="F32" s="1" t="s">
        <v>18</v>
      </c>
      <c r="G32" s="1" t="s">
        <v>18</v>
      </c>
      <c r="H32" s="1" t="s">
        <v>18</v>
      </c>
      <c r="I32" s="1" t="s">
        <v>18</v>
      </c>
      <c r="J32" s="1" t="s">
        <v>18</v>
      </c>
      <c r="K32" s="1" t="s">
        <v>18</v>
      </c>
      <c r="L32" s="1" t="s">
        <v>18</v>
      </c>
    </row>
    <row r="33" spans="1:16" x14ac:dyDescent="0.2">
      <c r="A33" s="1">
        <v>26</v>
      </c>
      <c r="B33" s="1" t="s">
        <v>43</v>
      </c>
      <c r="C33" s="1">
        <v>9.1699999999999993E-3</v>
      </c>
      <c r="D33" s="1">
        <v>3.8700000000000002E-3</v>
      </c>
      <c r="E33" s="1">
        <v>9.7506799999999991</v>
      </c>
      <c r="F33" s="1" t="s">
        <v>18</v>
      </c>
      <c r="G33" s="1" t="s">
        <v>18</v>
      </c>
      <c r="H33" s="1" t="s">
        <v>18</v>
      </c>
      <c r="I33" s="1" t="s">
        <v>18</v>
      </c>
      <c r="J33" s="1" t="s">
        <v>18</v>
      </c>
      <c r="K33" s="1" t="s">
        <v>18</v>
      </c>
      <c r="L33" s="1" t="s">
        <v>18</v>
      </c>
    </row>
    <row r="34" spans="1:16" x14ac:dyDescent="0.2">
      <c r="A34" s="1">
        <v>27</v>
      </c>
      <c r="B34" s="1" t="s">
        <v>44</v>
      </c>
      <c r="C34" s="1">
        <v>8.4499999999999992E-3</v>
      </c>
      <c r="D34" s="1" t="s">
        <v>18</v>
      </c>
      <c r="E34" s="1">
        <v>9.83995</v>
      </c>
      <c r="F34" s="1" t="s">
        <v>18</v>
      </c>
      <c r="G34" s="1" t="s">
        <v>18</v>
      </c>
      <c r="H34" s="1" t="s">
        <v>18</v>
      </c>
      <c r="I34" s="1" t="s">
        <v>18</v>
      </c>
      <c r="J34" s="1" t="s">
        <v>18</v>
      </c>
      <c r="K34" s="1" t="s">
        <v>18</v>
      </c>
      <c r="L34" s="1" t="s">
        <v>18</v>
      </c>
    </row>
    <row r="35" spans="1:16" x14ac:dyDescent="0.2">
      <c r="A35" s="1">
        <v>28</v>
      </c>
      <c r="B35" s="1" t="s">
        <v>45</v>
      </c>
      <c r="C35" s="1" t="s">
        <v>18</v>
      </c>
      <c r="D35" s="1" t="s">
        <v>18</v>
      </c>
      <c r="E35" s="1">
        <v>9.8340899999999998</v>
      </c>
      <c r="F35" s="1" t="s">
        <v>18</v>
      </c>
      <c r="G35" s="1" t="s">
        <v>18</v>
      </c>
      <c r="H35" s="1" t="s">
        <v>18</v>
      </c>
      <c r="I35" s="1" t="s">
        <v>18</v>
      </c>
      <c r="J35" s="1" t="s">
        <v>18</v>
      </c>
      <c r="K35" s="1" t="s">
        <v>18</v>
      </c>
      <c r="L35" s="1" t="s">
        <v>18</v>
      </c>
    </row>
    <row r="36" spans="1:16" x14ac:dyDescent="0.2">
      <c r="A36" s="1">
        <v>29</v>
      </c>
      <c r="B36" s="1" t="s">
        <v>46</v>
      </c>
      <c r="C36" s="1">
        <v>2.8060000000000002E-2</v>
      </c>
      <c r="D36" s="1">
        <v>5.79E-3</v>
      </c>
      <c r="E36" s="1">
        <v>8.6983099999999993</v>
      </c>
      <c r="F36" s="1" t="s">
        <v>18</v>
      </c>
      <c r="G36" s="1" t="s">
        <v>18</v>
      </c>
      <c r="H36" s="1" t="s">
        <v>18</v>
      </c>
      <c r="I36" s="1" t="s">
        <v>18</v>
      </c>
      <c r="J36" s="1" t="s">
        <v>18</v>
      </c>
      <c r="K36" s="1" t="s">
        <v>18</v>
      </c>
      <c r="L36" s="1" t="s">
        <v>18</v>
      </c>
    </row>
    <row r="37" spans="1:16" x14ac:dyDescent="0.2">
      <c r="A37" s="1">
        <v>30</v>
      </c>
      <c r="B37" s="1" t="s">
        <v>47</v>
      </c>
      <c r="C37" s="1">
        <v>2.52E-2</v>
      </c>
      <c r="D37" s="1" t="s">
        <v>18</v>
      </c>
      <c r="E37" s="1">
        <v>9.0180699999999998</v>
      </c>
      <c r="F37" s="1" t="s">
        <v>18</v>
      </c>
      <c r="G37" s="1" t="s">
        <v>18</v>
      </c>
      <c r="H37" s="1" t="s">
        <v>18</v>
      </c>
      <c r="I37" s="1" t="s">
        <v>18</v>
      </c>
      <c r="J37" s="1" t="s">
        <v>18</v>
      </c>
      <c r="K37" s="1" t="s">
        <v>18</v>
      </c>
      <c r="L37" s="1" t="s">
        <v>18</v>
      </c>
    </row>
    <row r="38" spans="1:16" x14ac:dyDescent="0.2">
      <c r="A38" s="1">
        <v>31</v>
      </c>
      <c r="B38" s="1" t="s">
        <v>48</v>
      </c>
      <c r="C38" s="1" t="s">
        <v>18</v>
      </c>
      <c r="D38" s="1" t="s">
        <v>18</v>
      </c>
      <c r="E38" s="1">
        <v>0.50914000000000004</v>
      </c>
      <c r="F38" s="1" t="s">
        <v>18</v>
      </c>
      <c r="G38" s="1" t="s">
        <v>18</v>
      </c>
      <c r="H38" s="1" t="s">
        <v>18</v>
      </c>
      <c r="I38" s="1" t="s">
        <v>18</v>
      </c>
      <c r="J38" s="1" t="s">
        <v>18</v>
      </c>
      <c r="K38" s="1" t="s">
        <v>18</v>
      </c>
      <c r="L38" s="1" t="s">
        <v>18</v>
      </c>
      <c r="N38" s="4">
        <f>E38/$N$5*100</f>
        <v>102.89460548040994</v>
      </c>
      <c r="O38" s="5"/>
      <c r="P38" s="5"/>
    </row>
    <row r="39" spans="1:16" x14ac:dyDescent="0.2">
      <c r="A39" s="1">
        <v>32</v>
      </c>
      <c r="B39" s="1" t="s">
        <v>49</v>
      </c>
      <c r="C39" s="1" t="s">
        <v>18</v>
      </c>
      <c r="D39" s="1">
        <v>1.01641</v>
      </c>
      <c r="E39" s="1" t="s">
        <v>18</v>
      </c>
      <c r="F39" s="1" t="s">
        <v>18</v>
      </c>
      <c r="G39" s="1" t="s">
        <v>18</v>
      </c>
      <c r="H39" s="1" t="s">
        <v>18</v>
      </c>
      <c r="I39" s="1" t="s">
        <v>18</v>
      </c>
      <c r="J39" s="1" t="s">
        <v>18</v>
      </c>
      <c r="K39" s="1" t="s">
        <v>18</v>
      </c>
      <c r="L39" s="1" t="s">
        <v>18</v>
      </c>
      <c r="N39" s="5"/>
      <c r="O39" s="5"/>
      <c r="P39" s="4">
        <f>D39/$P$5*100</f>
        <v>100.38617283950617</v>
      </c>
    </row>
    <row r="40" spans="1:16" x14ac:dyDescent="0.2">
      <c r="A40" s="1">
        <v>33</v>
      </c>
      <c r="B40" s="1" t="s">
        <v>50</v>
      </c>
      <c r="C40" s="1" t="s">
        <v>18</v>
      </c>
      <c r="D40" s="1" t="s">
        <v>18</v>
      </c>
      <c r="E40" s="1" t="s">
        <v>18</v>
      </c>
      <c r="F40" s="1" t="s">
        <v>18</v>
      </c>
      <c r="G40" s="1" t="s">
        <v>18</v>
      </c>
      <c r="H40" s="1" t="s">
        <v>18</v>
      </c>
      <c r="I40" s="1" t="s">
        <v>18</v>
      </c>
      <c r="J40" s="1" t="s">
        <v>18</v>
      </c>
      <c r="K40" s="1" t="s">
        <v>18</v>
      </c>
      <c r="L40" s="1">
        <v>0.81098000000000003</v>
      </c>
      <c r="N40" s="5"/>
      <c r="O40" s="4">
        <f>L40/$O$5*100</f>
        <v>95.118461177574474</v>
      </c>
      <c r="P40" s="5"/>
    </row>
  </sheetData>
  <mergeCells count="2">
    <mergeCell ref="C5:K5"/>
    <mergeCell ref="C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Export86426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Czajka, Jeffrey J</cp:lastModifiedBy>
  <dcterms:created xsi:type="dcterms:W3CDTF">2024-11-08T14:31:17Z</dcterms:created>
  <dcterms:modified xsi:type="dcterms:W3CDTF">2024-12-10T00:26:33Z</dcterms:modified>
</cp:coreProperties>
</file>