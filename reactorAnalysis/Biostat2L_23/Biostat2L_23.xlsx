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3/"/>
    </mc:Choice>
  </mc:AlternateContent>
  <xr:revisionPtr revIDLastSave="3" documentId="13_ncr:1_{6D25A826-1334-BC49-B241-CC279AA5487B}" xr6:coauthVersionLast="47" xr6:coauthVersionMax="47" xr10:uidLastSave="{B2DACA01-5F25-7547-9181-80390D240574}"/>
  <bookViews>
    <workbookView xWindow="0" yWindow="740" windowWidth="30240" windowHeight="18900" activeTab="5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9" r:id="rId6"/>
    <sheet name="FAMES" sheetId="10" r:id="rId7"/>
    <sheet name="questions" sheetId="7" r:id="rId8"/>
    <sheet name="seedCultureNotes" sheetId="8" r:id="rId9"/>
  </sheets>
  <definedNames>
    <definedName name="_xlnm._FilterDatabase" localSheetId="5" hidden="1">data!$A$13:$CL$67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8" i="9" l="1"/>
  <c r="AT17" i="9"/>
  <c r="AU18" i="9"/>
  <c r="AF16" i="9"/>
  <c r="AM16" i="9" l="1"/>
  <c r="AM15" i="9"/>
  <c r="AM14" i="9"/>
  <c r="AF15" i="9"/>
  <c r="AG15" i="9" s="1"/>
  <c r="AG16" i="9"/>
  <c r="AF17" i="9"/>
  <c r="AG17" i="9" s="1"/>
  <c r="AF18" i="9"/>
  <c r="AG18" i="9"/>
  <c r="AF19" i="9"/>
  <c r="AG19" i="9"/>
  <c r="AF20" i="9"/>
  <c r="AG20" i="9"/>
  <c r="AF21" i="9"/>
  <c r="AG21" i="9"/>
  <c r="AF22" i="9"/>
  <c r="AG22" i="9"/>
  <c r="AF23" i="9"/>
  <c r="AG23" i="9"/>
  <c r="AF24" i="9"/>
  <c r="AG24" i="9"/>
  <c r="AF25" i="9"/>
  <c r="AG25" i="9"/>
  <c r="AF26" i="9"/>
  <c r="AG26" i="9"/>
  <c r="AF27" i="9"/>
  <c r="AG27" i="9"/>
  <c r="AF28" i="9"/>
  <c r="AG28" i="9"/>
  <c r="AF29" i="9"/>
  <c r="AG29" i="9"/>
  <c r="AF30" i="9"/>
  <c r="AG30" i="9"/>
  <c r="AF31" i="9"/>
  <c r="AG31" i="9"/>
  <c r="AF32" i="9"/>
  <c r="AG32" i="9"/>
  <c r="AF34" i="9"/>
  <c r="AG34" i="9"/>
  <c r="AF35" i="9"/>
  <c r="AG35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4" i="9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5" i="10"/>
  <c r="L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L34" i="10" s="1"/>
  <c r="AE33" i="9" s="1"/>
  <c r="AF33" i="9" s="1"/>
  <c r="AG33" i="9" s="1"/>
  <c r="K35" i="10"/>
  <c r="K15" i="10"/>
  <c r="AT35" i="9"/>
  <c r="AU35" i="9" s="1"/>
  <c r="AR35" i="9"/>
  <c r="AP35" i="9"/>
  <c r="AQ35" i="9" s="1"/>
  <c r="AM35" i="9"/>
  <c r="AL35" i="9"/>
  <c r="AK35" i="9"/>
  <c r="AW35" i="9" s="1"/>
  <c r="AJ35" i="9"/>
  <c r="AI35" i="9"/>
  <c r="AT34" i="9"/>
  <c r="AU34" i="9" s="1"/>
  <c r="AR34" i="9"/>
  <c r="AS34" i="9" s="1"/>
  <c r="AP34" i="9"/>
  <c r="AQ34" i="9" s="1"/>
  <c r="AM34" i="9"/>
  <c r="AL34" i="9"/>
  <c r="AJ34" i="9"/>
  <c r="AI34" i="9"/>
  <c r="AK34" i="9" s="1"/>
  <c r="AW34" i="9" s="1"/>
  <c r="AT33" i="9"/>
  <c r="AU33" i="9" s="1"/>
  <c r="AR33" i="9"/>
  <c r="AS33" i="9" s="1"/>
  <c r="AQ33" i="9"/>
  <c r="AP33" i="9"/>
  <c r="AM33" i="9"/>
  <c r="AL33" i="9"/>
  <c r="AK33" i="9"/>
  <c r="AW33" i="9" s="1"/>
  <c r="AJ33" i="9"/>
  <c r="AI33" i="9"/>
  <c r="AT32" i="9"/>
  <c r="AU32" i="9" s="1"/>
  <c r="AR32" i="9"/>
  <c r="AP32" i="9"/>
  <c r="AQ32" i="9" s="1"/>
  <c r="AM32" i="9"/>
  <c r="AL32" i="9"/>
  <c r="AJ32" i="9"/>
  <c r="AI32" i="9"/>
  <c r="AK32" i="9" s="1"/>
  <c r="AW32" i="9" s="1"/>
  <c r="BD32" i="9"/>
  <c r="BE32" i="9"/>
  <c r="BF32" i="9"/>
  <c r="BG32" i="9"/>
  <c r="BH32" i="9"/>
  <c r="BI32" i="9"/>
  <c r="BJ32" i="9"/>
  <c r="BK32" i="9"/>
  <c r="BL32" i="9"/>
  <c r="BM32" i="9"/>
  <c r="BN32" i="9"/>
  <c r="BO32" i="9"/>
  <c r="BD33" i="9"/>
  <c r="BE33" i="9"/>
  <c r="BF33" i="9"/>
  <c r="BG33" i="9"/>
  <c r="BH33" i="9"/>
  <c r="BI33" i="9"/>
  <c r="BJ33" i="9"/>
  <c r="BK33" i="9"/>
  <c r="BL33" i="9"/>
  <c r="BM33" i="9"/>
  <c r="BN33" i="9"/>
  <c r="BO33" i="9"/>
  <c r="BD34" i="9"/>
  <c r="BE34" i="9"/>
  <c r="BU34" i="9" s="1"/>
  <c r="BF34" i="9"/>
  <c r="BG34" i="9"/>
  <c r="BH34" i="9"/>
  <c r="BI34" i="9"/>
  <c r="BJ34" i="9"/>
  <c r="BK34" i="9"/>
  <c r="BL34" i="9"/>
  <c r="BM34" i="9"/>
  <c r="BN34" i="9"/>
  <c r="BO34" i="9"/>
  <c r="BD35" i="9"/>
  <c r="BE35" i="9"/>
  <c r="BF35" i="9"/>
  <c r="BG35" i="9"/>
  <c r="BH35" i="9"/>
  <c r="BI35" i="9"/>
  <c r="BJ35" i="9"/>
  <c r="BK35" i="9"/>
  <c r="BL35" i="9"/>
  <c r="BM35" i="9"/>
  <c r="BN35" i="9"/>
  <c r="BO35" i="9"/>
  <c r="BD36" i="9"/>
  <c r="BE36" i="9"/>
  <c r="BF36" i="9"/>
  <c r="BG36" i="9"/>
  <c r="BH36" i="9"/>
  <c r="BI36" i="9"/>
  <c r="BJ36" i="9"/>
  <c r="BK36" i="9"/>
  <c r="BL36" i="9"/>
  <c r="BM36" i="9"/>
  <c r="BN36" i="9"/>
  <c r="BO36" i="9"/>
  <c r="BD37" i="9"/>
  <c r="BE37" i="9"/>
  <c r="BF37" i="9"/>
  <c r="BG37" i="9"/>
  <c r="BH37" i="9"/>
  <c r="BI37" i="9"/>
  <c r="BJ37" i="9"/>
  <c r="BK37" i="9"/>
  <c r="BL37" i="9"/>
  <c r="BM37" i="9"/>
  <c r="BN37" i="9"/>
  <c r="BO37" i="9"/>
  <c r="BD38" i="9"/>
  <c r="BE38" i="9"/>
  <c r="BF38" i="9"/>
  <c r="BG38" i="9"/>
  <c r="BH38" i="9"/>
  <c r="BI38" i="9"/>
  <c r="BJ38" i="9"/>
  <c r="BK38" i="9"/>
  <c r="BL38" i="9"/>
  <c r="BM38" i="9"/>
  <c r="BN38" i="9"/>
  <c r="BO38" i="9"/>
  <c r="AI31" i="9"/>
  <c r="U71" i="9"/>
  <c r="BU37" i="9"/>
  <c r="BU36" i="9"/>
  <c r="BU35" i="9"/>
  <c r="AC35" i="9"/>
  <c r="AB35" i="9"/>
  <c r="AC34" i="9"/>
  <c r="AB34" i="9"/>
  <c r="BU33" i="9"/>
  <c r="AC33" i="9"/>
  <c r="AB33" i="9"/>
  <c r="BU32" i="9"/>
  <c r="AB32" i="9"/>
  <c r="AC32" i="9" s="1"/>
  <c r="BS31" i="9"/>
  <c r="BO31" i="9"/>
  <c r="BN31" i="9"/>
  <c r="BM31" i="9"/>
  <c r="BL31" i="9"/>
  <c r="BK31" i="9"/>
  <c r="BJ31" i="9"/>
  <c r="BI31" i="9"/>
  <c r="BH31" i="9"/>
  <c r="BG31" i="9"/>
  <c r="BF31" i="9"/>
  <c r="BE31" i="9"/>
  <c r="BD31" i="9"/>
  <c r="AB31" i="9"/>
  <c r="AC31" i="9" s="1"/>
  <c r="BS30" i="9"/>
  <c r="BO30" i="9"/>
  <c r="BN30" i="9"/>
  <c r="BM30" i="9"/>
  <c r="BL30" i="9"/>
  <c r="BK30" i="9"/>
  <c r="BJ30" i="9"/>
  <c r="BI30" i="9"/>
  <c r="BH30" i="9"/>
  <c r="BG30" i="9"/>
  <c r="BF30" i="9"/>
  <c r="BE30" i="9"/>
  <c r="BU30" i="9" s="1"/>
  <c r="BD30" i="9"/>
  <c r="AB30" i="9"/>
  <c r="AC30" i="9" s="1"/>
  <c r="BS29" i="9"/>
  <c r="BQ29" i="9"/>
  <c r="BO29" i="9"/>
  <c r="BN29" i="9"/>
  <c r="BM29" i="9"/>
  <c r="BL29" i="9"/>
  <c r="BK29" i="9"/>
  <c r="BJ29" i="9"/>
  <c r="BI29" i="9"/>
  <c r="BH29" i="9"/>
  <c r="BG29" i="9"/>
  <c r="BF29" i="9"/>
  <c r="AP31" i="9" s="1"/>
  <c r="BE29" i="9"/>
  <c r="BU29" i="9" s="1"/>
  <c r="BD29" i="9"/>
  <c r="AP29" i="9"/>
  <c r="AB29" i="9"/>
  <c r="AC29" i="9" s="1"/>
  <c r="BU28" i="9"/>
  <c r="BS28" i="9"/>
  <c r="BQ28" i="9"/>
  <c r="BO28" i="9"/>
  <c r="BN28" i="9"/>
  <c r="BM28" i="9"/>
  <c r="BL28" i="9"/>
  <c r="BK28" i="9"/>
  <c r="BJ28" i="9"/>
  <c r="BI28" i="9"/>
  <c r="BH28" i="9"/>
  <c r="BG28" i="9"/>
  <c r="BF28" i="9"/>
  <c r="AP30" i="9" s="1"/>
  <c r="BD28" i="9"/>
  <c r="AC28" i="9"/>
  <c r="AB28" i="9"/>
  <c r="BU27" i="9"/>
  <c r="BS27" i="9"/>
  <c r="BQ27" i="9"/>
  <c r="BO27" i="9"/>
  <c r="BN27" i="9"/>
  <c r="BM27" i="9"/>
  <c r="BL27" i="9"/>
  <c r="BK27" i="9"/>
  <c r="BJ27" i="9"/>
  <c r="BI27" i="9"/>
  <c r="BH27" i="9"/>
  <c r="BG27" i="9"/>
  <c r="BF27" i="9"/>
  <c r="BE27" i="9"/>
  <c r="BD27" i="9"/>
  <c r="AB27" i="9"/>
  <c r="AC27" i="9" s="1"/>
  <c r="BU26" i="9"/>
  <c r="BS26" i="9"/>
  <c r="BQ26" i="9"/>
  <c r="BO26" i="9"/>
  <c r="BN26" i="9"/>
  <c r="BM26" i="9"/>
  <c r="BL26" i="9"/>
  <c r="BK26" i="9"/>
  <c r="BJ26" i="9"/>
  <c r="BI26" i="9"/>
  <c r="BH26" i="9"/>
  <c r="BG26" i="9"/>
  <c r="BF26" i="9"/>
  <c r="AP28" i="9" s="1"/>
  <c r="BE26" i="9"/>
  <c r="BD26" i="9"/>
  <c r="AB26" i="9"/>
  <c r="AC26" i="9" s="1"/>
  <c r="BS25" i="9"/>
  <c r="BQ25" i="9"/>
  <c r="BO25" i="9"/>
  <c r="BN25" i="9"/>
  <c r="BM25" i="9"/>
  <c r="BL25" i="9"/>
  <c r="BK25" i="9"/>
  <c r="BJ25" i="9"/>
  <c r="BI25" i="9"/>
  <c r="BH25" i="9"/>
  <c r="BG25" i="9"/>
  <c r="BF25" i="9"/>
  <c r="AP27" i="9" s="1"/>
  <c r="BE25" i="9"/>
  <c r="BU25" i="9" s="1"/>
  <c r="BD25" i="9"/>
  <c r="AP25" i="9"/>
  <c r="AB25" i="9"/>
  <c r="AC25" i="9" s="1"/>
  <c r="BS24" i="9"/>
  <c r="BQ24" i="9"/>
  <c r="BO24" i="9"/>
  <c r="BN24" i="9"/>
  <c r="BM24" i="9"/>
  <c r="BL24" i="9"/>
  <c r="BK24" i="9"/>
  <c r="BJ24" i="9"/>
  <c r="BI24" i="9"/>
  <c r="BH24" i="9"/>
  <c r="BG24" i="9"/>
  <c r="BF24" i="9"/>
  <c r="AP26" i="9" s="1"/>
  <c r="BE24" i="9"/>
  <c r="BU24" i="9" s="1"/>
  <c r="BD24" i="9"/>
  <c r="AC24" i="9"/>
  <c r="AB24" i="9"/>
  <c r="BU23" i="9"/>
  <c r="BS23" i="9"/>
  <c r="BQ23" i="9"/>
  <c r="BO23" i="9"/>
  <c r="BN23" i="9"/>
  <c r="BM23" i="9"/>
  <c r="BL23" i="9"/>
  <c r="BK23" i="9"/>
  <c r="BJ23" i="9"/>
  <c r="BI23" i="9"/>
  <c r="BH23" i="9"/>
  <c r="BG23" i="9"/>
  <c r="BF23" i="9"/>
  <c r="BE23" i="9"/>
  <c r="BD23" i="9"/>
  <c r="AP23" i="9"/>
  <c r="AB23" i="9"/>
  <c r="AC23" i="9" s="1"/>
  <c r="BS22" i="9"/>
  <c r="BQ22" i="9"/>
  <c r="BO22" i="9"/>
  <c r="BN22" i="9"/>
  <c r="BM22" i="9"/>
  <c r="BL22" i="9"/>
  <c r="BK22" i="9"/>
  <c r="BJ22" i="9"/>
  <c r="BI22" i="9"/>
  <c r="BH22" i="9"/>
  <c r="BG22" i="9"/>
  <c r="BF22" i="9"/>
  <c r="AP24" i="9" s="1"/>
  <c r="BE22" i="9"/>
  <c r="BU22" i="9" s="1"/>
  <c r="BD22" i="9"/>
  <c r="AC22" i="9"/>
  <c r="CD22" i="9" s="1"/>
  <c r="AB22" i="9"/>
  <c r="BU21" i="9"/>
  <c r="BS21" i="9"/>
  <c r="BQ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AC21" i="9"/>
  <c r="AB21" i="9"/>
  <c r="BS20" i="9"/>
  <c r="BQ20" i="9"/>
  <c r="BO20" i="9"/>
  <c r="BN20" i="9"/>
  <c r="BM20" i="9"/>
  <c r="BL20" i="9"/>
  <c r="BK20" i="9"/>
  <c r="BJ20" i="9"/>
  <c r="BI20" i="9"/>
  <c r="BH20" i="9"/>
  <c r="BG20" i="9"/>
  <c r="BF20" i="9"/>
  <c r="AP22" i="9" s="1"/>
  <c r="BE20" i="9"/>
  <c r="BD20" i="9"/>
  <c r="AB20" i="9"/>
  <c r="AC20" i="9" s="1"/>
  <c r="BS19" i="9"/>
  <c r="BQ19" i="9"/>
  <c r="BO19" i="9"/>
  <c r="BN19" i="9"/>
  <c r="BM19" i="9"/>
  <c r="BL19" i="9"/>
  <c r="BK19" i="9"/>
  <c r="BJ19" i="9"/>
  <c r="BI19" i="9"/>
  <c r="BH19" i="9"/>
  <c r="BG19" i="9"/>
  <c r="BF19" i="9"/>
  <c r="AP21" i="9" s="1"/>
  <c r="BE19" i="9"/>
  <c r="BU19" i="9" s="1"/>
  <c r="BD19" i="9"/>
  <c r="AB19" i="9"/>
  <c r="AC19" i="9" s="1"/>
  <c r="R19" i="9"/>
  <c r="R21" i="9" s="1"/>
  <c r="BS18" i="9"/>
  <c r="BQ18" i="9"/>
  <c r="BO18" i="9"/>
  <c r="BN18" i="9"/>
  <c r="BM18" i="9"/>
  <c r="BL18" i="9"/>
  <c r="BK18" i="9"/>
  <c r="BJ18" i="9"/>
  <c r="BI18" i="9"/>
  <c r="BH18" i="9"/>
  <c r="BG18" i="9"/>
  <c r="BF18" i="9"/>
  <c r="AP20" i="9" s="1"/>
  <c r="BE18" i="9"/>
  <c r="BU18" i="9" s="1"/>
  <c r="BD18" i="9"/>
  <c r="AI18" i="9"/>
  <c r="AC18" i="9"/>
  <c r="AM18" i="9" s="1"/>
  <c r="AB18" i="9"/>
  <c r="BS17" i="9"/>
  <c r="BQ17" i="9"/>
  <c r="BO17" i="9"/>
  <c r="BN17" i="9"/>
  <c r="BM17" i="9"/>
  <c r="BL17" i="9"/>
  <c r="BK17" i="9"/>
  <c r="BJ17" i="9"/>
  <c r="BI17" i="9"/>
  <c r="BH17" i="9"/>
  <c r="BG17" i="9"/>
  <c r="BF17" i="9"/>
  <c r="AP19" i="9" s="1"/>
  <c r="AQ19" i="9" s="1"/>
  <c r="BE17" i="9"/>
  <c r="BU17" i="9" s="1"/>
  <c r="BD17" i="9"/>
  <c r="AB17" i="9"/>
  <c r="AC17" i="9" s="1"/>
  <c r="R17" i="9"/>
  <c r="BS16" i="9"/>
  <c r="BQ16" i="9"/>
  <c r="BO16" i="9"/>
  <c r="BN16" i="9"/>
  <c r="BM16" i="9"/>
  <c r="BL16" i="9"/>
  <c r="BK16" i="9"/>
  <c r="BJ16" i="9"/>
  <c r="BI16" i="9"/>
  <c r="BH16" i="9"/>
  <c r="BG16" i="9"/>
  <c r="BF16" i="9"/>
  <c r="AP18" i="9" s="1"/>
  <c r="AQ18" i="9" s="1"/>
  <c r="BE16" i="9"/>
  <c r="BU16" i="9" s="1"/>
  <c r="BD16" i="9"/>
  <c r="AJ16" i="9"/>
  <c r="AC16" i="9"/>
  <c r="AB16" i="9"/>
  <c r="R16" i="9"/>
  <c r="R18" i="9" s="1"/>
  <c r="BS15" i="9"/>
  <c r="BQ15" i="9"/>
  <c r="BO15" i="9"/>
  <c r="BN15" i="9"/>
  <c r="BM15" i="9"/>
  <c r="BL15" i="9"/>
  <c r="BK15" i="9"/>
  <c r="BJ15" i="9"/>
  <c r="BI15" i="9"/>
  <c r="BH15" i="9"/>
  <c r="BG15" i="9"/>
  <c r="BF15" i="9"/>
  <c r="BE15" i="9"/>
  <c r="BU15" i="9" s="1"/>
  <c r="BD15" i="9"/>
  <c r="AC15" i="9"/>
  <c r="AB15" i="9"/>
  <c r="BS14" i="9"/>
  <c r="BQ14" i="9"/>
  <c r="BO14" i="9"/>
  <c r="BN14" i="9"/>
  <c r="BM14" i="9"/>
  <c r="BL14" i="9"/>
  <c r="BK14" i="9"/>
  <c r="BJ14" i="9"/>
  <c r="BI14" i="9"/>
  <c r="BH14" i="9"/>
  <c r="BG14" i="9"/>
  <c r="BF14" i="9"/>
  <c r="AI28" i="9" s="1"/>
  <c r="AK28" i="9" s="1"/>
  <c r="BE14" i="9"/>
  <c r="BU14" i="9" s="1"/>
  <c r="BD14" i="9"/>
  <c r="AJ14" i="9"/>
  <c r="AF14" i="9"/>
  <c r="AG14" i="9" s="1"/>
  <c r="AC14" i="9"/>
  <c r="AB14" i="9"/>
  <c r="K6" i="2"/>
  <c r="D7" i="2"/>
  <c r="D13" i="2"/>
  <c r="P52" i="2"/>
  <c r="P51" i="2"/>
  <c r="P50" i="2"/>
  <c r="P49" i="2"/>
  <c r="E16" i="2"/>
  <c r="C16" i="2"/>
  <c r="C13" i="2"/>
  <c r="B13" i="2"/>
  <c r="L6" i="2"/>
  <c r="G6" i="2" s="1"/>
  <c r="D6" i="2"/>
  <c r="M49" i="2"/>
  <c r="H49" i="2" s="1"/>
  <c r="L49" i="2"/>
  <c r="J6" i="2"/>
  <c r="M6" i="2"/>
  <c r="L55" i="2"/>
  <c r="J61" i="2"/>
  <c r="N49" i="2"/>
  <c r="L61" i="2"/>
  <c r="K49" i="2"/>
  <c r="K55" i="2"/>
  <c r="J55" i="2"/>
  <c r="K61" i="2"/>
  <c r="AS35" i="9" l="1"/>
  <c r="AS32" i="9"/>
  <c r="AI24" i="9"/>
  <c r="AK31" i="9"/>
  <c r="BY20" i="9"/>
  <c r="AI22" i="9"/>
  <c r="AM22" i="9" s="1"/>
  <c r="AM28" i="9"/>
  <c r="AW28" i="9" s="1"/>
  <c r="AI16" i="9"/>
  <c r="AT16" i="9" s="1"/>
  <c r="AI15" i="9"/>
  <c r="AK15" i="9" s="1"/>
  <c r="AJ15" i="9"/>
  <c r="BY17" i="9"/>
  <c r="AI14" i="9"/>
  <c r="AK14" i="9" s="1"/>
  <c r="BY23" i="9"/>
  <c r="CA23" i="9" s="1"/>
  <c r="BY26" i="9"/>
  <c r="AM23" i="9"/>
  <c r="CD23" i="9"/>
  <c r="AQ20" i="9"/>
  <c r="AQ22" i="9"/>
  <c r="R20" i="9"/>
  <c r="R22" i="9" s="1"/>
  <c r="AJ18" i="9"/>
  <c r="AQ21" i="9"/>
  <c r="AL19" i="9"/>
  <c r="AM31" i="9"/>
  <c r="AW31" i="9" s="1"/>
  <c r="R23" i="9"/>
  <c r="R25" i="9" s="1"/>
  <c r="R27" i="9" s="1"/>
  <c r="AQ27" i="9" s="1"/>
  <c r="AL21" i="9"/>
  <c r="AJ21" i="9"/>
  <c r="AL20" i="9"/>
  <c r="AL17" i="9"/>
  <c r="CD17" i="9"/>
  <c r="AQ25" i="9"/>
  <c r="CD16" i="9"/>
  <c r="CA17" i="9"/>
  <c r="AL14" i="9"/>
  <c r="AL15" i="9"/>
  <c r="AK18" i="9"/>
  <c r="AW18" i="9" s="1"/>
  <c r="AI19" i="9"/>
  <c r="AK22" i="9"/>
  <c r="AK24" i="9"/>
  <c r="AI25" i="9"/>
  <c r="AM25" i="9" s="1"/>
  <c r="AI29" i="9"/>
  <c r="AK29" i="9" s="1"/>
  <c r="BU31" i="9"/>
  <c r="AP17" i="9"/>
  <c r="AQ17" i="9" s="1"/>
  <c r="BY14" i="9"/>
  <c r="CA14" i="9" s="1"/>
  <c r="BY15" i="9"/>
  <c r="CA15" i="9" s="1"/>
  <c r="AL16" i="9"/>
  <c r="BY16" i="9"/>
  <c r="AL18" i="9"/>
  <c r="BY18" i="9"/>
  <c r="AJ19" i="9"/>
  <c r="AL22" i="9"/>
  <c r="BY22" i="9"/>
  <c r="BY24" i="9"/>
  <c r="AJ25" i="9"/>
  <c r="BY28" i="9"/>
  <c r="AI17" i="9"/>
  <c r="AM17" i="9" s="1"/>
  <c r="AI20" i="9"/>
  <c r="AK20" i="9" s="1"/>
  <c r="AI23" i="9"/>
  <c r="AK23" i="9" s="1"/>
  <c r="AI26" i="9"/>
  <c r="AK26" i="9" s="1"/>
  <c r="AI30" i="9"/>
  <c r="AK30" i="9" s="1"/>
  <c r="AP16" i="9"/>
  <c r="AQ16" i="9" s="1"/>
  <c r="AJ17" i="9"/>
  <c r="BY19" i="9"/>
  <c r="AJ20" i="9"/>
  <c r="AJ23" i="9"/>
  <c r="BY25" i="9"/>
  <c r="AT26" i="9"/>
  <c r="AU26" i="9" s="1"/>
  <c r="BY29" i="9"/>
  <c r="CA20" i="9"/>
  <c r="BU20" i="9"/>
  <c r="AI21" i="9"/>
  <c r="AK21" i="9" s="1"/>
  <c r="AI27" i="9"/>
  <c r="AK27" i="9" s="1"/>
  <c r="BY21" i="9"/>
  <c r="BY27" i="9"/>
  <c r="F6" i="2"/>
  <c r="I49" i="2"/>
  <c r="I61" i="2"/>
  <c r="H55" i="2"/>
  <c r="H6" i="2"/>
  <c r="G61" i="2"/>
  <c r="H61" i="2"/>
  <c r="G55" i="2"/>
  <c r="I55" i="2"/>
  <c r="J49" i="2"/>
  <c r="AR31" i="9" l="1"/>
  <c r="AK17" i="9"/>
  <c r="AR19" i="9"/>
  <c r="AS19" i="9" s="1"/>
  <c r="AR17" i="9"/>
  <c r="AS17" i="9" s="1"/>
  <c r="AK16" i="9"/>
  <c r="AW16" i="9" s="1"/>
  <c r="AU17" i="9"/>
  <c r="AT25" i="9"/>
  <c r="AU25" i="9" s="1"/>
  <c r="AR25" i="9"/>
  <c r="AS25" i="9" s="1"/>
  <c r="AT27" i="9"/>
  <c r="AU27" i="9" s="1"/>
  <c r="AR24" i="9"/>
  <c r="AT18" i="9"/>
  <c r="AR16" i="9"/>
  <c r="AS16" i="9" s="1"/>
  <c r="CB26" i="9"/>
  <c r="AT24" i="9"/>
  <c r="AU24" i="9" s="1"/>
  <c r="AR29" i="9"/>
  <c r="AW24" i="9"/>
  <c r="AR18" i="9"/>
  <c r="AS18" i="9" s="1"/>
  <c r="CB23" i="9"/>
  <c r="CC23" i="9" s="1"/>
  <c r="AM24" i="9"/>
  <c r="CB18" i="9"/>
  <c r="CC18" i="9" s="1"/>
  <c r="CA18" i="9"/>
  <c r="CA25" i="9"/>
  <c r="CB25" i="9"/>
  <c r="CC25" i="9" s="1"/>
  <c r="AW30" i="9"/>
  <c r="AR22" i="9"/>
  <c r="AS22" i="9" s="1"/>
  <c r="AW22" i="9"/>
  <c r="AM20" i="9"/>
  <c r="AW20" i="9" s="1"/>
  <c r="AT23" i="9"/>
  <c r="AU23" i="9" s="1"/>
  <c r="AQ23" i="9"/>
  <c r="CB24" i="9"/>
  <c r="CB16" i="9"/>
  <c r="CC16" i="9" s="1"/>
  <c r="CA16" i="9"/>
  <c r="AM21" i="9"/>
  <c r="AW21" i="9" s="1"/>
  <c r="CE16" i="9"/>
  <c r="AR26" i="9"/>
  <c r="CB17" i="9"/>
  <c r="CC17" i="9" s="1"/>
  <c r="AR30" i="9"/>
  <c r="AR21" i="9"/>
  <c r="AS21" i="9" s="1"/>
  <c r="AU16" i="9"/>
  <c r="AR20" i="9"/>
  <c r="AS20" i="9" s="1"/>
  <c r="AT21" i="9"/>
  <c r="AU21" i="9" s="1"/>
  <c r="AW17" i="9"/>
  <c r="AK25" i="9"/>
  <c r="AW25" i="9" s="1"/>
  <c r="AT29" i="9"/>
  <c r="AU29" i="9" s="1"/>
  <c r="CB22" i="9"/>
  <c r="AT31" i="9"/>
  <c r="AU31" i="9" s="1"/>
  <c r="AM27" i="9"/>
  <c r="AW27" i="9" s="1"/>
  <c r="AM26" i="9"/>
  <c r="AW26" i="9" s="1"/>
  <c r="AT22" i="9"/>
  <c r="AU22" i="9" s="1"/>
  <c r="AM30" i="9"/>
  <c r="CB21" i="9"/>
  <c r="CC21" i="9" s="1"/>
  <c r="CA21" i="9"/>
  <c r="AK19" i="9"/>
  <c r="AT20" i="9"/>
  <c r="AU20" i="9" s="1"/>
  <c r="CB19" i="9"/>
  <c r="CC19" i="9" s="1"/>
  <c r="CA19" i="9"/>
  <c r="AW23" i="9"/>
  <c r="AR27" i="9"/>
  <c r="AS27" i="9" s="1"/>
  <c r="R29" i="9"/>
  <c r="CA27" i="9" s="1"/>
  <c r="AJ27" i="9"/>
  <c r="AR28" i="9"/>
  <c r="CB20" i="9"/>
  <c r="CC20" i="9" s="1"/>
  <c r="AR23" i="9"/>
  <c r="AS23" i="9" s="1"/>
  <c r="AM29" i="9"/>
  <c r="AW29" i="9" s="1"/>
  <c r="CB27" i="9"/>
  <c r="CC27" i="9" s="1"/>
  <c r="CB29" i="9"/>
  <c r="CB28" i="9"/>
  <c r="AT19" i="9"/>
  <c r="AU19" i="9" s="1"/>
  <c r="AL27" i="9"/>
  <c r="AL25" i="9"/>
  <c r="AM19" i="9"/>
  <c r="AJ22" i="9"/>
  <c r="R24" i="9"/>
  <c r="CA22" i="9" s="1"/>
  <c r="CE23" i="9"/>
  <c r="AT30" i="9"/>
  <c r="AU30" i="9" s="1"/>
  <c r="AL23" i="9"/>
  <c r="AT28" i="9"/>
  <c r="AU28" i="9" s="1"/>
  <c r="I6" i="2"/>
  <c r="G49" i="2"/>
  <c r="CE17" i="9" l="1"/>
  <c r="AW19" i="9"/>
  <c r="CC22" i="9"/>
  <c r="CE22" i="9"/>
  <c r="CC24" i="9"/>
  <c r="R26" i="9"/>
  <c r="AJ24" i="9"/>
  <c r="AL24" i="9"/>
  <c r="AQ24" i="9"/>
  <c r="AS24" i="9" s="1"/>
  <c r="R31" i="9"/>
  <c r="AJ29" i="9"/>
  <c r="AL29" i="9"/>
  <c r="AQ29" i="9"/>
  <c r="AS29" i="9" s="1"/>
  <c r="R33" i="9" l="1"/>
  <c r="AQ31" i="9"/>
  <c r="AS31" i="9" s="1"/>
  <c r="AL31" i="9"/>
  <c r="AJ31" i="9"/>
  <c r="CA29" i="9"/>
  <c r="CC29" i="9"/>
  <c r="R28" i="9"/>
  <c r="AQ26" i="9"/>
  <c r="AS26" i="9" s="1"/>
  <c r="AJ26" i="9"/>
  <c r="AL26" i="9"/>
  <c r="CA24" i="9"/>
  <c r="R30" i="9" l="1"/>
  <c r="AJ28" i="9"/>
  <c r="CA26" i="9"/>
  <c r="AQ28" i="9"/>
  <c r="AS28" i="9" s="1"/>
  <c r="AL28" i="9"/>
  <c r="CC26" i="9"/>
  <c r="R35" i="9"/>
  <c r="T35" i="2"/>
  <c r="X24" i="2"/>
  <c r="T21" i="2"/>
  <c r="T11" i="2"/>
  <c r="AB4" i="2"/>
  <c r="AB3" i="2"/>
  <c r="AJ30" i="9" l="1"/>
  <c r="R32" i="9"/>
  <c r="AQ30" i="9"/>
  <c r="AS30" i="9" s="1"/>
  <c r="AL30" i="9"/>
  <c r="CA28" i="9"/>
  <c r="CC28" i="9"/>
  <c r="D19" i="5"/>
  <c r="D13" i="5"/>
  <c r="R34" i="9" l="1"/>
  <c r="D16" i="5"/>
</calcChain>
</file>

<file path=xl/sharedStrings.xml><?xml version="1.0" encoding="utf-8"?>
<sst xmlns="http://schemas.openxmlformats.org/spreadsheetml/2006/main" count="615" uniqueCount="258">
  <si>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</si>
  <si>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</si>
  <si>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</si>
  <si>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</si>
  <si>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</si>
  <si>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</si>
  <si>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</si>
  <si>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</si>
  <si>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</si>
  <si>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</si>
  <si>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</si>
  <si>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</si>
  <si>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</si>
  <si>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</si>
  <si>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</si>
  <si>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</si>
  <si>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</si>
  <si>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</si>
  <si>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</si>
  <si>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</si>
  <si>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</si>
  <si>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</si>
  <si>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</si>
  <si>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</si>
  <si>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</si>
  <si>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</si>
  <si>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Calculations</t>
  </si>
  <si>
    <t>pre</t>
  </si>
  <si>
    <t>post</t>
  </si>
  <si>
    <t>DCW (g/L)</t>
  </si>
  <si>
    <t>date</t>
  </si>
  <si>
    <t xml:space="preserve">Inoculating medium </t>
  </si>
  <si>
    <t>2 cm from bottom for bottom impeller</t>
  </si>
  <si>
    <t>4 cm from bottom impeller for top impeller</t>
  </si>
  <si>
    <t>Calculated volume ~ 1.47 L</t>
  </si>
  <si>
    <t>Final volume ~ 1.25 L</t>
  </si>
  <si>
    <t>mL evaporated</t>
  </si>
  <si>
    <t>L</t>
  </si>
  <si>
    <t>h fermented</t>
  </si>
  <si>
    <t>mL evaporated per hour</t>
  </si>
  <si>
    <t>mL total</t>
  </si>
  <si>
    <t>times more titer at the end</t>
  </si>
  <si>
    <t>estimated titer with evaporation</t>
  </si>
  <si>
    <t>BlueVary start</t>
  </si>
  <si>
    <t>CO2 value</t>
  </si>
  <si>
    <t>O2 value</t>
  </si>
  <si>
    <t>total sugar (g/L)</t>
  </si>
  <si>
    <t>equivilant titer (g/L)</t>
  </si>
  <si>
    <t>r1</t>
  </si>
  <si>
    <t>r2</t>
  </si>
  <si>
    <t>BLANK</t>
  </si>
  <si>
    <t>R2</t>
  </si>
  <si>
    <t>2 mL YPD O/N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</si>
  <si>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</si>
  <si>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</si>
  <si>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</si>
  <si>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</si>
  <si>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</si>
  <si>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</si>
  <si>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</si>
  <si>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</si>
  <si>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</si>
  <si>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</si>
  <si>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</si>
  <si>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</si>
  <si>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</si>
  <si>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</si>
  <si>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</si>
  <si>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</si>
  <si>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</si>
  <si>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</si>
  <si>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</si>
  <si>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</si>
  <si>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</si>
  <si>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</si>
  <si>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</si>
  <si>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</si>
  <si>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</si>
  <si>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</si>
  <si>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</si>
  <si>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</si>
  <si>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</si>
  <si>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</si>
  <si>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</si>
  <si>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</si>
  <si>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</si>
  <si>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</si>
  <si>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</si>
  <si>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</si>
  <si>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</si>
  <si>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</si>
  <si>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</si>
  <si>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</si>
  <si>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</si>
  <si>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</si>
  <si>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</si>
  <si>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</si>
  <si>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10 x YNB</t>
  </si>
  <si>
    <t>Folic acid</t>
  </si>
  <si>
    <t xml:space="preserve">17 g/L yeast nitrogen base per liter. </t>
  </si>
  <si>
    <t>Inositol</t>
  </si>
  <si>
    <t xml:space="preserve">check pH, adjust to 5.6. </t>
  </si>
  <si>
    <t>Niacin</t>
  </si>
  <si>
    <t xml:space="preserve">Warm as needed to dissolve completely. </t>
  </si>
  <si>
    <t>p-Aminobeznoic acid</t>
  </si>
  <si>
    <t xml:space="preserve">Filter sterilize into steril bottle. </t>
  </si>
  <si>
    <t>Pyridoxine hydrochloride</t>
  </si>
  <si>
    <t>Riboflavin</t>
  </si>
  <si>
    <t>10 x Ammonium Sulfate</t>
  </si>
  <si>
    <t>Thiamine hydrochloride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</si>
  <si>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</si>
  <si>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</si>
  <si>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</si>
  <si>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</si>
  <si>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</si>
  <si>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</si>
  <si>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</si>
  <si>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</si>
  <si>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</si>
  <si>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</si>
  <si>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</si>
  <si>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</si>
  <si>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</si>
  <si>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</si>
  <si>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</si>
  <si>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</si>
  <si>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</si>
  <si>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</si>
  <si>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</si>
  <si>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</si>
  <si>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</si>
  <si>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</si>
  <si>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</si>
  <si>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</si>
  <si>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</si>
  <si>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</si>
  <si>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</si>
  <si>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</si>
  <si>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</si>
  <si>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</si>
  <si>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</si>
  <si>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</si>
  <si>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</si>
  <si>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</si>
  <si>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</si>
  <si>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</si>
  <si>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</si>
  <si>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</si>
  <si>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</si>
  <si>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</si>
  <si>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A seed culture was grown in the sixfors (250 mL, 400 rpm, 1 vvm, pH 5.6, 10% inoculation from YPD) over the weekend.</t>
  </si>
  <si>
    <t>* changes in controls</t>
  </si>
  <si>
    <t>initial</t>
  </si>
  <si>
    <t>500 (0%)-600(50%)-800(100%)</t>
  </si>
  <si>
    <t>0.375 (0%)- 0.5 (25%) - 1.5 (100%)</t>
  </si>
  <si>
    <t xml:space="preserve">YNB Seeds. </t>
  </si>
  <si>
    <t>YNB 2 L</t>
  </si>
  <si>
    <t>OD600 final</t>
  </si>
  <si>
    <t>Description</t>
  </si>
  <si>
    <t>file</t>
  </si>
  <si>
    <t>Ylip (W29)</t>
  </si>
  <si>
    <t>Temp setpoint ©</t>
  </si>
  <si>
    <t>1 vvm</t>
  </si>
  <si>
    <t>250 mL</t>
  </si>
  <si>
    <t>Culture</t>
  </si>
  <si>
    <t>Initial seed</t>
  </si>
  <si>
    <t>Sixfor seed</t>
  </si>
  <si>
    <t>Biostat2L</t>
  </si>
  <si>
    <t>OD600 initial$</t>
  </si>
  <si>
    <t>#estimated initial OD</t>
  </si>
  <si>
    <t>seed for Biostat20_2L</t>
  </si>
  <si>
    <t>~5-6 h</t>
  </si>
  <si>
    <t>~20.5 h</t>
  </si>
  <si>
    <t>Kp from 90%--&gt;200%; Ki from 50 s --&gt; 90 s</t>
  </si>
  <si>
    <t>**</t>
  </si>
  <si>
    <t>SAMPLES ALSO RECORDED EVERY 1 second instead of 5 seconds.</t>
  </si>
  <si>
    <t>** based added, 37, 49 mL</t>
  </si>
  <si>
    <t>PPI Biostat Run #5.</t>
  </si>
  <si>
    <t>R3</t>
  </si>
  <si>
    <t>R4</t>
  </si>
  <si>
    <t>YPD100</t>
  </si>
  <si>
    <t>PPI_sixfor_bstat21Seed</t>
  </si>
  <si>
    <t>YPD</t>
  </si>
  <si>
    <t>Yeast extract</t>
  </si>
  <si>
    <t>Peptone</t>
  </si>
  <si>
    <t>low (%)</t>
  </si>
  <si>
    <t>high (%)</t>
  </si>
  <si>
    <t>Peptone Nitrogen range</t>
  </si>
  <si>
    <t>Yeast extract Nitrogen range</t>
  </si>
  <si>
    <t>C/N ratio (high)</t>
  </si>
  <si>
    <t>C/N ratio low</t>
  </si>
  <si>
    <t>low mol N/L</t>
  </si>
  <si>
    <t>high mol N/L</t>
  </si>
  <si>
    <t>low</t>
  </si>
  <si>
    <t>high</t>
  </si>
  <si>
    <t>dilution</t>
  </si>
  <si>
    <t>glucose with dilution</t>
  </si>
  <si>
    <t>g of YPD broth to add /L</t>
  </si>
  <si>
    <t xml:space="preserve">total to add. </t>
  </si>
  <si>
    <t>to add</t>
  </si>
  <si>
    <t>High</t>
  </si>
  <si>
    <t>glucose to add/L</t>
  </si>
  <si>
    <t xml:space="preserve"> </t>
  </si>
  <si>
    <t xml:space="preserve">rate 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</si>
  <si>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</si>
  <si>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</si>
  <si>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</si>
  <si>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</si>
  <si>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</si>
  <si>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</si>
  <si>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</si>
  <si>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</si>
  <si>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</si>
  <si>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</si>
  <si>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</si>
  <si>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</si>
  <si>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</si>
  <si>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</si>
  <si>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</si>
  <si>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</si>
  <si>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</si>
  <si>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</si>
  <si>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Citrate (g/L)</t>
  </si>
  <si>
    <t>Jeff_SloHot50_Biostat 2L-23-7</t>
  </si>
  <si>
    <t>Jeff_SloHot50_Biostat 2L-23-8</t>
  </si>
  <si>
    <t>Jeff_SloHot50_Biostat 2L-23-9</t>
  </si>
  <si>
    <t>Jeff_SloHot50_Biostat 2L-23-10</t>
  </si>
  <si>
    <t>Jeff_SloHot50_Biostat 2L-23-11</t>
  </si>
  <si>
    <t>Jeff_SloHot50_Biostat 2L-23-12</t>
  </si>
  <si>
    <t>Jeff_SloHot50_Biostat 2L-23-13</t>
  </si>
  <si>
    <t>Jeff_SloHot50_Biostat 2L-23-14</t>
  </si>
  <si>
    <t>Jeff_SloHot50_Biostat 2L-23-15</t>
  </si>
  <si>
    <t>Jeff_SloHot50_Biostat 2L-23-16</t>
  </si>
  <si>
    <t>Jeff_SloHot50_Biostat 2L-23-17</t>
  </si>
  <si>
    <t>Jeff_SloHot50_Biostat 2L-23-18</t>
  </si>
  <si>
    <t>Jeff_SloHot50_Biostat 2L-23-19</t>
  </si>
  <si>
    <t>Jeff_SloHot50_Biostat 2L-23-20</t>
  </si>
  <si>
    <t>Jeff_SloHot50_Biostat 2L-23-21</t>
  </si>
  <si>
    <t>Jeff_SloHot50_Biostat 2L-23-22</t>
  </si>
  <si>
    <t>This biostat run will examine the oscillations and low oxygen levels</t>
  </si>
  <si>
    <t>Jeff_SloHot50_Biostat 2L-23-1</t>
  </si>
  <si>
    <t>Jeff_SloHot50_Biostat 2L-23-2</t>
  </si>
  <si>
    <t>Jeff_SloHot50_Biostat 2L-23-3</t>
  </si>
  <si>
    <t>Jeff_SloHot50_Biostat 2L-23-4</t>
  </si>
  <si>
    <t>Jeff_SloHot50_Biostat 2L-23-5</t>
  </si>
  <si>
    <t>Jeff_SloHot50_Biostat 2L-23-6</t>
  </si>
  <si>
    <t>C13:0</t>
  </si>
  <si>
    <t>C14:0</t>
  </si>
  <si>
    <t>C16:0</t>
  </si>
  <si>
    <t>C16:1</t>
  </si>
  <si>
    <t>C18:0</t>
  </si>
  <si>
    <t>C18:1</t>
  </si>
  <si>
    <t>C18:2</t>
  </si>
  <si>
    <t>C21:0</t>
  </si>
  <si>
    <t>C24:0</t>
  </si>
  <si>
    <t>N.D.</t>
  </si>
  <si>
    <t>mg/mL</t>
  </si>
  <si>
    <t>mg 500 uL hexane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</si>
</sst>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7" fillId="0" borderId="0"/>
    <xf numFmtId="0" fontId="1" fillId="0" borderId="0"/>
    <xf numFmtId="9" fontId="7" fillId="0" borderId="0" applyFont="0" applyFill="0" applyBorder="0" applyAlignment="0" applyProtection="0"/>
  </cellStyleXfs>
  <cellXfs count="71">
    <xf numFmtId="0" fontId="0" fillId="0" borderId="0" xfId="0"/>
    <xf numFmtId="0" fontId="4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0" fontId="6" fillId="0" borderId="0" xfId="0" applyFont="1"/>
    <xf numFmtId="3" fontId="0" fillId="0" borderId="0" xfId="0" applyNumberFormat="1"/>
    <xf numFmtId="18" fontId="0" fillId="0" borderId="0" xfId="0" applyNumberFormat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2" borderId="0" xfId="1" applyBorder="1" applyAlignment="1">
      <alignment horizontal="center"/>
    </xf>
    <xf numFmtId="0" fontId="0" fillId="7" borderId="0" xfId="0" applyFill="1"/>
    <xf numFmtId="0" fontId="3" fillId="3" borderId="0" xfId="2" applyBorder="1" applyAlignment="1">
      <alignment horizontal="center"/>
    </xf>
    <xf numFmtId="0" fontId="7" fillId="0" borderId="0" xfId="3"/>
    <xf numFmtId="0" fontId="7" fillId="0" borderId="2" xfId="3" applyBorder="1"/>
    <xf numFmtId="0" fontId="7" fillId="0" borderId="3" xfId="3" applyBorder="1"/>
    <xf numFmtId="0" fontId="7" fillId="0" borderId="0" xfId="3" applyAlignment="1">
      <alignment wrapText="1"/>
    </xf>
    <xf numFmtId="16" fontId="7" fillId="0" borderId="0" xfId="3" applyNumberFormat="1"/>
    <xf numFmtId="0" fontId="7" fillId="0" borderId="5" xfId="3" applyBorder="1"/>
    <xf numFmtId="0" fontId="7" fillId="0" borderId="0" xfId="3" applyAlignment="1">
      <alignment horizontal="center" wrapText="1"/>
    </xf>
    <xf numFmtId="0" fontId="7" fillId="0" borderId="9" xfId="3" applyBorder="1" applyAlignment="1">
      <alignment horizontal="center" wrapText="1"/>
    </xf>
    <xf numFmtId="0" fontId="7" fillId="0" borderId="9" xfId="3" applyBorder="1"/>
    <xf numFmtId="0" fontId="7" fillId="0" borderId="14" xfId="3" applyBorder="1"/>
    <xf numFmtId="0" fontId="7" fillId="0" borderId="10" xfId="3" applyBorder="1"/>
    <xf numFmtId="0" fontId="7" fillId="0" borderId="10" xfId="3" applyBorder="1" applyAlignment="1">
      <alignment horizontal="center" wrapText="1"/>
    </xf>
    <xf numFmtId="14" fontId="7" fillId="0" borderId="0" xfId="3" applyNumberFormat="1"/>
    <xf numFmtId="18" fontId="7" fillId="0" borderId="0" xfId="3" applyNumberFormat="1"/>
    <xf numFmtId="2" fontId="7" fillId="0" borderId="0" xfId="3" applyNumberFormat="1"/>
    <xf numFmtId="165" fontId="7" fillId="0" borderId="0" xfId="3" applyNumberFormat="1"/>
    <xf numFmtId="164" fontId="7" fillId="0" borderId="0" xfId="3" applyNumberFormat="1"/>
    <xf numFmtId="164" fontId="7" fillId="0" borderId="8" xfId="3" applyNumberFormat="1" applyBorder="1"/>
    <xf numFmtId="0" fontId="7" fillId="0" borderId="8" xfId="3" applyBorder="1"/>
    <xf numFmtId="0" fontId="7" fillId="0" borderId="7" xfId="3" applyBorder="1"/>
    <xf numFmtId="165" fontId="8" fillId="0" borderId="0" xfId="3" applyNumberFormat="1" applyFont="1"/>
    <xf numFmtId="164" fontId="4" fillId="0" borderId="0" xfId="3" applyNumberFormat="1" applyFont="1"/>
    <xf numFmtId="165" fontId="7" fillId="0" borderId="8" xfId="3" applyNumberFormat="1" applyBorder="1"/>
    <xf numFmtId="165" fontId="7" fillId="0" borderId="7" xfId="3" applyNumberFormat="1" applyBorder="1"/>
    <xf numFmtId="0" fontId="1" fillId="0" borderId="2" xfId="4" applyBorder="1"/>
    <xf numFmtId="0" fontId="5" fillId="0" borderId="0" xfId="3" applyFont="1"/>
    <xf numFmtId="1" fontId="7" fillId="0" borderId="0" xfId="3" applyNumberFormat="1"/>
    <xf numFmtId="165" fontId="7" fillId="0" borderId="7" xfId="3" quotePrefix="1" applyNumberFormat="1" applyBorder="1"/>
    <xf numFmtId="0" fontId="7" fillId="0" borderId="11" xfId="3" applyBorder="1"/>
    <xf numFmtId="2" fontId="7" fillId="0" borderId="11" xfId="3" applyNumberFormat="1" applyBorder="1"/>
    <xf numFmtId="0" fontId="7" fillId="0" borderId="13" xfId="3" applyBorder="1"/>
    <xf numFmtId="0" fontId="7" fillId="0" borderId="12" xfId="3" applyBorder="1"/>
    <xf numFmtId="0" fontId="0" fillId="0" borderId="2" xfId="0" applyBorder="1"/>
    <xf numFmtId="0" fontId="9" fillId="0" borderId="0" xfId="0" applyFont="1" applyAlignment="1">
      <alignment horizontal="center"/>
    </xf>
    <xf numFmtId="166" fontId="7" fillId="0" borderId="0" xfId="5" applyNumberFormat="1"/>
    <xf numFmtId="0" fontId="1" fillId="0" borderId="15" xfId="4" applyBorder="1"/>
    <xf numFmtId="0" fontId="7" fillId="0" borderId="15" xfId="3" applyBorder="1"/>
    <xf numFmtId="0" fontId="7" fillId="0" borderId="4" xfId="3" applyBorder="1"/>
    <xf numFmtId="14" fontId="7" fillId="0" borderId="4" xfId="3" applyNumberFormat="1" applyBorder="1"/>
    <xf numFmtId="18" fontId="7" fillId="0" borderId="4" xfId="3" applyNumberFormat="1" applyBorder="1"/>
    <xf numFmtId="2" fontId="7" fillId="0" borderId="4" xfId="3" applyNumberFormat="1" applyBorder="1"/>
    <xf numFmtId="0" fontId="0" fillId="0" borderId="4" xfId="0" applyBorder="1"/>
    <xf numFmtId="166" fontId="7" fillId="0" borderId="4" xfId="5" applyNumberFormat="1" applyBorder="1"/>
    <xf numFmtId="165" fontId="7" fillId="0" borderId="4" xfId="3" applyNumberFormat="1" applyBorder="1"/>
    <xf numFmtId="165" fontId="8" fillId="0" borderId="4" xfId="3" applyNumberFormat="1" applyFont="1" applyBorder="1"/>
    <xf numFmtId="16" fontId="7" fillId="0" borderId="4" xfId="3" applyNumberFormat="1" applyBorder="1"/>
    <xf numFmtId="164" fontId="7" fillId="0" borderId="4" xfId="3" applyNumberFormat="1" applyBorder="1"/>
    <xf numFmtId="164" fontId="7" fillId="0" borderId="13" xfId="3" applyNumberFormat="1" applyBorder="1"/>
    <xf numFmtId="165" fontId="7" fillId="0" borderId="13" xfId="3" applyNumberFormat="1" applyBorder="1"/>
    <xf numFmtId="165" fontId="7" fillId="0" borderId="16" xfId="3" applyNumberFormat="1" applyBorder="1"/>
    <xf numFmtId="164" fontId="4" fillId="0" borderId="4" xfId="3" applyNumberFormat="1" applyFont="1" applyBorder="1"/>
    <xf numFmtId="1" fontId="7" fillId="0" borderId="4" xfId="3" applyNumberFormat="1" applyBorder="1"/>
    <xf numFmtId="0" fontId="2" fillId="2" borderId="4" xfId="1" applyBorder="1" applyAlignment="1">
      <alignment horizontal="center"/>
    </xf>
    <xf numFmtId="0" fontId="3" fillId="3" borderId="6" xfId="2" applyBorder="1" applyAlignment="1">
      <alignment horizontal="center"/>
    </xf>
    <xf numFmtId="0" fontId="3" fillId="3" borderId="0" xfId="2" applyBorder="1" applyAlignment="1">
      <alignment horizontal="center"/>
    </xf>
  </cellXfs>
  <cellStyles count="6">
    <cellStyle name="Calculation 2" xfId="2" xr:uid="{06963B33-0368-4743-9D6F-4480FB79EB78}"/>
    <cellStyle name="Good 2" xfId="1" xr:uid="{C73EABD3-7392-AD48-9677-784C96F12C21}"/>
    <cellStyle name="Normal" xfId="0" builtinId="0"/>
    <cellStyle name="Normal 2" xfId="3" xr:uid="{EC27B2E0-DC97-4943-8DA3-F2CADAEFFDB0}"/>
    <cellStyle name="Normal 3" xfId="4" xr:uid="{E6713DDC-2D56-4835-9EE7-855B3EA5FDD5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1:R31"/>
  <sheetViews>
    <sheetView workbookViewId="0">
      <selection activeCell="G9" sqref="G9"/>
    </sheetView>
  </sheetViews>
  <sheetFormatPr baseColWidth="10" defaultColWidth="11" defaultRowHeight="16" x14ac:dyDescent="0.2"/>
  <cols>
    <col min="3" max="3" width="24.6640625" customWidth="1"/>
  </cols>
  <sheetData>
    <row r="1" spans="1:18" x14ac:dyDescent="0.2">
      <c r="A1" t="s">
        <v>177</v>
      </c>
    </row>
    <row r="3" spans="1:18" x14ac:dyDescent="0.2">
      <c r="B3" t="s">
        <v>239</v>
      </c>
    </row>
    <row r="4" spans="1:18" x14ac:dyDescent="0.2">
      <c r="B4" t="s">
        <v>150</v>
      </c>
    </row>
    <row r="7" spans="1:18" x14ac:dyDescent="0.2">
      <c r="A7" t="s">
        <v>165</v>
      </c>
      <c r="C7" t="s">
        <v>164</v>
      </c>
      <c r="D7" t="s">
        <v>157</v>
      </c>
    </row>
    <row r="8" spans="1:18" x14ac:dyDescent="0.2">
      <c r="C8" t="s">
        <v>52</v>
      </c>
      <c r="D8">
        <v>4.84</v>
      </c>
      <c r="E8" s="2">
        <v>45584</v>
      </c>
    </row>
    <row r="12" spans="1:18" x14ac:dyDescent="0.2">
      <c r="A12" t="s">
        <v>166</v>
      </c>
      <c r="F12" t="s">
        <v>169</v>
      </c>
    </row>
    <row r="13" spans="1:18" x14ac:dyDescent="0.2">
      <c r="B13" t="s">
        <v>53</v>
      </c>
      <c r="C13" t="s">
        <v>158</v>
      </c>
      <c r="D13" t="s">
        <v>114</v>
      </c>
      <c r="E13" t="s">
        <v>115</v>
      </c>
      <c r="F13" t="s">
        <v>168</v>
      </c>
      <c r="G13" t="s">
        <v>157</v>
      </c>
      <c r="H13" t="s">
        <v>117</v>
      </c>
      <c r="I13" t="s">
        <v>118</v>
      </c>
      <c r="J13" t="s">
        <v>119</v>
      </c>
      <c r="K13" t="s">
        <v>120</v>
      </c>
      <c r="L13" t="s">
        <v>121</v>
      </c>
      <c r="M13" t="s">
        <v>122</v>
      </c>
      <c r="N13" t="s">
        <v>161</v>
      </c>
      <c r="O13" t="s">
        <v>0</v>
      </c>
      <c r="P13" t="s">
        <v>123</v>
      </c>
      <c r="Q13" t="s">
        <v>159</v>
      </c>
      <c r="R13" t="s">
        <v>127</v>
      </c>
    </row>
    <row r="14" spans="1:18" x14ac:dyDescent="0.2">
      <c r="B14" t="s">
        <v>12</v>
      </c>
      <c r="C14" t="s">
        <v>170</v>
      </c>
      <c r="D14" t="s">
        <v>163</v>
      </c>
      <c r="E14">
        <v>252</v>
      </c>
      <c r="I14" s="8"/>
      <c r="J14" s="2">
        <v>45585</v>
      </c>
      <c r="K14">
        <v>400</v>
      </c>
      <c r="L14" t="s">
        <v>162</v>
      </c>
      <c r="M14">
        <v>5.6</v>
      </c>
      <c r="N14">
        <v>30</v>
      </c>
      <c r="O14" t="s">
        <v>180</v>
      </c>
      <c r="P14" t="s">
        <v>160</v>
      </c>
      <c r="Q14" t="s">
        <v>181</v>
      </c>
    </row>
    <row r="15" spans="1:18" x14ac:dyDescent="0.2">
      <c r="B15" t="s">
        <v>51</v>
      </c>
      <c r="C15" t="s">
        <v>170</v>
      </c>
      <c r="D15" t="s">
        <v>163</v>
      </c>
      <c r="E15">
        <v>252</v>
      </c>
      <c r="I15" s="8"/>
      <c r="J15" s="2">
        <v>45585</v>
      </c>
      <c r="K15">
        <v>400</v>
      </c>
      <c r="L15" t="s">
        <v>162</v>
      </c>
      <c r="M15">
        <v>5.6</v>
      </c>
      <c r="N15">
        <v>30</v>
      </c>
      <c r="O15" t="s">
        <v>180</v>
      </c>
      <c r="P15" t="s">
        <v>160</v>
      </c>
      <c r="Q15" t="s">
        <v>181</v>
      </c>
    </row>
    <row r="16" spans="1:18" x14ac:dyDescent="0.2">
      <c r="B16" t="s">
        <v>178</v>
      </c>
      <c r="C16" t="s">
        <v>170</v>
      </c>
      <c r="D16" t="s">
        <v>163</v>
      </c>
      <c r="E16">
        <v>252</v>
      </c>
      <c r="J16" s="2">
        <v>45585</v>
      </c>
      <c r="K16">
        <v>400</v>
      </c>
      <c r="L16" t="s">
        <v>162</v>
      </c>
      <c r="M16">
        <v>5.6</v>
      </c>
      <c r="N16">
        <v>30</v>
      </c>
      <c r="O16" t="s">
        <v>180</v>
      </c>
      <c r="P16" t="s">
        <v>160</v>
      </c>
      <c r="Q16" t="s">
        <v>181</v>
      </c>
    </row>
    <row r="17" spans="1:17" x14ac:dyDescent="0.2">
      <c r="B17" t="s">
        <v>179</v>
      </c>
      <c r="C17" t="s">
        <v>170</v>
      </c>
      <c r="D17" t="s">
        <v>163</v>
      </c>
      <c r="E17">
        <v>252</v>
      </c>
      <c r="J17" s="2">
        <v>45585</v>
      </c>
      <c r="K17">
        <v>400</v>
      </c>
      <c r="L17" t="s">
        <v>162</v>
      </c>
      <c r="M17">
        <v>5.6</v>
      </c>
      <c r="N17">
        <v>30</v>
      </c>
      <c r="O17" t="s">
        <v>180</v>
      </c>
      <c r="P17" t="s">
        <v>160</v>
      </c>
      <c r="Q17" t="s">
        <v>181</v>
      </c>
    </row>
    <row r="21" spans="1:17" x14ac:dyDescent="0.2">
      <c r="A21" t="s">
        <v>167</v>
      </c>
    </row>
    <row r="22" spans="1:17" x14ac:dyDescent="0.2">
      <c r="B22" t="s">
        <v>53</v>
      </c>
      <c r="C22" t="s">
        <v>158</v>
      </c>
      <c r="D22" t="s">
        <v>114</v>
      </c>
      <c r="E22" t="s">
        <v>115</v>
      </c>
      <c r="F22" t="s">
        <v>116</v>
      </c>
      <c r="G22" t="s">
        <v>117</v>
      </c>
      <c r="H22" t="s">
        <v>118</v>
      </c>
      <c r="I22" t="s">
        <v>119</v>
      </c>
      <c r="J22" t="s">
        <v>120</v>
      </c>
      <c r="K22" t="s">
        <v>121</v>
      </c>
      <c r="L22" t="s">
        <v>122</v>
      </c>
      <c r="M22" t="s">
        <v>161</v>
      </c>
      <c r="N22" t="s">
        <v>0</v>
      </c>
      <c r="O22" t="s">
        <v>123</v>
      </c>
      <c r="P22" t="s">
        <v>127</v>
      </c>
    </row>
    <row r="23" spans="1:17" x14ac:dyDescent="0.2">
      <c r="B23" t="s">
        <v>12</v>
      </c>
      <c r="C23" t="s">
        <v>182</v>
      </c>
      <c r="D23">
        <v>1.4</v>
      </c>
      <c r="E23">
        <v>1.5</v>
      </c>
      <c r="H23" s="8"/>
      <c r="I23" s="2"/>
      <c r="J23" s="5"/>
      <c r="K23" s="5"/>
      <c r="O23" t="s">
        <v>126</v>
      </c>
    </row>
    <row r="24" spans="1:17" x14ac:dyDescent="0.2">
      <c r="B24" t="s">
        <v>51</v>
      </c>
      <c r="C24" t="s">
        <v>182</v>
      </c>
      <c r="D24">
        <v>1.4</v>
      </c>
      <c r="E24">
        <v>1.5</v>
      </c>
      <c r="G24" s="5"/>
      <c r="H24" s="8"/>
      <c r="I24" s="2"/>
      <c r="J24" s="5"/>
      <c r="K24" s="5"/>
      <c r="O24" t="s">
        <v>126</v>
      </c>
    </row>
    <row r="26" spans="1:17" x14ac:dyDescent="0.2">
      <c r="H26" t="s">
        <v>151</v>
      </c>
    </row>
    <row r="27" spans="1:17" x14ac:dyDescent="0.2">
      <c r="H27" t="s">
        <v>152</v>
      </c>
      <c r="I27" t="s">
        <v>124</v>
      </c>
      <c r="J27" t="s">
        <v>125</v>
      </c>
    </row>
    <row r="28" spans="1:17" x14ac:dyDescent="0.2">
      <c r="H28" t="s">
        <v>171</v>
      </c>
      <c r="I28" t="s">
        <v>153</v>
      </c>
      <c r="J28" t="s">
        <v>173</v>
      </c>
    </row>
    <row r="29" spans="1:17" x14ac:dyDescent="0.2">
      <c r="H29" t="s">
        <v>172</v>
      </c>
      <c r="I29" t="s">
        <v>124</v>
      </c>
      <c r="J29" t="s">
        <v>154</v>
      </c>
      <c r="M29" t="s">
        <v>176</v>
      </c>
    </row>
    <row r="31" spans="1:17" x14ac:dyDescent="0.2">
      <c r="G31" t="s">
        <v>174</v>
      </c>
      <c r="H31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84"/>
  <sheetViews>
    <sheetView topLeftCell="A67" workbookViewId="0">
      <selection activeCell="C93" sqref="C93"/>
    </sheetView>
  </sheetViews>
  <sheetFormatPr baseColWidth="10" defaultColWidth="11" defaultRowHeight="16" x14ac:dyDescent="0.2"/>
  <cols>
    <col min="5" max="5" width="12.83203125" customWidth="1"/>
  </cols>
  <sheetData>
    <row r="1" spans="1:28" x14ac:dyDescent="0.2">
      <c r="A1" t="s">
        <v>0</v>
      </c>
      <c r="AA1" t="s">
        <v>54</v>
      </c>
    </row>
    <row r="2" spans="1:28" x14ac:dyDescent="0.2">
      <c r="B2" s="1" t="s">
        <v>1</v>
      </c>
      <c r="AA2" s="9">
        <v>4.4277893518518523</v>
      </c>
      <c r="AB2" t="s">
        <v>55</v>
      </c>
    </row>
    <row r="3" spans="1:28" x14ac:dyDescent="0.2">
      <c r="AA3" t="s">
        <v>56</v>
      </c>
      <c r="AB3">
        <f>106/16</f>
        <v>6.625</v>
      </c>
    </row>
    <row r="4" spans="1:28" x14ac:dyDescent="0.2">
      <c r="C4" t="s">
        <v>182</v>
      </c>
      <c r="P4" t="s">
        <v>58</v>
      </c>
      <c r="S4" s="1" t="s">
        <v>59</v>
      </c>
      <c r="AA4" t="s">
        <v>60</v>
      </c>
      <c r="AB4">
        <f>106</f>
        <v>106</v>
      </c>
    </row>
    <row r="5" spans="1:28" x14ac:dyDescent="0.2">
      <c r="B5">
        <v>1</v>
      </c>
      <c r="C5" s="1" t="s">
        <v>180</v>
      </c>
      <c r="D5" s="1" t="s">
        <v>65</v>
      </c>
      <c r="E5" s="1" t="s">
        <v>66</v>
      </c>
      <c r="F5" s="1" t="s">
        <v>190</v>
      </c>
      <c r="G5" s="1" t="s">
        <v>189</v>
      </c>
      <c r="H5" s="1" t="s">
        <v>68</v>
      </c>
      <c r="I5" s="1" t="s">
        <v>69</v>
      </c>
      <c r="J5" s="1" t="s">
        <v>70</v>
      </c>
      <c r="K5" s="1" t="s">
        <v>191</v>
      </c>
      <c r="L5" s="1" t="s">
        <v>192</v>
      </c>
      <c r="M5" s="1" t="s">
        <v>72</v>
      </c>
      <c r="O5" t="s">
        <v>62</v>
      </c>
      <c r="P5">
        <v>136.08600000000001</v>
      </c>
      <c r="T5" t="s">
        <v>63</v>
      </c>
      <c r="AA5" t="s">
        <v>64</v>
      </c>
      <c r="AB5">
        <v>16</v>
      </c>
    </row>
    <row r="6" spans="1:28" x14ac:dyDescent="0.2">
      <c r="C6">
        <v>10</v>
      </c>
      <c r="D6">
        <f>C6/D11</f>
        <v>1.6666666666666667</v>
      </c>
      <c r="E6" t="s">
        <v>183</v>
      </c>
      <c r="F6" s="3">
        <f>J6/K6</f>
        <v>74.801482209179852</v>
      </c>
      <c r="G6" s="3">
        <f>J6/L6</f>
        <v>59.777252876566799</v>
      </c>
      <c r="H6" s="3">
        <f>J6/M6</f>
        <v>453.22720309065477</v>
      </c>
      <c r="I6" s="3">
        <f>K6/M6</f>
        <v>6.0590671428571428</v>
      </c>
      <c r="J6" s="4">
        <f>D8/$P$7*6</f>
        <v>3.3304469459801505</v>
      </c>
      <c r="K6" s="4">
        <f>D7*F13/100*1/14+F14/100*D6*1/14</f>
        <v>4.4523809523809521E-2</v>
      </c>
      <c r="L6" s="4">
        <f>D7*G13/100*1/14+G14/100*D6*1/14</f>
        <v>5.5714285714285716E-2</v>
      </c>
      <c r="M6" s="4">
        <f>T7/$P$5</f>
        <v>7.3482944608556349E-3</v>
      </c>
      <c r="O6" t="s">
        <v>73</v>
      </c>
      <c r="P6">
        <v>132.13999999999999</v>
      </c>
      <c r="T6" s="1" t="s">
        <v>65</v>
      </c>
      <c r="U6" s="1" t="s">
        <v>66</v>
      </c>
      <c r="V6" t="s">
        <v>74</v>
      </c>
      <c r="X6" t="s">
        <v>75</v>
      </c>
    </row>
    <row r="7" spans="1:28" x14ac:dyDescent="0.2">
      <c r="C7">
        <v>20</v>
      </c>
      <c r="D7">
        <f>C7/D11</f>
        <v>3.3333333333333335</v>
      </c>
      <c r="E7" t="s">
        <v>184</v>
      </c>
      <c r="O7" t="s">
        <v>17</v>
      </c>
      <c r="P7">
        <v>180.15600000000001</v>
      </c>
      <c r="T7">
        <v>1</v>
      </c>
      <c r="U7" t="s">
        <v>62</v>
      </c>
      <c r="V7">
        <v>136.08600000000001</v>
      </c>
    </row>
    <row r="8" spans="1:28" x14ac:dyDescent="0.2">
      <c r="C8">
        <v>20</v>
      </c>
      <c r="D8">
        <v>100</v>
      </c>
      <c r="E8" t="s">
        <v>17</v>
      </c>
      <c r="O8" t="s">
        <v>18</v>
      </c>
      <c r="P8">
        <v>150.13</v>
      </c>
      <c r="T8">
        <v>0.5</v>
      </c>
      <c r="U8" t="s">
        <v>76</v>
      </c>
    </row>
    <row r="9" spans="1:28" x14ac:dyDescent="0.2">
      <c r="O9" t="s">
        <v>21</v>
      </c>
      <c r="P9" s="4">
        <v>92.093999999999994</v>
      </c>
      <c r="T9">
        <v>0.1</v>
      </c>
      <c r="U9" t="s">
        <v>77</v>
      </c>
    </row>
    <row r="10" spans="1:28" x14ac:dyDescent="0.2">
      <c r="D10" t="s">
        <v>195</v>
      </c>
      <c r="O10" t="s">
        <v>78</v>
      </c>
      <c r="P10">
        <v>59.043999999999997</v>
      </c>
      <c r="T10">
        <v>0.1</v>
      </c>
      <c r="U10" t="s">
        <v>79</v>
      </c>
    </row>
    <row r="11" spans="1:28" x14ac:dyDescent="0.2">
      <c r="D11">
        <v>6</v>
      </c>
      <c r="O11" s="1" t="s">
        <v>80</v>
      </c>
      <c r="P11">
        <v>192.19399999999999</v>
      </c>
      <c r="T11">
        <f>SUM(T7:T10)</f>
        <v>1.7000000000000002</v>
      </c>
      <c r="U11" t="s">
        <v>81</v>
      </c>
    </row>
    <row r="12" spans="1:28" x14ac:dyDescent="0.2">
      <c r="B12" t="s">
        <v>196</v>
      </c>
      <c r="C12" t="s">
        <v>201</v>
      </c>
      <c r="F12" t="s">
        <v>185</v>
      </c>
      <c r="G12" t="s">
        <v>186</v>
      </c>
      <c r="O12" t="s">
        <v>83</v>
      </c>
      <c r="P12">
        <v>53.491</v>
      </c>
      <c r="T12" t="s">
        <v>84</v>
      </c>
    </row>
    <row r="13" spans="1:28" x14ac:dyDescent="0.2">
      <c r="B13">
        <f>C8/D11</f>
        <v>3.3333333333333335</v>
      </c>
      <c r="C13" s="1">
        <f>100-B13</f>
        <v>96.666666666666671</v>
      </c>
      <c r="D13">
        <f>C13*1.5</f>
        <v>145</v>
      </c>
      <c r="E13" t="s">
        <v>187</v>
      </c>
      <c r="F13">
        <v>14.2</v>
      </c>
      <c r="G13">
        <v>17.399999999999999</v>
      </c>
      <c r="O13" t="s">
        <v>85</v>
      </c>
      <c r="P13">
        <v>60.06</v>
      </c>
      <c r="T13" s="1" t="s">
        <v>86</v>
      </c>
      <c r="U13" s="1" t="s">
        <v>66</v>
      </c>
    </row>
    <row r="14" spans="1:28" x14ac:dyDescent="0.2">
      <c r="E14" t="s">
        <v>188</v>
      </c>
      <c r="F14">
        <v>9</v>
      </c>
      <c r="G14">
        <v>12</v>
      </c>
      <c r="T14">
        <v>500</v>
      </c>
      <c r="U14" t="s">
        <v>87</v>
      </c>
    </row>
    <row r="15" spans="1:28" x14ac:dyDescent="0.2">
      <c r="C15" t="s">
        <v>197</v>
      </c>
      <c r="D15" t="s">
        <v>37</v>
      </c>
      <c r="E15" t="s">
        <v>198</v>
      </c>
      <c r="T15">
        <v>40</v>
      </c>
      <c r="U15" t="s">
        <v>88</v>
      </c>
    </row>
    <row r="16" spans="1:28" x14ac:dyDescent="0.2">
      <c r="C16">
        <f>50/D11</f>
        <v>8.3333333333333339</v>
      </c>
      <c r="D16">
        <v>1.5</v>
      </c>
      <c r="E16">
        <f>D16*C16</f>
        <v>12.5</v>
      </c>
      <c r="T16">
        <v>100</v>
      </c>
      <c r="U16" t="s">
        <v>89</v>
      </c>
    </row>
    <row r="17" spans="20:24" x14ac:dyDescent="0.2">
      <c r="T17">
        <v>200</v>
      </c>
      <c r="U17" t="s">
        <v>90</v>
      </c>
    </row>
    <row r="18" spans="20:24" x14ac:dyDescent="0.2">
      <c r="T18">
        <v>400</v>
      </c>
      <c r="U18" t="s">
        <v>91</v>
      </c>
    </row>
    <row r="19" spans="20:24" x14ac:dyDescent="0.2">
      <c r="T19">
        <v>200</v>
      </c>
      <c r="U19" t="s">
        <v>92</v>
      </c>
    </row>
    <row r="20" spans="20:24" x14ac:dyDescent="0.2">
      <c r="T20">
        <v>400</v>
      </c>
      <c r="U20" t="s">
        <v>93</v>
      </c>
    </row>
    <row r="21" spans="20:24" x14ac:dyDescent="0.2">
      <c r="T21">
        <f>SUM(T14:T20)/1000000</f>
        <v>1.8400000000000001E-3</v>
      </c>
      <c r="U21" t="s">
        <v>81</v>
      </c>
    </row>
    <row r="22" spans="20:24" x14ac:dyDescent="0.2">
      <c r="T22" t="s">
        <v>94</v>
      </c>
    </row>
    <row r="23" spans="20:24" x14ac:dyDescent="0.2">
      <c r="T23" s="1" t="s">
        <v>86</v>
      </c>
      <c r="U23" s="1" t="s">
        <v>66</v>
      </c>
    </row>
    <row r="24" spans="20:24" x14ac:dyDescent="0.2">
      <c r="T24">
        <v>2</v>
      </c>
      <c r="U24" t="s">
        <v>95</v>
      </c>
      <c r="X24">
        <f>550*0.3</f>
        <v>165</v>
      </c>
    </row>
    <row r="25" spans="20:24" x14ac:dyDescent="0.2">
      <c r="T25">
        <v>400</v>
      </c>
      <c r="U25" t="s">
        <v>96</v>
      </c>
    </row>
    <row r="26" spans="20:24" x14ac:dyDescent="0.2">
      <c r="T26">
        <v>2</v>
      </c>
      <c r="U26" t="s">
        <v>98</v>
      </c>
    </row>
    <row r="27" spans="20:24" x14ac:dyDescent="0.2">
      <c r="T27" s="7">
        <v>2000</v>
      </c>
      <c r="U27" t="s">
        <v>100</v>
      </c>
    </row>
    <row r="28" spans="20:24" x14ac:dyDescent="0.2">
      <c r="T28">
        <v>400</v>
      </c>
      <c r="U28" t="s">
        <v>102</v>
      </c>
    </row>
    <row r="29" spans="20:24" x14ac:dyDescent="0.2">
      <c r="T29">
        <v>200</v>
      </c>
      <c r="U29" t="s">
        <v>104</v>
      </c>
    </row>
    <row r="30" spans="20:24" x14ac:dyDescent="0.2">
      <c r="T30">
        <v>400</v>
      </c>
      <c r="U30" t="s">
        <v>106</v>
      </c>
    </row>
    <row r="31" spans="20:24" x14ac:dyDescent="0.2">
      <c r="T31">
        <v>200</v>
      </c>
      <c r="U31" t="s">
        <v>107</v>
      </c>
    </row>
    <row r="32" spans="20:24" x14ac:dyDescent="0.2">
      <c r="T32">
        <v>400</v>
      </c>
      <c r="U32" t="s">
        <v>109</v>
      </c>
    </row>
    <row r="35" spans="3:21" x14ac:dyDescent="0.2">
      <c r="T35">
        <f>SUM(T24:T32)/1000000</f>
        <v>4.0039999999999997E-3</v>
      </c>
      <c r="U35" t="s">
        <v>81</v>
      </c>
    </row>
    <row r="46" spans="3:21" x14ac:dyDescent="0.2">
      <c r="E46" t="s">
        <v>57</v>
      </c>
    </row>
    <row r="47" spans="3:21" x14ac:dyDescent="0.2">
      <c r="C47" s="1" t="s">
        <v>61</v>
      </c>
      <c r="D47" s="10" t="s">
        <v>155</v>
      </c>
      <c r="G47" t="s">
        <v>200</v>
      </c>
      <c r="H47" t="s">
        <v>193</v>
      </c>
      <c r="L47" t="s">
        <v>193</v>
      </c>
      <c r="M47" t="s">
        <v>194</v>
      </c>
    </row>
    <row r="48" spans="3:21" x14ac:dyDescent="0.2">
      <c r="C48">
        <v>1</v>
      </c>
      <c r="D48" s="1" t="s">
        <v>82</v>
      </c>
      <c r="E48" s="1" t="s">
        <v>65</v>
      </c>
      <c r="F48" s="1" t="s">
        <v>66</v>
      </c>
      <c r="G48" s="1" t="s">
        <v>67</v>
      </c>
      <c r="H48" s="1" t="s">
        <v>67</v>
      </c>
      <c r="I48" s="1" t="s">
        <v>68</v>
      </c>
      <c r="J48" s="1" t="s">
        <v>69</v>
      </c>
      <c r="K48" s="1" t="s">
        <v>70</v>
      </c>
      <c r="L48" s="1" t="s">
        <v>71</v>
      </c>
      <c r="M48" s="1" t="s">
        <v>71</v>
      </c>
      <c r="N48" s="1" t="s">
        <v>72</v>
      </c>
      <c r="P48" s="1" t="s">
        <v>199</v>
      </c>
    </row>
    <row r="49" spans="2:16" x14ac:dyDescent="0.2">
      <c r="E49" s="14">
        <v>1.7</v>
      </c>
      <c r="F49" t="s">
        <v>59</v>
      </c>
      <c r="G49" s="3">
        <f>K49/L49</f>
        <v>72.692800834788557</v>
      </c>
      <c r="H49" s="3">
        <f>K49/M49</f>
        <v>70.388280740649634</v>
      </c>
      <c r="I49" s="3">
        <f>K49/N49</f>
        <v>453.22720309065477</v>
      </c>
      <c r="J49" s="3">
        <f>L49/N49</f>
        <v>6.2348292800097207</v>
      </c>
      <c r="K49" s="4">
        <f>E51/$P$7*6</f>
        <v>3.3304469459801505</v>
      </c>
      <c r="L49" s="4">
        <f>E50/P$12+E52*F14/100*1/14</f>
        <v>4.5815361462675959E-2</v>
      </c>
      <c r="M49" s="4">
        <f>E50/P$12+E52*G14/100*1/14</f>
        <v>4.731536146267596E-2</v>
      </c>
      <c r="N49" s="4">
        <f>T7/$P$5</f>
        <v>7.3482944608556349E-3</v>
      </c>
      <c r="P49">
        <f>E49*1.5</f>
        <v>2.5499999999999998</v>
      </c>
    </row>
    <row r="50" spans="2:16" x14ac:dyDescent="0.2">
      <c r="E50" s="14">
        <v>2.21</v>
      </c>
      <c r="F50" t="s">
        <v>83</v>
      </c>
      <c r="P50">
        <f t="shared" ref="P50:P52" si="0">E50*1.5</f>
        <v>3.3149999999999999</v>
      </c>
    </row>
    <row r="51" spans="2:16" x14ac:dyDescent="0.2">
      <c r="E51" s="14">
        <v>100</v>
      </c>
      <c r="F51" t="s">
        <v>17</v>
      </c>
      <c r="P51">
        <f t="shared" si="0"/>
        <v>150</v>
      </c>
    </row>
    <row r="52" spans="2:16" x14ac:dyDescent="0.2">
      <c r="E52" s="14">
        <v>0.7</v>
      </c>
      <c r="F52" t="s">
        <v>183</v>
      </c>
      <c r="P52">
        <f t="shared" si="0"/>
        <v>1.0499999999999998</v>
      </c>
    </row>
    <row r="53" spans="2:16" x14ac:dyDescent="0.2">
      <c r="E53" s="14"/>
    </row>
    <row r="54" spans="2:16" x14ac:dyDescent="0.2">
      <c r="C54">
        <v>2</v>
      </c>
      <c r="D54" s="1" t="s">
        <v>82</v>
      </c>
      <c r="E54" s="1" t="s">
        <v>65</v>
      </c>
      <c r="F54" s="1" t="s">
        <v>66</v>
      </c>
      <c r="G54" s="1" t="s">
        <v>67</v>
      </c>
      <c r="H54" s="1" t="s">
        <v>68</v>
      </c>
      <c r="I54" s="1" t="s">
        <v>69</v>
      </c>
      <c r="J54" s="1" t="s">
        <v>70</v>
      </c>
      <c r="K54" s="1" t="s">
        <v>71</v>
      </c>
      <c r="L54" s="1" t="s">
        <v>72</v>
      </c>
    </row>
    <row r="55" spans="2:16" x14ac:dyDescent="0.2">
      <c r="E55">
        <v>1.7</v>
      </c>
      <c r="F55" t="s">
        <v>59</v>
      </c>
      <c r="G55" s="3">
        <f>J55/K55</f>
        <v>60.594876730416402</v>
      </c>
      <c r="H55" s="3">
        <f>J55/L55</f>
        <v>226.61360154532738</v>
      </c>
      <c r="I55" s="3">
        <f>K55/L55</f>
        <v>3.7398145482417608</v>
      </c>
      <c r="J55" s="4">
        <f>E57/$P$7*6</f>
        <v>1.6652234729900752</v>
      </c>
      <c r="K55" s="4">
        <f>E56/P$12</f>
        <v>2.7481258529472249E-2</v>
      </c>
      <c r="L55" s="4">
        <f>T7/$P$5</f>
        <v>7.3482944608556349E-3</v>
      </c>
    </row>
    <row r="56" spans="2:16" x14ac:dyDescent="0.2">
      <c r="E56">
        <v>1.47</v>
      </c>
      <c r="F56" t="s">
        <v>83</v>
      </c>
    </row>
    <row r="57" spans="2:16" x14ac:dyDescent="0.2">
      <c r="E57">
        <v>50</v>
      </c>
      <c r="F57" t="s">
        <v>17</v>
      </c>
    </row>
    <row r="59" spans="2:16" x14ac:dyDescent="0.2">
      <c r="D59" s="11" t="s">
        <v>156</v>
      </c>
    </row>
    <row r="60" spans="2:16" x14ac:dyDescent="0.2">
      <c r="B60" s="1"/>
      <c r="D60" s="1" t="s">
        <v>82</v>
      </c>
      <c r="E60" s="1" t="s">
        <v>65</v>
      </c>
      <c r="F60" s="1" t="s">
        <v>66</v>
      </c>
      <c r="G60" s="1" t="s">
        <v>67</v>
      </c>
      <c r="H60" s="1" t="s">
        <v>68</v>
      </c>
      <c r="I60" s="1" t="s">
        <v>69</v>
      </c>
      <c r="J60" s="1" t="s">
        <v>70</v>
      </c>
      <c r="K60" s="1" t="s">
        <v>71</v>
      </c>
      <c r="L60" s="1" t="s">
        <v>72</v>
      </c>
    </row>
    <row r="61" spans="2:16" x14ac:dyDescent="0.2">
      <c r="E61">
        <v>1.7</v>
      </c>
      <c r="F61" t="s">
        <v>59</v>
      </c>
      <c r="G61" s="3">
        <f>J61/K61</f>
        <v>80.247269183524409</v>
      </c>
      <c r="H61" s="3">
        <f>J61/L61</f>
        <v>226.61360154532738</v>
      </c>
      <c r="I61" s="3">
        <f>K61/L61</f>
        <v>2.8239415976519422</v>
      </c>
      <c r="J61" s="4">
        <f>E63/$P$7*6</f>
        <v>1.6652234729900752</v>
      </c>
      <c r="K61" s="4">
        <f>E62/P$12</f>
        <v>2.0751154399805578E-2</v>
      </c>
      <c r="L61" s="4">
        <f>T7/$P$5</f>
        <v>7.3482944608556349E-3</v>
      </c>
    </row>
    <row r="62" spans="2:16" x14ac:dyDescent="0.2">
      <c r="E62">
        <v>1.1100000000000001</v>
      </c>
      <c r="F62" t="s">
        <v>83</v>
      </c>
    </row>
    <row r="63" spans="2:16" x14ac:dyDescent="0.2">
      <c r="E63">
        <v>50</v>
      </c>
      <c r="F63" t="s">
        <v>17</v>
      </c>
    </row>
    <row r="67" spans="2:12" x14ac:dyDescent="0.2"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2:12" x14ac:dyDescent="0.2">
      <c r="B68" s="1"/>
    </row>
    <row r="70" spans="2:12" x14ac:dyDescent="0.2">
      <c r="B70" s="6" t="s">
        <v>31</v>
      </c>
    </row>
    <row r="73" spans="2:12" x14ac:dyDescent="0.2">
      <c r="D73" t="s">
        <v>97</v>
      </c>
    </row>
    <row r="74" spans="2:12" x14ac:dyDescent="0.2">
      <c r="E74" t="s">
        <v>99</v>
      </c>
    </row>
    <row r="75" spans="2:12" x14ac:dyDescent="0.2">
      <c r="E75" t="s">
        <v>101</v>
      </c>
    </row>
    <row r="76" spans="2:12" x14ac:dyDescent="0.2">
      <c r="E76" t="s">
        <v>103</v>
      </c>
    </row>
    <row r="77" spans="2:12" x14ac:dyDescent="0.2">
      <c r="E77" t="s">
        <v>105</v>
      </c>
    </row>
    <row r="79" spans="2:12" x14ac:dyDescent="0.2">
      <c r="D79" t="s">
        <v>108</v>
      </c>
    </row>
    <row r="80" spans="2:12" x14ac:dyDescent="0.2">
      <c r="E80" t="s">
        <v>110</v>
      </c>
    </row>
    <row r="81" spans="4:5" x14ac:dyDescent="0.2">
      <c r="E81" t="s">
        <v>111</v>
      </c>
    </row>
    <row r="82" spans="4:5" x14ac:dyDescent="0.2">
      <c r="E82" t="s">
        <v>112</v>
      </c>
    </row>
    <row r="84" spans="4:5" x14ac:dyDescent="0.2">
      <c r="D8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2</v>
      </c>
    </row>
    <row r="2" spans="1:2" x14ac:dyDescent="0.2">
      <c r="B2" t="s">
        <v>3</v>
      </c>
    </row>
    <row r="4" spans="1:2" x14ac:dyDescent="0.2">
      <c r="B4" t="s">
        <v>32</v>
      </c>
    </row>
    <row r="5" spans="1:2" x14ac:dyDescent="0.2">
      <c r="B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baseColWidth="10" defaultColWidth="11" defaultRowHeight="16" x14ac:dyDescent="0.2"/>
  <sheetData>
    <row r="2" spans="1:5" x14ac:dyDescent="0.2">
      <c r="C2" s="7"/>
    </row>
    <row r="7" spans="1:5" x14ac:dyDescent="0.2">
      <c r="E7" s="5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25"/>
  <sheetViews>
    <sheetView workbookViewId="0">
      <selection activeCell="I13" sqref="I13"/>
    </sheetView>
  </sheetViews>
  <sheetFormatPr baseColWidth="10" defaultColWidth="11" defaultRowHeight="16" x14ac:dyDescent="0.2"/>
  <sheetData>
    <row r="4" spans="2:9" x14ac:dyDescent="0.2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10" spans="2:9" x14ac:dyDescent="0.2">
      <c r="B10" t="s">
        <v>35</v>
      </c>
      <c r="D10">
        <v>1.25</v>
      </c>
      <c r="E10" t="s">
        <v>37</v>
      </c>
    </row>
    <row r="11" spans="2:9" x14ac:dyDescent="0.2">
      <c r="B11" t="s">
        <v>34</v>
      </c>
      <c r="D11">
        <v>1.41</v>
      </c>
      <c r="E11" t="s">
        <v>37</v>
      </c>
    </row>
    <row r="13" spans="2:9" x14ac:dyDescent="0.2">
      <c r="D13">
        <f>(D11-D10)*1000</f>
        <v>159.99999999999991</v>
      </c>
      <c r="E13" t="s">
        <v>36</v>
      </c>
    </row>
    <row r="14" spans="2:9" x14ac:dyDescent="0.2">
      <c r="D14">
        <v>236.5</v>
      </c>
      <c r="E14" t="s">
        <v>38</v>
      </c>
    </row>
    <row r="16" spans="2:9" x14ac:dyDescent="0.2">
      <c r="D16">
        <f>D13/D14</f>
        <v>0.67653276955602504</v>
      </c>
      <c r="E16" t="s">
        <v>39</v>
      </c>
    </row>
    <row r="18" spans="3:5" x14ac:dyDescent="0.2">
      <c r="D18">
        <v>1</v>
      </c>
      <c r="E18" t="s">
        <v>40</v>
      </c>
    </row>
    <row r="19" spans="3:5" x14ac:dyDescent="0.2">
      <c r="D19">
        <f>D11/D10</f>
        <v>1.1279999999999999</v>
      </c>
      <c r="E19" t="s">
        <v>41</v>
      </c>
    </row>
    <row r="24" spans="3:5" x14ac:dyDescent="0.2">
      <c r="C24" t="s">
        <v>43</v>
      </c>
      <c r="D24" t="s">
        <v>44</v>
      </c>
      <c r="E24">
        <v>4.1000000000000002E-2</v>
      </c>
    </row>
    <row r="25" spans="3:5" x14ac:dyDescent="0.2">
      <c r="D25" t="s">
        <v>45</v>
      </c>
      <c r="E25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9550-FAF3-4F63-8CBC-AAB9AB18BEDB}">
  <dimension ref="A2:DB76"/>
  <sheetViews>
    <sheetView showGridLines="0" tabSelected="1" topLeftCell="X6" zoomScale="89" zoomScaleNormal="90" workbookViewId="0">
      <selection activeCell="AF17" sqref="AF17"/>
    </sheetView>
  </sheetViews>
  <sheetFormatPr baseColWidth="10" defaultColWidth="11.1640625" defaultRowHeight="16" x14ac:dyDescent="0.2"/>
  <cols>
    <col min="1" max="1" width="11.1640625" style="16"/>
    <col min="2" max="2" width="36.1640625" style="16" customWidth="1"/>
    <col min="3" max="63" width="11.1640625" style="16"/>
    <col min="64" max="67" width="9.5" style="16" customWidth="1"/>
    <col min="68" max="68" width="10.6640625" style="16" customWidth="1"/>
    <col min="69" max="69" width="11.6640625" style="16" bestFit="1" customWidth="1"/>
    <col min="70" max="70" width="11.1640625" style="18"/>
    <col min="71" max="73" width="11.1640625" style="16"/>
    <col min="74" max="74" width="14" style="16" customWidth="1"/>
    <col min="75" max="75" width="14.6640625" style="16" customWidth="1"/>
    <col min="76" max="77" width="18.83203125" style="16" customWidth="1"/>
    <col min="78" max="78" width="18.33203125" style="34" customWidth="1"/>
    <col min="79" max="79" width="24.83203125" style="47" customWidth="1"/>
    <col min="80" max="82" width="24.83203125" style="16" customWidth="1"/>
    <col min="83" max="88" width="11.1640625" style="16"/>
    <col min="89" max="90" width="13.83203125" style="16" customWidth="1"/>
    <col min="91" max="91" width="19" style="16" customWidth="1"/>
    <col min="92" max="92" width="27" style="16" customWidth="1"/>
    <col min="93" max="93" width="20.33203125" style="16" customWidth="1"/>
    <col min="94" max="94" width="18.33203125" style="16" customWidth="1"/>
    <col min="95" max="96" width="11.6640625" style="16" bestFit="1" customWidth="1"/>
    <col min="97" max="16384" width="11.1640625" style="16"/>
  </cols>
  <sheetData>
    <row r="2" spans="1:106" x14ac:dyDescent="0.2">
      <c r="BR2" s="16"/>
      <c r="BZ2" s="16"/>
      <c r="CA2" s="16"/>
    </row>
    <row r="3" spans="1:106" x14ac:dyDescent="0.2">
      <c r="BR3" s="16"/>
      <c r="BZ3" s="16"/>
      <c r="CA3" s="16"/>
    </row>
    <row r="4" spans="1:106" x14ac:dyDescent="0.2">
      <c r="BR4" s="16"/>
      <c r="BZ4" s="16"/>
      <c r="CA4" s="16"/>
    </row>
    <row r="5" spans="1:106" x14ac:dyDescent="0.2">
      <c r="BR5" s="16"/>
      <c r="BZ5" s="16"/>
      <c r="CA5" s="16"/>
    </row>
    <row r="6" spans="1:106" x14ac:dyDescent="0.2">
      <c r="BR6" s="16"/>
      <c r="BZ6" s="16"/>
      <c r="CA6" s="16"/>
    </row>
    <row r="7" spans="1:106" x14ac:dyDescent="0.2">
      <c r="BR7" s="16"/>
      <c r="BZ7" s="16"/>
      <c r="CA7" s="16"/>
    </row>
    <row r="8" spans="1:106" x14ac:dyDescent="0.2">
      <c r="BR8" s="16"/>
      <c r="BZ8" s="16"/>
      <c r="CA8" s="16"/>
    </row>
    <row r="9" spans="1:106" x14ac:dyDescent="0.2">
      <c r="BR9" s="16"/>
      <c r="BZ9" s="16"/>
      <c r="CA9" s="16"/>
    </row>
    <row r="10" spans="1:106" x14ac:dyDescent="0.2">
      <c r="BR10" s="16"/>
      <c r="BZ10" s="16"/>
      <c r="CA10" s="16"/>
    </row>
    <row r="11" spans="1:106" x14ac:dyDescent="0.2">
      <c r="BR11" s="16"/>
      <c r="BZ11" s="16"/>
      <c r="CA11" s="16"/>
    </row>
    <row r="12" spans="1:106" x14ac:dyDescent="0.2">
      <c r="V12" s="16" t="s">
        <v>128</v>
      </c>
      <c r="Y12" s="16" t="s">
        <v>129</v>
      </c>
      <c r="AO12" s="16" t="s">
        <v>203</v>
      </c>
      <c r="BD12" s="68" t="s">
        <v>14</v>
      </c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13"/>
      <c r="BQ12" s="69" t="s">
        <v>26</v>
      </c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15"/>
    </row>
    <row r="13" spans="1:106" ht="68" x14ac:dyDescent="0.2">
      <c r="A13" s="17" t="s">
        <v>13</v>
      </c>
      <c r="B13" s="17" t="s">
        <v>15</v>
      </c>
      <c r="C13" s="17" t="s">
        <v>130</v>
      </c>
      <c r="D13" s="17" t="s">
        <v>16</v>
      </c>
      <c r="E13" s="17" t="s">
        <v>17</v>
      </c>
      <c r="F13" s="17" t="s">
        <v>18</v>
      </c>
      <c r="G13" s="17" t="s">
        <v>19</v>
      </c>
      <c r="H13" s="17" t="s">
        <v>20</v>
      </c>
      <c r="I13" s="17" t="s">
        <v>21</v>
      </c>
      <c r="J13" s="17" t="s">
        <v>22</v>
      </c>
      <c r="K13" s="17" t="s">
        <v>131</v>
      </c>
      <c r="L13" s="17" t="s">
        <v>132</v>
      </c>
      <c r="M13" s="17" t="s">
        <v>133</v>
      </c>
      <c r="N13" s="18" t="s">
        <v>148</v>
      </c>
      <c r="P13" s="16" t="s">
        <v>30</v>
      </c>
      <c r="Q13" s="16" t="s">
        <v>134</v>
      </c>
      <c r="R13" s="18" t="s">
        <v>135</v>
      </c>
      <c r="S13" s="18" t="s">
        <v>136</v>
      </c>
      <c r="T13" s="16" t="s">
        <v>137</v>
      </c>
      <c r="U13" s="16" t="s">
        <v>138</v>
      </c>
      <c r="V13" s="16" t="s">
        <v>139</v>
      </c>
      <c r="W13" s="16" t="s">
        <v>140</v>
      </c>
      <c r="X13" s="16" t="s">
        <v>141</v>
      </c>
      <c r="Y13" s="16" t="s">
        <v>27</v>
      </c>
      <c r="Z13" s="16" t="s">
        <v>28</v>
      </c>
      <c r="AA13" s="19" t="s">
        <v>142</v>
      </c>
      <c r="AB13" s="19" t="s">
        <v>143</v>
      </c>
      <c r="AC13" s="19" t="s">
        <v>29</v>
      </c>
      <c r="AD13" s="19" t="s">
        <v>204</v>
      </c>
      <c r="AE13" s="19" t="s">
        <v>205</v>
      </c>
      <c r="AF13" s="19" t="s">
        <v>206</v>
      </c>
      <c r="AG13" s="19" t="s">
        <v>207</v>
      </c>
      <c r="AH13" s="19"/>
      <c r="AI13" s="19" t="s">
        <v>208</v>
      </c>
      <c r="AJ13" s="19" t="s">
        <v>209</v>
      </c>
      <c r="AK13" s="19" t="s">
        <v>210</v>
      </c>
      <c r="AL13" s="19" t="s">
        <v>211</v>
      </c>
      <c r="AM13" s="19" t="s">
        <v>147</v>
      </c>
      <c r="AN13" s="19" t="s">
        <v>212</v>
      </c>
      <c r="AO13" s="19" t="s">
        <v>213</v>
      </c>
      <c r="AP13" s="19" t="s">
        <v>214</v>
      </c>
      <c r="AQ13" s="19" t="s">
        <v>215</v>
      </c>
      <c r="AR13" s="19" t="s">
        <v>216</v>
      </c>
      <c r="AS13" s="19" t="s">
        <v>217</v>
      </c>
      <c r="AT13" s="19" t="s">
        <v>218</v>
      </c>
      <c r="AU13" s="19" t="s">
        <v>219</v>
      </c>
      <c r="AV13" s="19" t="s">
        <v>220</v>
      </c>
      <c r="AW13" s="19" t="s">
        <v>221</v>
      </c>
      <c r="AX13" s="19"/>
      <c r="AY13" s="19"/>
      <c r="AZ13" s="19"/>
      <c r="BA13" s="19"/>
      <c r="BB13" s="19"/>
      <c r="BC13" s="19"/>
      <c r="BD13" s="17" t="s">
        <v>130</v>
      </c>
      <c r="BE13" s="17" t="s">
        <v>16</v>
      </c>
      <c r="BF13" s="17" t="s">
        <v>17</v>
      </c>
      <c r="BG13" s="17" t="s">
        <v>18</v>
      </c>
      <c r="BH13" s="17" t="s">
        <v>19</v>
      </c>
      <c r="BI13" s="17" t="s">
        <v>20</v>
      </c>
      <c r="BJ13" s="17" t="s">
        <v>21</v>
      </c>
      <c r="BK13" s="17" t="s">
        <v>22</v>
      </c>
      <c r="BL13" s="17" t="s">
        <v>131</v>
      </c>
      <c r="BM13" s="17" t="s">
        <v>132</v>
      </c>
      <c r="BN13" s="17" t="s">
        <v>133</v>
      </c>
      <c r="BO13" s="17" t="s">
        <v>149</v>
      </c>
      <c r="BP13" s="18" t="s">
        <v>30</v>
      </c>
      <c r="BQ13" s="20" t="s">
        <v>50</v>
      </c>
      <c r="BR13" s="16"/>
      <c r="BU13" s="21" t="s">
        <v>222</v>
      </c>
      <c r="BV13" s="22" t="s">
        <v>42</v>
      </c>
      <c r="BW13" s="22" t="s">
        <v>46</v>
      </c>
      <c r="BX13" s="22" t="s">
        <v>47</v>
      </c>
      <c r="BY13" s="22" t="s">
        <v>24</v>
      </c>
      <c r="BZ13" s="22"/>
      <c r="CA13" s="22" t="s">
        <v>25</v>
      </c>
      <c r="CB13" s="22" t="s">
        <v>144</v>
      </c>
      <c r="CC13" s="23" t="s">
        <v>145</v>
      </c>
      <c r="CD13" s="24" t="s">
        <v>146</v>
      </c>
      <c r="CE13" s="24" t="s">
        <v>147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48" t="s">
        <v>240</v>
      </c>
      <c r="C14" s="48">
        <v>8.4799999999999997E-3</v>
      </c>
      <c r="D14" s="48">
        <v>3.49E-3</v>
      </c>
      <c r="E14" s="48">
        <v>9.7911800000000007</v>
      </c>
      <c r="F14" s="48" t="s">
        <v>202</v>
      </c>
      <c r="G14" s="48" t="s">
        <v>202</v>
      </c>
      <c r="H14" s="48" t="s">
        <v>202</v>
      </c>
      <c r="I14" s="48" t="s">
        <v>202</v>
      </c>
      <c r="J14" s="48" t="s">
        <v>202</v>
      </c>
      <c r="K14" s="48" t="s">
        <v>202</v>
      </c>
      <c r="L14" s="48" t="s">
        <v>202</v>
      </c>
      <c r="M14" s="17"/>
      <c r="N14" s="17"/>
      <c r="P14" s="28">
        <v>45602</v>
      </c>
      <c r="Q14" s="29">
        <v>0.55208333333333337</v>
      </c>
      <c r="R14" s="16">
        <v>0.5</v>
      </c>
      <c r="S14" s="16" t="s">
        <v>48</v>
      </c>
      <c r="T14" s="16">
        <v>1</v>
      </c>
      <c r="V14" s="16" t="s">
        <v>23</v>
      </c>
      <c r="W14" s="16">
        <v>0.63200000000000001</v>
      </c>
      <c r="X14" s="16" t="s">
        <v>23</v>
      </c>
      <c r="Y14" s="16">
        <v>7.1460999999999997</v>
      </c>
      <c r="Z14" s="16">
        <v>7.1487999999999996</v>
      </c>
      <c r="AA14" s="16">
        <v>8</v>
      </c>
      <c r="AB14" s="16">
        <f>Z14-Y14</f>
        <v>2.6999999999999247E-3</v>
      </c>
      <c r="AC14" s="16">
        <f>AB14/(AA14/1000)</f>
        <v>0.33749999999999059</v>
      </c>
      <c r="AD14" s="16">
        <v>13</v>
      </c>
      <c r="AE14">
        <f>FAMES!L15</f>
        <v>0.16400000000000001</v>
      </c>
      <c r="AF14" s="50">
        <f>AE14/AD14</f>
        <v>1.2615384615384615E-2</v>
      </c>
      <c r="AG14" s="16">
        <f>AF14*AC14</f>
        <v>4.257692307692189E-3</v>
      </c>
      <c r="AI14" s="30">
        <f>$BF$14-BF14</f>
        <v>0</v>
      </c>
      <c r="AJ14" s="16">
        <f>BE14/R14</f>
        <v>6.9800000000000001E-2</v>
      </c>
      <c r="AK14" s="30" t="e">
        <f>BE14/AI14</f>
        <v>#DIV/0!</v>
      </c>
      <c r="AL14" s="31">
        <f>AC14/R14</f>
        <v>0.67499999999998117</v>
      </c>
      <c r="AM14" s="16" t="e">
        <f>AC14/AI14</f>
        <v>#DIV/0!</v>
      </c>
      <c r="AO14" s="30"/>
      <c r="BD14" s="16">
        <f t="shared" ref="BD14:BD30" si="0">IF(ISNUMBER(C14),C14*1000/100,"")</f>
        <v>8.48E-2</v>
      </c>
      <c r="BE14" s="16">
        <f>IF(ISNUMBER(D14),D14*1000/100,0)</f>
        <v>3.49E-2</v>
      </c>
      <c r="BF14" s="16">
        <f t="shared" ref="BF14:BO30" si="1">IF(ISNUMBER(E14),E14*1000/100,"")</f>
        <v>97.911799999999999</v>
      </c>
      <c r="BG14" s="16" t="str">
        <f t="shared" si="1"/>
        <v/>
      </c>
      <c r="BH14" s="16" t="str">
        <f t="shared" si="1"/>
        <v/>
      </c>
      <c r="BI14" s="16" t="str">
        <f t="shared" si="1"/>
        <v/>
      </c>
      <c r="BJ14" s="16" t="str">
        <f t="shared" si="1"/>
        <v/>
      </c>
      <c r="BK14" s="16" t="str">
        <f t="shared" si="1"/>
        <v/>
      </c>
      <c r="BL14" s="16" t="str">
        <f t="shared" si="1"/>
        <v/>
      </c>
      <c r="BM14" s="16" t="str">
        <f t="shared" si="1"/>
        <v/>
      </c>
      <c r="BN14" s="16" t="str">
        <f t="shared" si="1"/>
        <v/>
      </c>
      <c r="BO14" s="16" t="str">
        <f t="shared" si="1"/>
        <v/>
      </c>
      <c r="BP14" s="20"/>
      <c r="BQ14" s="20" t="str">
        <f t="shared" ref="BQ14:BQ21" si="2">S14</f>
        <v>r1</v>
      </c>
      <c r="BR14" s="32"/>
      <c r="BS14" s="16" t="str">
        <f t="shared" ref="BS14:BS31" si="3">B14</f>
        <v>Jeff_SloHot50_Biostat 2L-23-1</v>
      </c>
      <c r="BU14" s="18">
        <f>BE14</f>
        <v>3.49E-2</v>
      </c>
      <c r="BW14" s="32"/>
      <c r="BX14" s="32"/>
      <c r="BY14" s="32">
        <f>$BF$14-BF14</f>
        <v>0</v>
      </c>
      <c r="BZ14" s="32"/>
      <c r="CA14" s="32">
        <f t="shared" ref="CA14:CA21" si="4">BY14/R14</f>
        <v>0</v>
      </c>
      <c r="CB14" s="32"/>
      <c r="CC14" s="33"/>
      <c r="CD14" s="34"/>
      <c r="CE14" s="34"/>
      <c r="CG14" s="35"/>
      <c r="CH14" s="35"/>
    </row>
    <row r="15" spans="1:106" x14ac:dyDescent="0.2">
      <c r="A15" s="17"/>
      <c r="B15" s="48" t="s">
        <v>241</v>
      </c>
      <c r="C15" s="48">
        <v>9.1699999999999993E-3</v>
      </c>
      <c r="D15" s="48">
        <v>3.8700000000000002E-3</v>
      </c>
      <c r="E15" s="48">
        <v>9.7506799999999991</v>
      </c>
      <c r="F15" s="48" t="s">
        <v>202</v>
      </c>
      <c r="G15" s="48" t="s">
        <v>202</v>
      </c>
      <c r="H15" s="48" t="s">
        <v>202</v>
      </c>
      <c r="I15" s="48" t="s">
        <v>202</v>
      </c>
      <c r="J15" s="48" t="s">
        <v>202</v>
      </c>
      <c r="K15" s="48" t="s">
        <v>202</v>
      </c>
      <c r="L15" s="48" t="s">
        <v>202</v>
      </c>
      <c r="M15" s="17"/>
      <c r="N15" s="17"/>
      <c r="P15" s="28"/>
      <c r="Q15" s="29"/>
      <c r="R15" s="16">
        <v>0.5</v>
      </c>
      <c r="S15" s="16" t="s">
        <v>49</v>
      </c>
      <c r="T15" s="16">
        <v>2</v>
      </c>
      <c r="V15" s="16" t="s">
        <v>23</v>
      </c>
      <c r="W15" s="16">
        <v>0.64800000000000002</v>
      </c>
      <c r="X15" s="16" t="s">
        <v>23</v>
      </c>
      <c r="Y15" s="16">
        <v>7.1254999999999997</v>
      </c>
      <c r="Z15" s="16">
        <v>7.1284000000000001</v>
      </c>
      <c r="AA15" s="16">
        <v>8</v>
      </c>
      <c r="AB15" s="16">
        <f t="shared" ref="AB15:AB35" si="5">Z15-Y15</f>
        <v>2.9000000000003467E-3</v>
      </c>
      <c r="AC15" s="16">
        <f t="shared" ref="AC15:AC35" si="6">AB15/(AA15/1000)</f>
        <v>0.36250000000004334</v>
      </c>
      <c r="AD15" s="16">
        <v>6</v>
      </c>
      <c r="AE15">
        <f>FAMES!L16</f>
        <v>0.14500000000000002</v>
      </c>
      <c r="AF15" s="50">
        <f t="shared" ref="AF15:AF35" si="7">AE15/AD15</f>
        <v>2.416666666666667E-2</v>
      </c>
      <c r="AG15" s="16">
        <f t="shared" ref="AG15:AG35" si="8">AF15*AC15</f>
        <v>8.7604166666677159E-3</v>
      </c>
      <c r="AI15" s="30">
        <f>$BF$15-BF15</f>
        <v>0</v>
      </c>
      <c r="AJ15" s="16">
        <f t="shared" ref="AJ15:AJ31" si="9">BE15/R15</f>
        <v>7.7399999999999997E-2</v>
      </c>
      <c r="AK15" s="30" t="e">
        <f t="shared" ref="AK15:AK31" si="10">BE15/AI15</f>
        <v>#DIV/0!</v>
      </c>
      <c r="AL15" s="31">
        <f t="shared" ref="AL15:AL31" si="11">AC15/R15</f>
        <v>0.72500000000008669</v>
      </c>
      <c r="AM15" s="16" t="e">
        <f>AC15/AI15</f>
        <v>#DIV/0!</v>
      </c>
      <c r="AO15" s="30"/>
      <c r="BD15" s="16">
        <f t="shared" si="0"/>
        <v>9.1700000000000004E-2</v>
      </c>
      <c r="BE15" s="16">
        <f t="shared" ref="BE15:BE31" si="12">IF(ISNUMBER(D15),D15*1000/100,0)</f>
        <v>3.8699999999999998E-2</v>
      </c>
      <c r="BF15" s="16">
        <f t="shared" si="1"/>
        <v>97.506799999999984</v>
      </c>
      <c r="BG15" s="16" t="str">
        <f t="shared" si="1"/>
        <v/>
      </c>
      <c r="BH15" s="16" t="str">
        <f t="shared" si="1"/>
        <v/>
      </c>
      <c r="BI15" s="16" t="str">
        <f t="shared" si="1"/>
        <v/>
      </c>
      <c r="BJ15" s="16" t="str">
        <f t="shared" si="1"/>
        <v/>
      </c>
      <c r="BK15" s="16" t="str">
        <f t="shared" si="1"/>
        <v/>
      </c>
      <c r="BL15" s="16" t="str">
        <f t="shared" si="1"/>
        <v/>
      </c>
      <c r="BM15" s="16" t="str">
        <f t="shared" si="1"/>
        <v/>
      </c>
      <c r="BN15" s="16" t="str">
        <f t="shared" si="1"/>
        <v/>
      </c>
      <c r="BO15" s="16" t="str">
        <f t="shared" si="1"/>
        <v/>
      </c>
      <c r="BP15" s="20"/>
      <c r="BQ15" s="20" t="str">
        <f t="shared" si="2"/>
        <v>r2</v>
      </c>
      <c r="BR15" s="32"/>
      <c r="BS15" s="16" t="str">
        <f t="shared" si="3"/>
        <v>Jeff_SloHot50_Biostat 2L-23-2</v>
      </c>
      <c r="BT15" s="30"/>
      <c r="BU15" s="18">
        <f t="shared" ref="BU15:BU37" si="13">BE15</f>
        <v>3.8699999999999998E-2</v>
      </c>
      <c r="BW15" s="32"/>
      <c r="BX15" s="32"/>
      <c r="BY15" s="32">
        <f>$BF$15-BF15</f>
        <v>0</v>
      </c>
      <c r="BZ15" s="32"/>
      <c r="CA15" s="32">
        <f t="shared" si="4"/>
        <v>0</v>
      </c>
      <c r="CB15" s="32"/>
      <c r="CC15" s="33"/>
      <c r="CD15" s="34"/>
      <c r="CE15" s="34"/>
      <c r="CG15" s="35"/>
      <c r="CH15" s="35"/>
    </row>
    <row r="16" spans="1:106" x14ac:dyDescent="0.2">
      <c r="A16" s="17"/>
      <c r="B16" s="48" t="s">
        <v>242</v>
      </c>
      <c r="C16" s="48">
        <v>8.4499999999999992E-3</v>
      </c>
      <c r="D16" s="48" t="s">
        <v>202</v>
      </c>
      <c r="E16" s="48">
        <v>9.83995</v>
      </c>
      <c r="F16" s="48" t="s">
        <v>202</v>
      </c>
      <c r="G16" s="48" t="s">
        <v>202</v>
      </c>
      <c r="H16" s="48" t="s">
        <v>202</v>
      </c>
      <c r="I16" s="48" t="s">
        <v>202</v>
      </c>
      <c r="J16" s="48" t="s">
        <v>202</v>
      </c>
      <c r="K16" s="48" t="s">
        <v>202</v>
      </c>
      <c r="L16" s="48" t="s">
        <v>202</v>
      </c>
      <c r="M16" s="17"/>
      <c r="N16" s="17"/>
      <c r="P16" s="28">
        <v>45602</v>
      </c>
      <c r="Q16" s="29">
        <v>0.6875</v>
      </c>
      <c r="R16" s="16">
        <f>R14+3.25</f>
        <v>3.75</v>
      </c>
      <c r="S16" s="16" t="s">
        <v>48</v>
      </c>
      <c r="T16" s="16">
        <v>3</v>
      </c>
      <c r="V16" s="16" t="s">
        <v>23</v>
      </c>
      <c r="W16" s="16" t="s">
        <v>23</v>
      </c>
      <c r="X16" s="16" t="s">
        <v>23</v>
      </c>
      <c r="Y16" s="16">
        <v>7.1551999999999998</v>
      </c>
      <c r="Z16" s="16">
        <v>7.1574</v>
      </c>
      <c r="AA16" s="16">
        <v>8</v>
      </c>
      <c r="AB16" s="16">
        <f t="shared" si="5"/>
        <v>2.2000000000002018E-3</v>
      </c>
      <c r="AC16" s="16">
        <f t="shared" si="6"/>
        <v>0.27500000000002522</v>
      </c>
      <c r="AD16" s="16">
        <v>3</v>
      </c>
      <c r="AE16">
        <f>FAMES!L17</f>
        <v>0.13400000000000001</v>
      </c>
      <c r="AF16" s="50">
        <f>AE16/AD16</f>
        <v>4.4666666666666667E-2</v>
      </c>
      <c r="AG16" s="16">
        <f t="shared" si="8"/>
        <v>1.2283333333334459E-2</v>
      </c>
      <c r="AI16" s="30">
        <f>$BF$14-BF16</f>
        <v>-0.4877000000000038</v>
      </c>
      <c r="AJ16" s="16">
        <f t="shared" si="9"/>
        <v>0</v>
      </c>
      <c r="AK16" s="30">
        <f t="shared" si="10"/>
        <v>0</v>
      </c>
      <c r="AL16" s="31">
        <f t="shared" si="11"/>
        <v>7.3333333333340064E-2</v>
      </c>
      <c r="AM16" s="31">
        <f>AC16/AI16</f>
        <v>-0.56387123231499503</v>
      </c>
      <c r="AO16" s="30"/>
      <c r="AP16" s="16">
        <f t="shared" ref="AP16:AP31" si="14">BF14-BF16</f>
        <v>-0.4877000000000038</v>
      </c>
      <c r="AQ16" s="31">
        <f>AP16/(R16-R14)</f>
        <v>-0.15006153846153963</v>
      </c>
      <c r="AR16" s="31">
        <f>(AC16-AC14)/(AI16-AI14)</f>
        <v>0.12815255279877974</v>
      </c>
      <c r="AS16" s="30">
        <f>AR16/AQ16</f>
        <v>-0.85399999302036267</v>
      </c>
      <c r="AT16" s="31">
        <f>(BE16-BE14)/(AI16-AI14)</f>
        <v>7.1560385482878269E-2</v>
      </c>
      <c r="AU16" s="36">
        <f>AT16/AP16</f>
        <v>-0.14673033726241072</v>
      </c>
      <c r="AV16" s="31"/>
      <c r="AW16" s="31">
        <f>AK16+AM16</f>
        <v>-0.56387123231499503</v>
      </c>
      <c r="AX16" s="31"/>
      <c r="AY16" s="31"/>
      <c r="AZ16" s="31"/>
      <c r="BA16" s="31"/>
      <c r="BB16" s="31"/>
      <c r="BC16" s="31"/>
      <c r="BD16" s="16">
        <f t="shared" si="0"/>
        <v>8.4499999999999992E-2</v>
      </c>
      <c r="BE16" s="16">
        <f t="shared" si="12"/>
        <v>0</v>
      </c>
      <c r="BF16" s="16">
        <f t="shared" si="1"/>
        <v>98.399500000000003</v>
      </c>
      <c r="BG16" s="16" t="str">
        <f t="shared" si="1"/>
        <v/>
      </c>
      <c r="BH16" s="16" t="str">
        <f t="shared" si="1"/>
        <v/>
      </c>
      <c r="BI16" s="16" t="str">
        <f t="shared" si="1"/>
        <v/>
      </c>
      <c r="BJ16" s="16" t="str">
        <f t="shared" si="1"/>
        <v/>
      </c>
      <c r="BK16" s="16" t="str">
        <f t="shared" si="1"/>
        <v/>
      </c>
      <c r="BL16" s="16" t="str">
        <f t="shared" si="1"/>
        <v/>
      </c>
      <c r="BM16" s="16" t="str">
        <f t="shared" si="1"/>
        <v/>
      </c>
      <c r="BN16" s="16" t="str">
        <f t="shared" si="1"/>
        <v/>
      </c>
      <c r="BO16" s="16" t="str">
        <f t="shared" si="1"/>
        <v/>
      </c>
      <c r="BP16" s="20"/>
      <c r="BQ16" s="20" t="str">
        <f t="shared" si="2"/>
        <v>r1</v>
      </c>
      <c r="BR16" s="32"/>
      <c r="BS16" s="16" t="str">
        <f t="shared" si="3"/>
        <v>Jeff_SloHot50_Biostat 2L-23-3</v>
      </c>
      <c r="BT16" s="30"/>
      <c r="BU16" s="18">
        <f t="shared" si="13"/>
        <v>0</v>
      </c>
      <c r="BV16" s="32"/>
      <c r="BW16" s="37"/>
      <c r="BX16" s="37"/>
      <c r="BY16" s="32">
        <f>$BF$14-BF16</f>
        <v>-0.4877000000000038</v>
      </c>
      <c r="BZ16" s="32"/>
      <c r="CA16" s="32">
        <f t="shared" si="4"/>
        <v>-0.13005333333333435</v>
      </c>
      <c r="CB16" s="32">
        <f>BY16-BY14</f>
        <v>-0.4877000000000038</v>
      </c>
      <c r="CC16" s="33">
        <f t="shared" ref="CC16:CC21" si="15">CB16/(R16-R14)</f>
        <v>-0.15006153846153963</v>
      </c>
      <c r="CD16" s="33">
        <f>AC16-AC14</f>
        <v>-6.2499999999965361E-2</v>
      </c>
      <c r="CE16" s="38">
        <f>CD16/CB16</f>
        <v>0.12815255279877974</v>
      </c>
      <c r="CF16" s="31"/>
      <c r="CG16" s="39"/>
      <c r="CH16" s="35"/>
      <c r="CI16" s="35"/>
      <c r="CN16" s="30"/>
      <c r="CO16" s="30"/>
      <c r="CP16" s="32"/>
      <c r="CQ16" s="32"/>
      <c r="CR16" s="32"/>
      <c r="CS16" s="30"/>
      <c r="CZ16" s="32"/>
      <c r="DA16" s="32"/>
      <c r="DB16" s="32"/>
    </row>
    <row r="17" spans="1:106" x14ac:dyDescent="0.2">
      <c r="A17" s="17"/>
      <c r="B17" s="48" t="s">
        <v>243</v>
      </c>
      <c r="C17" s="48" t="s">
        <v>202</v>
      </c>
      <c r="D17" s="48" t="s">
        <v>202</v>
      </c>
      <c r="E17" s="48">
        <v>9.8340899999999998</v>
      </c>
      <c r="F17" s="48" t="s">
        <v>202</v>
      </c>
      <c r="G17" s="48" t="s">
        <v>202</v>
      </c>
      <c r="H17" s="48" t="s">
        <v>202</v>
      </c>
      <c r="I17" s="48" t="s">
        <v>202</v>
      </c>
      <c r="J17" s="48" t="s">
        <v>202</v>
      </c>
      <c r="K17" s="48" t="s">
        <v>202</v>
      </c>
      <c r="L17" s="48" t="s">
        <v>202</v>
      </c>
      <c r="M17" s="17"/>
      <c r="N17" s="17"/>
      <c r="P17" s="28"/>
      <c r="Q17" s="29"/>
      <c r="R17" s="16">
        <f>R15+3.25</f>
        <v>3.75</v>
      </c>
      <c r="S17" s="16" t="s">
        <v>49</v>
      </c>
      <c r="T17" s="16">
        <v>4</v>
      </c>
      <c r="V17" s="16" t="s">
        <v>23</v>
      </c>
      <c r="W17" s="16" t="s">
        <v>23</v>
      </c>
      <c r="X17" s="16" t="s">
        <v>23</v>
      </c>
      <c r="Y17" s="16">
        <v>7.1205999999999996</v>
      </c>
      <c r="Z17" s="16">
        <v>7.1235999999999997</v>
      </c>
      <c r="AA17" s="16">
        <v>8</v>
      </c>
      <c r="AB17" s="16">
        <f t="shared" si="5"/>
        <v>3.0000000000001137E-3</v>
      </c>
      <c r="AC17" s="16">
        <f t="shared" si="6"/>
        <v>0.37500000000001421</v>
      </c>
      <c r="AD17" s="16" t="s">
        <v>23</v>
      </c>
      <c r="AE17">
        <f>FAMES!L18</f>
        <v>0.11899999999999999</v>
      </c>
      <c r="AF17" s="50" t="e">
        <f t="shared" si="7"/>
        <v>#VALUE!</v>
      </c>
      <c r="AG17" s="16" t="e">
        <f t="shared" si="8"/>
        <v>#VALUE!</v>
      </c>
      <c r="AI17" s="30">
        <f>$BF$15-BF17</f>
        <v>-0.83410000000002071</v>
      </c>
      <c r="AJ17" s="16">
        <f t="shared" si="9"/>
        <v>0</v>
      </c>
      <c r="AK17" s="30">
        <f t="shared" si="10"/>
        <v>0</v>
      </c>
      <c r="AL17" s="31">
        <f t="shared" si="11"/>
        <v>0.10000000000000379</v>
      </c>
      <c r="AM17" s="31">
        <f t="shared" ref="AM17:AM31" si="16">AC17/AI17</f>
        <v>-0.44958638052991834</v>
      </c>
      <c r="AO17" s="30"/>
      <c r="AP17" s="16">
        <f t="shared" si="14"/>
        <v>-0.83410000000002071</v>
      </c>
      <c r="AQ17" s="31">
        <f t="shared" ref="AQ17:AQ31" si="17">AP17/(R17-R15)</f>
        <v>-0.25664615384616024</v>
      </c>
      <c r="AR17" s="31">
        <f t="shared" ref="AR17:AR31" si="18">(AC17-AC15)/(AI17-AI15)</f>
        <v>-1.4986212684295118E-2</v>
      </c>
      <c r="AS17" s="30">
        <f t="shared" ref="AS17:AS31" si="19">AR17/AQ17</f>
        <v>5.8392508361057333E-2</v>
      </c>
      <c r="AT17" s="31">
        <f>(BE17-BE15)/(AI17-AI15)</f>
        <v>4.6397314470685812E-2</v>
      </c>
      <c r="AU17" s="36">
        <f t="shared" ref="AU17:AU31" si="20">AT17/AP17</f>
        <v>-5.5625601811155327E-2</v>
      </c>
      <c r="AV17" s="31"/>
      <c r="AW17" s="31">
        <f t="shared" ref="AW17:AW31" si="21">AK17+AM17</f>
        <v>-0.44958638052991834</v>
      </c>
      <c r="AX17" s="31"/>
      <c r="AY17" s="31"/>
      <c r="AZ17" s="31"/>
      <c r="BA17" s="31"/>
      <c r="BB17" s="31"/>
      <c r="BC17" s="31"/>
      <c r="BD17" s="16" t="str">
        <f t="shared" si="0"/>
        <v/>
      </c>
      <c r="BE17" s="16">
        <f t="shared" si="12"/>
        <v>0</v>
      </c>
      <c r="BF17" s="16">
        <f t="shared" si="1"/>
        <v>98.340900000000005</v>
      </c>
      <c r="BG17" s="16" t="str">
        <f t="shared" si="1"/>
        <v/>
      </c>
      <c r="BH17" s="16" t="str">
        <f t="shared" si="1"/>
        <v/>
      </c>
      <c r="BI17" s="16" t="str">
        <f t="shared" si="1"/>
        <v/>
      </c>
      <c r="BJ17" s="16" t="str">
        <f t="shared" si="1"/>
        <v/>
      </c>
      <c r="BK17" s="16" t="str">
        <f t="shared" si="1"/>
        <v/>
      </c>
      <c r="BL17" s="16" t="str">
        <f t="shared" si="1"/>
        <v/>
      </c>
      <c r="BM17" s="16" t="str">
        <f t="shared" si="1"/>
        <v/>
      </c>
      <c r="BN17" s="16" t="str">
        <f t="shared" si="1"/>
        <v/>
      </c>
      <c r="BO17" s="16" t="str">
        <f t="shared" si="1"/>
        <v/>
      </c>
      <c r="BP17" s="20"/>
      <c r="BQ17" s="20" t="str">
        <f t="shared" si="2"/>
        <v>r2</v>
      </c>
      <c r="BR17" s="32"/>
      <c r="BS17" s="16" t="str">
        <f t="shared" si="3"/>
        <v>Jeff_SloHot50_Biostat 2L-23-4</v>
      </c>
      <c r="BT17" s="30"/>
      <c r="BU17" s="18">
        <f t="shared" si="13"/>
        <v>0</v>
      </c>
      <c r="BV17" s="32"/>
      <c r="BW17" s="37"/>
      <c r="BX17" s="37"/>
      <c r="BY17" s="32">
        <f>$BF$15-BF17</f>
        <v>-0.83410000000002071</v>
      </c>
      <c r="BZ17" s="32"/>
      <c r="CA17" s="32">
        <f t="shared" si="4"/>
        <v>-0.22242666666667218</v>
      </c>
      <c r="CB17" s="32">
        <f t="shared" ref="CB17:CB29" si="22">BY17-BY15</f>
        <v>-0.83410000000002071</v>
      </c>
      <c r="CC17" s="33">
        <f t="shared" si="15"/>
        <v>-0.25664615384616024</v>
      </c>
      <c r="CD17" s="33">
        <f>AC17-AC15</f>
        <v>1.2499999999970868E-2</v>
      </c>
      <c r="CE17" s="38">
        <f>CD17/CB17</f>
        <v>-1.4986212684295118E-2</v>
      </c>
      <c r="CF17" s="31"/>
      <c r="CG17" s="39"/>
      <c r="CH17" s="39"/>
      <c r="CI17" s="35"/>
      <c r="CN17" s="30"/>
      <c r="CO17" s="30"/>
      <c r="CP17" s="32"/>
      <c r="CQ17" s="32"/>
      <c r="CR17" s="32"/>
      <c r="CS17" s="30"/>
      <c r="CZ17" s="32"/>
      <c r="DA17" s="32"/>
      <c r="DB17" s="32"/>
    </row>
    <row r="18" spans="1:106" x14ac:dyDescent="0.2">
      <c r="A18" s="17"/>
      <c r="B18" s="48" t="s">
        <v>244</v>
      </c>
      <c r="C18" s="48">
        <v>2.8060000000000002E-2</v>
      </c>
      <c r="D18" s="48">
        <v>5.79E-3</v>
      </c>
      <c r="E18" s="48">
        <v>8.6983099999999993</v>
      </c>
      <c r="F18" s="48" t="s">
        <v>202</v>
      </c>
      <c r="G18" s="48" t="s">
        <v>202</v>
      </c>
      <c r="H18" s="48" t="s">
        <v>202</v>
      </c>
      <c r="I18" s="48" t="s">
        <v>202</v>
      </c>
      <c r="J18" s="48" t="s">
        <v>202</v>
      </c>
      <c r="K18" s="48" t="s">
        <v>202</v>
      </c>
      <c r="L18" s="48" t="s">
        <v>202</v>
      </c>
      <c r="M18" s="17"/>
      <c r="N18" s="17"/>
      <c r="P18" s="28">
        <v>45603</v>
      </c>
      <c r="Q18" s="29">
        <v>0.30208333333333331</v>
      </c>
      <c r="R18" s="16">
        <f>R16+12+2.75</f>
        <v>18.5</v>
      </c>
      <c r="S18" s="16" t="s">
        <v>48</v>
      </c>
      <c r="T18" s="16">
        <v>5</v>
      </c>
      <c r="V18" s="16" t="s">
        <v>23</v>
      </c>
      <c r="W18" s="16" t="s">
        <v>23</v>
      </c>
      <c r="X18" s="16" t="s">
        <v>23</v>
      </c>
      <c r="Y18" s="16">
        <v>7.1403999999999996</v>
      </c>
      <c r="Z18" s="16">
        <v>7.2001999999999997</v>
      </c>
      <c r="AA18" s="16">
        <v>8</v>
      </c>
      <c r="AB18" s="16">
        <f t="shared" si="5"/>
        <v>5.9800000000000075E-2</v>
      </c>
      <c r="AC18" s="16">
        <f t="shared" si="6"/>
        <v>7.4750000000000094</v>
      </c>
      <c r="AD18" s="16">
        <v>13.4</v>
      </c>
      <c r="AE18">
        <f>FAMES!L19</f>
        <v>0.83699999999999997</v>
      </c>
      <c r="AF18" s="50">
        <f t="shared" si="7"/>
        <v>6.2462686567164173E-2</v>
      </c>
      <c r="AG18" s="16">
        <f t="shared" si="8"/>
        <v>0.46690858208955277</v>
      </c>
      <c r="AI18" s="30">
        <f>$BF$14-BF18</f>
        <v>10.928700000000006</v>
      </c>
      <c r="AJ18" s="16">
        <f t="shared" si="9"/>
        <v>3.1297297297297297E-3</v>
      </c>
      <c r="AK18" s="30">
        <f t="shared" si="10"/>
        <v>5.2979768865464294E-3</v>
      </c>
      <c r="AL18" s="31">
        <f t="shared" si="11"/>
        <v>0.40405405405405459</v>
      </c>
      <c r="AM18" s="31">
        <f t="shared" si="16"/>
        <v>0.68397888129420747</v>
      </c>
      <c r="AO18" s="30"/>
      <c r="AP18" s="16">
        <f t="shared" si="14"/>
        <v>11.41640000000001</v>
      </c>
      <c r="AQ18" s="31">
        <f t="shared" si="17"/>
        <v>0.77399322033898377</v>
      </c>
      <c r="AR18" s="31">
        <f t="shared" si="18"/>
        <v>0.63067166532356767</v>
      </c>
      <c r="AS18" s="30">
        <f t="shared" si="19"/>
        <v>0.81482841031521447</v>
      </c>
      <c r="AT18" s="31">
        <f t="shared" ref="AT18:AT31" si="23">(BE18-BE16)/(AI18-AI16)</f>
        <v>5.0716513086437008E-3</v>
      </c>
      <c r="AU18" s="36">
        <f>AT18/AP18</f>
        <v>4.4424260788371956E-4</v>
      </c>
      <c r="AV18" s="31"/>
      <c r="AW18" s="31">
        <f t="shared" si="21"/>
        <v>0.6892768581807539</v>
      </c>
      <c r="AX18" s="31"/>
      <c r="AY18" s="31"/>
      <c r="AZ18" s="31"/>
      <c r="BA18" s="31"/>
      <c r="BB18" s="31"/>
      <c r="BC18" s="31"/>
      <c r="BD18" s="16">
        <f t="shared" si="0"/>
        <v>0.28060000000000002</v>
      </c>
      <c r="BE18" s="16">
        <f t="shared" si="12"/>
        <v>5.79E-2</v>
      </c>
      <c r="BF18" s="16">
        <f t="shared" si="1"/>
        <v>86.983099999999993</v>
      </c>
      <c r="BG18" s="16" t="str">
        <f t="shared" si="1"/>
        <v/>
      </c>
      <c r="BH18" s="16" t="str">
        <f t="shared" si="1"/>
        <v/>
      </c>
      <c r="BI18" s="16" t="str">
        <f t="shared" si="1"/>
        <v/>
      </c>
      <c r="BJ18" s="16" t="str">
        <f t="shared" si="1"/>
        <v/>
      </c>
      <c r="BK18" s="16" t="str">
        <f t="shared" si="1"/>
        <v/>
      </c>
      <c r="BL18" s="16" t="str">
        <f t="shared" si="1"/>
        <v/>
      </c>
      <c r="BM18" s="16" t="str">
        <f t="shared" si="1"/>
        <v/>
      </c>
      <c r="BN18" s="16" t="str">
        <f t="shared" si="1"/>
        <v/>
      </c>
      <c r="BO18" s="16" t="str">
        <f t="shared" si="1"/>
        <v/>
      </c>
      <c r="BP18" s="20"/>
      <c r="BQ18" s="20" t="str">
        <f t="shared" si="2"/>
        <v>r1</v>
      </c>
      <c r="BR18" s="32"/>
      <c r="BS18" s="16" t="str">
        <f t="shared" si="3"/>
        <v>Jeff_SloHot50_Biostat 2L-23-5</v>
      </c>
      <c r="BT18" s="30"/>
      <c r="BU18" s="18">
        <f t="shared" si="13"/>
        <v>5.79E-2</v>
      </c>
      <c r="BV18" s="32"/>
      <c r="BW18" s="37"/>
      <c r="BX18" s="32"/>
      <c r="BY18" s="32">
        <f>$BF$14-BF18</f>
        <v>10.928700000000006</v>
      </c>
      <c r="BZ18" s="32"/>
      <c r="CA18" s="32">
        <f t="shared" si="4"/>
        <v>0.59074054054054093</v>
      </c>
      <c r="CB18" s="32">
        <f t="shared" si="22"/>
        <v>11.41640000000001</v>
      </c>
      <c r="CC18" s="33">
        <f t="shared" si="15"/>
        <v>0.77399322033898377</v>
      </c>
      <c r="CD18" s="33"/>
      <c r="CE18" s="38"/>
      <c r="CF18" s="31"/>
      <c r="CG18" s="39"/>
      <c r="CH18" s="39"/>
      <c r="CI18" s="31"/>
      <c r="CN18" s="30"/>
      <c r="CO18" s="30"/>
      <c r="CP18" s="32"/>
      <c r="CQ18" s="32"/>
      <c r="CR18" s="32"/>
      <c r="CS18" s="30"/>
      <c r="CT18" s="30"/>
      <c r="CU18" s="30"/>
      <c r="CZ18" s="32"/>
      <c r="DA18" s="32"/>
      <c r="DB18" s="32"/>
    </row>
    <row r="19" spans="1:106" x14ac:dyDescent="0.2">
      <c r="A19" s="17"/>
      <c r="B19" s="48" t="s">
        <v>245</v>
      </c>
      <c r="C19" s="48">
        <v>2.52E-2</v>
      </c>
      <c r="D19" s="48" t="s">
        <v>202</v>
      </c>
      <c r="E19" s="48">
        <v>9.0180699999999998</v>
      </c>
      <c r="F19" s="48" t="s">
        <v>202</v>
      </c>
      <c r="G19" s="48" t="s">
        <v>202</v>
      </c>
      <c r="H19" s="48" t="s">
        <v>202</v>
      </c>
      <c r="I19" s="48" t="s">
        <v>202</v>
      </c>
      <c r="J19" s="48" t="s">
        <v>202</v>
      </c>
      <c r="K19" s="48" t="s">
        <v>202</v>
      </c>
      <c r="L19" s="48" t="s">
        <v>202</v>
      </c>
      <c r="M19" s="17"/>
      <c r="N19" s="17"/>
      <c r="P19" s="28"/>
      <c r="Q19" s="29"/>
      <c r="R19" s="16">
        <f>R17+12+2.75</f>
        <v>18.5</v>
      </c>
      <c r="S19" s="16" t="s">
        <v>49</v>
      </c>
      <c r="T19" s="16">
        <v>6</v>
      </c>
      <c r="V19" s="16" t="s">
        <v>23</v>
      </c>
      <c r="W19" s="16" t="s">
        <v>23</v>
      </c>
      <c r="X19" s="16" t="s">
        <v>23</v>
      </c>
      <c r="Y19" s="16">
        <v>7.4391999999999996</v>
      </c>
      <c r="Z19" s="16">
        <v>7.5015000000000001</v>
      </c>
      <c r="AA19" s="16">
        <v>8</v>
      </c>
      <c r="AB19" s="16">
        <f t="shared" si="5"/>
        <v>6.2300000000000466E-2</v>
      </c>
      <c r="AC19" s="16">
        <f t="shared" si="6"/>
        <v>7.7875000000000583</v>
      </c>
      <c r="AD19" s="16">
        <v>18.5</v>
      </c>
      <c r="AE19">
        <f>FAMES!L20</f>
        <v>0.94450000000000001</v>
      </c>
      <c r="AF19" s="50">
        <f t="shared" si="7"/>
        <v>5.1054054054054054E-2</v>
      </c>
      <c r="AG19" s="16">
        <f t="shared" si="8"/>
        <v>0.39758344594594891</v>
      </c>
      <c r="AI19" s="30">
        <f>$BF$15-BF19</f>
        <v>7.3260999999999825</v>
      </c>
      <c r="AJ19" s="16">
        <f t="shared" si="9"/>
        <v>0</v>
      </c>
      <c r="AK19" s="30">
        <f t="shared" si="10"/>
        <v>0</v>
      </c>
      <c r="AL19" s="31">
        <f t="shared" si="11"/>
        <v>0.42094594594594908</v>
      </c>
      <c r="AM19" s="31">
        <f t="shared" si="16"/>
        <v>1.0629803032991738</v>
      </c>
      <c r="AO19" s="30"/>
      <c r="AP19" s="16">
        <f t="shared" si="14"/>
        <v>8.1602000000000032</v>
      </c>
      <c r="AQ19" s="31">
        <f t="shared" si="17"/>
        <v>0.55323389830508496</v>
      </c>
      <c r="AR19" s="31">
        <f t="shared" si="18"/>
        <v>0.90837234381510756</v>
      </c>
      <c r="AS19" s="30">
        <f t="shared" si="19"/>
        <v>1.6419318241308829</v>
      </c>
      <c r="AT19" s="31">
        <f t="shared" si="23"/>
        <v>0</v>
      </c>
      <c r="AU19" s="36">
        <f t="shared" si="20"/>
        <v>0</v>
      </c>
      <c r="AV19" s="31"/>
      <c r="AW19" s="31">
        <f t="shared" si="21"/>
        <v>1.0629803032991738</v>
      </c>
      <c r="AX19" s="31"/>
      <c r="AY19" s="31"/>
      <c r="AZ19" s="31"/>
      <c r="BA19" s="31"/>
      <c r="BB19" s="31"/>
      <c r="BC19" s="31"/>
      <c r="BD19" s="16">
        <f t="shared" si="0"/>
        <v>0.252</v>
      </c>
      <c r="BE19" s="16">
        <f>IF(ISNUMBER(D19),D19*1000/100,0)</f>
        <v>0</v>
      </c>
      <c r="BF19" s="16">
        <f t="shared" si="1"/>
        <v>90.180700000000002</v>
      </c>
      <c r="BG19" s="16" t="str">
        <f t="shared" si="1"/>
        <v/>
      </c>
      <c r="BH19" s="16" t="str">
        <f t="shared" si="1"/>
        <v/>
      </c>
      <c r="BI19" s="16" t="str">
        <f t="shared" si="1"/>
        <v/>
      </c>
      <c r="BJ19" s="16" t="str">
        <f t="shared" si="1"/>
        <v/>
      </c>
      <c r="BK19" s="16" t="str">
        <f t="shared" si="1"/>
        <v/>
      </c>
      <c r="BL19" s="16" t="str">
        <f t="shared" si="1"/>
        <v/>
      </c>
      <c r="BM19" s="16" t="str">
        <f t="shared" si="1"/>
        <v/>
      </c>
      <c r="BN19" s="16" t="str">
        <f t="shared" si="1"/>
        <v/>
      </c>
      <c r="BO19" s="16" t="str">
        <f t="shared" si="1"/>
        <v/>
      </c>
      <c r="BP19" s="20"/>
      <c r="BQ19" s="20" t="str">
        <f t="shared" si="2"/>
        <v>r2</v>
      </c>
      <c r="BR19" s="32"/>
      <c r="BS19" s="16" t="str">
        <f t="shared" si="3"/>
        <v>Jeff_SloHot50_Biostat 2L-23-6</v>
      </c>
      <c r="BT19" s="30"/>
      <c r="BU19" s="18">
        <f t="shared" si="13"/>
        <v>0</v>
      </c>
      <c r="BV19" s="32"/>
      <c r="BW19" s="37"/>
      <c r="BX19" s="32"/>
      <c r="BY19" s="32">
        <f>$BF$15-BF19</f>
        <v>7.3260999999999825</v>
      </c>
      <c r="BZ19" s="32"/>
      <c r="CA19" s="32">
        <f t="shared" si="4"/>
        <v>0.39600540540540446</v>
      </c>
      <c r="CB19" s="32">
        <f t="shared" si="22"/>
        <v>8.1602000000000032</v>
      </c>
      <c r="CC19" s="33">
        <f t="shared" si="15"/>
        <v>0.55323389830508496</v>
      </c>
      <c r="CD19" s="33"/>
      <c r="CE19" s="38"/>
      <c r="CF19" s="31"/>
      <c r="CG19" s="39"/>
      <c r="CH19" s="39"/>
      <c r="CI19" s="31"/>
      <c r="CN19" s="30"/>
      <c r="CO19" s="30"/>
      <c r="CP19" s="32"/>
      <c r="CQ19" s="32"/>
      <c r="CR19" s="32"/>
      <c r="CS19" s="30"/>
      <c r="CT19" s="30"/>
      <c r="CU19" s="30"/>
      <c r="CZ19" s="32"/>
      <c r="DA19" s="32"/>
      <c r="DB19" s="32"/>
    </row>
    <row r="20" spans="1:106" x14ac:dyDescent="0.2">
      <c r="B20" s="40" t="s">
        <v>223</v>
      </c>
      <c r="C20" s="40">
        <v>4.2160000000000003E-2</v>
      </c>
      <c r="D20" s="40">
        <v>2.7E-2</v>
      </c>
      <c r="E20" s="40">
        <v>8.4094999999999995</v>
      </c>
      <c r="F20" s="17" t="s">
        <v>202</v>
      </c>
      <c r="G20" s="17" t="s">
        <v>202</v>
      </c>
      <c r="H20" s="17" t="s">
        <v>202</v>
      </c>
      <c r="I20" s="17" t="s">
        <v>202</v>
      </c>
      <c r="J20" s="17" t="s">
        <v>202</v>
      </c>
      <c r="K20" s="17" t="s">
        <v>202</v>
      </c>
      <c r="L20" s="17" t="s">
        <v>202</v>
      </c>
      <c r="M20" s="17"/>
      <c r="N20" s="17"/>
      <c r="P20" s="28"/>
      <c r="Q20" s="29">
        <v>0.46875</v>
      </c>
      <c r="R20" s="16">
        <f>R18+4</f>
        <v>22.5</v>
      </c>
      <c r="S20" s="16" t="s">
        <v>48</v>
      </c>
      <c r="T20" s="16">
        <v>7</v>
      </c>
      <c r="V20" s="16" t="s">
        <v>23</v>
      </c>
      <c r="W20" s="16">
        <v>16.46</v>
      </c>
      <c r="X20" s="16">
        <v>19</v>
      </c>
      <c r="Y20" s="16">
        <v>7.1512000000000002</v>
      </c>
      <c r="Z20" s="16">
        <v>7.2149999999999999</v>
      </c>
      <c r="AA20" s="16">
        <v>8</v>
      </c>
      <c r="AB20" s="16">
        <f t="shared" si="5"/>
        <v>6.3799999999999635E-2</v>
      </c>
      <c r="AC20" s="16">
        <f t="shared" si="6"/>
        <v>7.9749999999999543</v>
      </c>
      <c r="AD20" s="16">
        <v>13.6</v>
      </c>
      <c r="AE20">
        <f>FAMES!L21</f>
        <v>1.1904999999999999</v>
      </c>
      <c r="AF20" s="50">
        <f t="shared" si="7"/>
        <v>8.7536764705882342E-2</v>
      </c>
      <c r="AG20" s="16">
        <f t="shared" si="8"/>
        <v>0.69810569852940763</v>
      </c>
      <c r="AI20" s="30">
        <f>$BF$14-BF20</f>
        <v>13.816800000000001</v>
      </c>
      <c r="AJ20" s="16">
        <f t="shared" si="9"/>
        <v>1.2E-2</v>
      </c>
      <c r="AK20" s="30">
        <f t="shared" si="10"/>
        <v>1.9541427826993227E-2</v>
      </c>
      <c r="AL20" s="31">
        <f t="shared" si="11"/>
        <v>0.3544444444444424</v>
      </c>
      <c r="AM20" s="31">
        <f t="shared" si="16"/>
        <v>0.5771958774824818</v>
      </c>
      <c r="AO20" s="30"/>
      <c r="AP20" s="16">
        <f t="shared" si="14"/>
        <v>2.8880999999999943</v>
      </c>
      <c r="AQ20" s="31">
        <f t="shared" si="17"/>
        <v>0.72202499999999858</v>
      </c>
      <c r="AR20" s="31">
        <f t="shared" si="18"/>
        <v>0.1731241993005595</v>
      </c>
      <c r="AS20" s="30">
        <f t="shared" si="19"/>
        <v>0.23977590706770519</v>
      </c>
      <c r="AT20" s="31">
        <f t="shared" si="23"/>
        <v>7.3439285343305433E-2</v>
      </c>
      <c r="AU20" s="36">
        <f t="shared" si="20"/>
        <v>2.5428234944532939E-2</v>
      </c>
      <c r="AV20" s="31"/>
      <c r="AW20" s="31">
        <f t="shared" si="21"/>
        <v>0.596737305309475</v>
      </c>
      <c r="AX20" s="31"/>
      <c r="AY20" s="31"/>
      <c r="AZ20" s="31"/>
      <c r="BA20" s="31"/>
      <c r="BB20" s="31"/>
      <c r="BC20" s="31"/>
      <c r="BD20" s="16">
        <f t="shared" si="0"/>
        <v>0.42160000000000003</v>
      </c>
      <c r="BE20" s="16">
        <f t="shared" si="12"/>
        <v>0.27</v>
      </c>
      <c r="BF20" s="16">
        <f t="shared" si="1"/>
        <v>84.094999999999999</v>
      </c>
      <c r="BG20" s="16" t="str">
        <f t="shared" si="1"/>
        <v/>
      </c>
      <c r="BH20" s="16" t="str">
        <f t="shared" si="1"/>
        <v/>
      </c>
      <c r="BI20" s="16" t="str">
        <f t="shared" si="1"/>
        <v/>
      </c>
      <c r="BJ20" s="16" t="str">
        <f t="shared" si="1"/>
        <v/>
      </c>
      <c r="BK20" s="16" t="str">
        <f t="shared" si="1"/>
        <v/>
      </c>
      <c r="BL20" s="16" t="str">
        <f t="shared" si="1"/>
        <v/>
      </c>
      <c r="BM20" s="16" t="str">
        <f t="shared" si="1"/>
        <v/>
      </c>
      <c r="BN20" s="16" t="str">
        <f t="shared" si="1"/>
        <v/>
      </c>
      <c r="BO20" s="16" t="str">
        <f t="shared" si="1"/>
        <v/>
      </c>
      <c r="BP20" s="20"/>
      <c r="BQ20" s="20" t="str">
        <f t="shared" si="2"/>
        <v>r1</v>
      </c>
      <c r="BR20" s="32"/>
      <c r="BS20" s="16" t="str">
        <f t="shared" si="3"/>
        <v>Jeff_SloHot50_Biostat 2L-23-7</v>
      </c>
      <c r="BT20" s="30"/>
      <c r="BU20" s="18">
        <f t="shared" si="13"/>
        <v>0.27</v>
      </c>
      <c r="BV20" s="32"/>
      <c r="BW20" s="37"/>
      <c r="BX20" s="32"/>
      <c r="BY20" s="32">
        <f>$BF$14-BF20</f>
        <v>13.816800000000001</v>
      </c>
      <c r="BZ20" s="32"/>
      <c r="CA20" s="32">
        <f t="shared" si="4"/>
        <v>0.61408000000000007</v>
      </c>
      <c r="CB20" s="32">
        <f t="shared" si="22"/>
        <v>2.8880999999999943</v>
      </c>
      <c r="CC20" s="33">
        <f t="shared" si="15"/>
        <v>0.72202499999999858</v>
      </c>
      <c r="CD20" s="33"/>
      <c r="CE20" s="38"/>
      <c r="CF20" s="31"/>
      <c r="CG20" s="39"/>
      <c r="CH20" s="39"/>
      <c r="CI20" s="31"/>
      <c r="CN20" s="31"/>
      <c r="CO20" s="30"/>
      <c r="CP20" s="32"/>
      <c r="CQ20" s="32"/>
      <c r="CR20" s="32"/>
      <c r="CS20" s="30"/>
      <c r="CT20" s="30"/>
      <c r="CU20" s="30"/>
      <c r="CZ20" s="32"/>
      <c r="DA20" s="32"/>
      <c r="DB20" s="32"/>
    </row>
    <row r="21" spans="1:106" s="53" customFormat="1" x14ac:dyDescent="0.2">
      <c r="B21" s="40" t="s">
        <v>224</v>
      </c>
      <c r="C21" s="40">
        <v>3.3020000000000001E-2</v>
      </c>
      <c r="D21" s="40" t="s">
        <v>202</v>
      </c>
      <c r="E21" s="40">
        <v>8.7848299999999995</v>
      </c>
      <c r="F21" s="17" t="s">
        <v>202</v>
      </c>
      <c r="G21" s="17" t="s">
        <v>202</v>
      </c>
      <c r="H21" s="17" t="s">
        <v>202</v>
      </c>
      <c r="I21" s="17" t="s">
        <v>202</v>
      </c>
      <c r="J21" s="17" t="s">
        <v>202</v>
      </c>
      <c r="K21" s="17" t="s">
        <v>202</v>
      </c>
      <c r="L21" s="17" t="s">
        <v>202</v>
      </c>
      <c r="M21" s="17"/>
      <c r="N21" s="17"/>
      <c r="P21" s="54"/>
      <c r="Q21" s="55"/>
      <c r="R21" s="53">
        <f>R19+4</f>
        <v>22.5</v>
      </c>
      <c r="S21" s="53" t="s">
        <v>49</v>
      </c>
      <c r="T21" s="53">
        <v>8</v>
      </c>
      <c r="V21" s="53" t="s">
        <v>23</v>
      </c>
      <c r="W21" s="53">
        <v>16.559999999999999</v>
      </c>
      <c r="X21" s="53">
        <v>11</v>
      </c>
      <c r="Y21" s="53">
        <v>7.1276000000000002</v>
      </c>
      <c r="Z21" s="53">
        <v>7.1891999999999996</v>
      </c>
      <c r="AA21" s="53">
        <v>8</v>
      </c>
      <c r="AB21" s="53">
        <f t="shared" si="5"/>
        <v>6.1599999999999433E-2</v>
      </c>
      <c r="AC21" s="53">
        <f t="shared" si="6"/>
        <v>7.6999999999999291</v>
      </c>
      <c r="AD21" s="53">
        <v>15.5</v>
      </c>
      <c r="AE21" s="57">
        <f>FAMES!L22</f>
        <v>1.097</v>
      </c>
      <c r="AF21" s="58">
        <f t="shared" si="7"/>
        <v>7.0774193548387099E-2</v>
      </c>
      <c r="AG21" s="53">
        <f t="shared" si="8"/>
        <v>0.54496129032257568</v>
      </c>
      <c r="AI21" s="56">
        <f>$BF$15-BF21</f>
        <v>9.6584999999999894</v>
      </c>
      <c r="AJ21" s="53">
        <f t="shared" si="9"/>
        <v>0</v>
      </c>
      <c r="AK21" s="56">
        <f t="shared" si="10"/>
        <v>0</v>
      </c>
      <c r="AL21" s="59">
        <f t="shared" si="11"/>
        <v>0.3422222222222191</v>
      </c>
      <c r="AM21" s="59">
        <f t="shared" si="16"/>
        <v>0.79722524201479916</v>
      </c>
      <c r="AO21" s="56"/>
      <c r="AP21" s="53">
        <f t="shared" si="14"/>
        <v>2.3324000000000069</v>
      </c>
      <c r="AQ21" s="59">
        <f t="shared" si="17"/>
        <v>0.58310000000000173</v>
      </c>
      <c r="AR21" s="59">
        <f t="shared" si="18"/>
        <v>-3.7515006002456219E-2</v>
      </c>
      <c r="AS21" s="56">
        <f>AR21/AQ21</f>
        <v>-6.4337173730845673E-2</v>
      </c>
      <c r="AT21" s="59">
        <f t="shared" si="23"/>
        <v>0</v>
      </c>
      <c r="AU21" s="60">
        <f t="shared" si="20"/>
        <v>0</v>
      </c>
      <c r="AV21" s="59"/>
      <c r="AW21" s="59">
        <f t="shared" si="21"/>
        <v>0.79722524201479916</v>
      </c>
      <c r="AX21" s="59"/>
      <c r="AY21" s="59"/>
      <c r="AZ21" s="59"/>
      <c r="BA21" s="59"/>
      <c r="BB21" s="59"/>
      <c r="BC21" s="59"/>
      <c r="BD21" s="53">
        <f t="shared" si="0"/>
        <v>0.33020000000000005</v>
      </c>
      <c r="BE21" s="53">
        <f t="shared" si="12"/>
        <v>0</v>
      </c>
      <c r="BF21" s="53">
        <f t="shared" si="1"/>
        <v>87.848299999999995</v>
      </c>
      <c r="BG21" s="53" t="str">
        <f t="shared" si="1"/>
        <v/>
      </c>
      <c r="BH21" s="53" t="str">
        <f t="shared" si="1"/>
        <v/>
      </c>
      <c r="BI21" s="53" t="str">
        <f t="shared" si="1"/>
        <v/>
      </c>
      <c r="BJ21" s="53" t="str">
        <f t="shared" si="1"/>
        <v/>
      </c>
      <c r="BK21" s="53" t="str">
        <f t="shared" si="1"/>
        <v/>
      </c>
      <c r="BL21" s="53" t="str">
        <f t="shared" si="1"/>
        <v/>
      </c>
      <c r="BM21" s="53" t="str">
        <f t="shared" si="1"/>
        <v/>
      </c>
      <c r="BN21" s="53" t="str">
        <f t="shared" si="1"/>
        <v/>
      </c>
      <c r="BO21" s="53" t="str">
        <f t="shared" si="1"/>
        <v/>
      </c>
      <c r="BP21" s="61"/>
      <c r="BQ21" s="61" t="str">
        <f t="shared" si="2"/>
        <v>r2</v>
      </c>
      <c r="BR21" s="62"/>
      <c r="BS21" s="53" t="str">
        <f t="shared" si="3"/>
        <v>Jeff_SloHot50_Biostat 2L-23-8</v>
      </c>
      <c r="BT21" s="56"/>
      <c r="BU21" s="52">
        <f t="shared" si="13"/>
        <v>0</v>
      </c>
      <c r="BV21" s="62"/>
      <c r="BW21" s="66"/>
      <c r="BX21" s="62"/>
      <c r="BY21" s="62">
        <f>$BF$15-BF21</f>
        <v>9.6584999999999894</v>
      </c>
      <c r="BZ21" s="62"/>
      <c r="CA21" s="62">
        <f t="shared" si="4"/>
        <v>0.42926666666666619</v>
      </c>
      <c r="CB21" s="62">
        <f t="shared" si="22"/>
        <v>2.3324000000000069</v>
      </c>
      <c r="CC21" s="63">
        <f t="shared" si="15"/>
        <v>0.58310000000000173</v>
      </c>
      <c r="CD21" s="63"/>
      <c r="CE21" s="64"/>
      <c r="CF21" s="59"/>
      <c r="CG21" s="65"/>
      <c r="CH21" s="65"/>
      <c r="CI21" s="59"/>
      <c r="CN21" s="59"/>
      <c r="CO21" s="56"/>
      <c r="CP21" s="62"/>
      <c r="CQ21" s="62"/>
      <c r="CR21" s="62"/>
      <c r="CS21" s="56"/>
      <c r="CT21" s="56"/>
      <c r="CU21" s="56"/>
      <c r="CZ21" s="62"/>
      <c r="DA21" s="62"/>
      <c r="DB21" s="62"/>
    </row>
    <row r="22" spans="1:106" x14ac:dyDescent="0.2">
      <c r="B22" s="51" t="s">
        <v>225</v>
      </c>
      <c r="C22" s="51">
        <v>4.3319999999999997E-2</v>
      </c>
      <c r="D22" s="51">
        <v>9.2770000000000005E-2</v>
      </c>
      <c r="E22" s="51">
        <v>7.9877900000000004</v>
      </c>
      <c r="F22" s="52" t="s">
        <v>202</v>
      </c>
      <c r="G22" s="52" t="s">
        <v>202</v>
      </c>
      <c r="H22" s="52" t="s">
        <v>202</v>
      </c>
      <c r="I22" s="52" t="s">
        <v>202</v>
      </c>
      <c r="J22" s="52" t="s">
        <v>202</v>
      </c>
      <c r="K22" s="52" t="s">
        <v>202</v>
      </c>
      <c r="L22" s="52" t="s">
        <v>202</v>
      </c>
      <c r="M22" s="52"/>
      <c r="N22" s="52"/>
      <c r="P22" s="28"/>
      <c r="Q22" s="29">
        <v>0.66666666666666663</v>
      </c>
      <c r="R22" s="16">
        <f>R20+3+0.75</f>
        <v>26.25</v>
      </c>
      <c r="S22" s="16" t="s">
        <v>48</v>
      </c>
      <c r="T22" s="16">
        <v>9</v>
      </c>
      <c r="V22" s="16" t="s">
        <v>23</v>
      </c>
      <c r="W22" s="16">
        <v>23.44</v>
      </c>
      <c r="X22" s="16">
        <v>22</v>
      </c>
      <c r="Y22" s="16">
        <v>7.16</v>
      </c>
      <c r="Z22" s="16">
        <v>7.2431999999999999</v>
      </c>
      <c r="AA22" s="16">
        <v>8</v>
      </c>
      <c r="AB22" s="16">
        <f t="shared" si="5"/>
        <v>8.3199999999999719E-2</v>
      </c>
      <c r="AC22" s="16">
        <f t="shared" si="6"/>
        <v>10.399999999999965</v>
      </c>
      <c r="AD22" s="16">
        <v>17</v>
      </c>
      <c r="AE22">
        <f>FAMES!L23</f>
        <v>1.5470000000000002</v>
      </c>
      <c r="AF22" s="50">
        <f t="shared" si="7"/>
        <v>9.1000000000000011E-2</v>
      </c>
      <c r="AG22" s="16">
        <f t="shared" si="8"/>
        <v>0.94639999999999691</v>
      </c>
      <c r="AI22" s="30">
        <f>$BF$14-BF22</f>
        <v>18.033900000000003</v>
      </c>
      <c r="AJ22" s="16">
        <f t="shared" si="9"/>
        <v>3.5340952380952383E-2</v>
      </c>
      <c r="AK22" s="30">
        <f t="shared" si="10"/>
        <v>5.1442006443420445E-2</v>
      </c>
      <c r="AL22" s="31">
        <f t="shared" si="11"/>
        <v>0.39619047619047487</v>
      </c>
      <c r="AM22" s="31">
        <f t="shared" si="16"/>
        <v>0.57669167512296082</v>
      </c>
      <c r="AO22" s="30"/>
      <c r="AP22" s="16">
        <f t="shared" si="14"/>
        <v>4.2171000000000021</v>
      </c>
      <c r="AQ22" s="31">
        <f t="shared" si="17"/>
        <v>1.1245600000000004</v>
      </c>
      <c r="AR22" s="31">
        <f t="shared" si="18"/>
        <v>0.5750397192383413</v>
      </c>
      <c r="AS22" s="30">
        <f t="shared" si="19"/>
        <v>0.51134641036346751</v>
      </c>
      <c r="AT22" s="31">
        <f t="shared" si="23"/>
        <v>0.15596025704868269</v>
      </c>
      <c r="AU22" s="36">
        <f t="shared" si="20"/>
        <v>3.6982821618809752E-2</v>
      </c>
      <c r="AV22" s="31"/>
      <c r="AW22" s="31">
        <f t="shared" si="21"/>
        <v>0.62813368156638127</v>
      </c>
      <c r="AX22" s="31"/>
      <c r="AY22" s="31"/>
      <c r="AZ22" s="31"/>
      <c r="BA22" s="31"/>
      <c r="BB22" s="31"/>
      <c r="BC22" s="31"/>
      <c r="BD22" s="16">
        <f t="shared" si="0"/>
        <v>0.43320000000000003</v>
      </c>
      <c r="BE22" s="16">
        <f t="shared" si="12"/>
        <v>0.92770000000000008</v>
      </c>
      <c r="BF22" s="16">
        <f t="shared" si="1"/>
        <v>79.877899999999997</v>
      </c>
      <c r="BG22" s="16" t="str">
        <f t="shared" si="1"/>
        <v/>
      </c>
      <c r="BH22" s="16" t="str">
        <f t="shared" si="1"/>
        <v/>
      </c>
      <c r="BI22" s="16" t="str">
        <f t="shared" si="1"/>
        <v/>
      </c>
      <c r="BJ22" s="16" t="str">
        <f t="shared" si="1"/>
        <v/>
      </c>
      <c r="BK22" s="16" t="str">
        <f t="shared" si="1"/>
        <v/>
      </c>
      <c r="BL22" s="16" t="str">
        <f t="shared" si="1"/>
        <v/>
      </c>
      <c r="BM22" s="16" t="str">
        <f t="shared" si="1"/>
        <v/>
      </c>
      <c r="BN22" s="16" t="str">
        <f t="shared" si="1"/>
        <v/>
      </c>
      <c r="BO22" s="16" t="str">
        <f t="shared" si="1"/>
        <v/>
      </c>
      <c r="BP22" s="20"/>
      <c r="BQ22" s="20" t="str">
        <f t="shared" ref="BQ22:BQ29" si="24">S24</f>
        <v>r1</v>
      </c>
      <c r="BR22" s="32"/>
      <c r="BS22" s="16" t="str">
        <f t="shared" si="3"/>
        <v>Jeff_SloHot50_Biostat 2L-23-9</v>
      </c>
      <c r="BT22" s="30"/>
      <c r="BU22" s="18">
        <f t="shared" si="13"/>
        <v>0.92770000000000008</v>
      </c>
      <c r="BV22" s="32"/>
      <c r="BW22" s="32"/>
      <c r="BX22" s="32"/>
      <c r="BY22" s="32">
        <f>$BF$14-BF22</f>
        <v>18.033900000000003</v>
      </c>
      <c r="BZ22" s="32"/>
      <c r="CA22" s="32">
        <f t="shared" ref="CA22:CA29" si="25">BY22/R24</f>
        <v>0.41220342857142861</v>
      </c>
      <c r="CB22" s="32">
        <f t="shared" si="22"/>
        <v>4.2171000000000021</v>
      </c>
      <c r="CC22" s="33">
        <f>CB22/(R24-R20)</f>
        <v>0.19845176470588244</v>
      </c>
      <c r="CD22" s="33">
        <f>AC22-AC16</f>
        <v>10.12499999999994</v>
      </c>
      <c r="CE22" s="38">
        <f>CD22/CB22</f>
        <v>2.4009390339332564</v>
      </c>
      <c r="CF22" s="31"/>
      <c r="CG22" s="39"/>
      <c r="CH22" s="39"/>
      <c r="CI22" s="31"/>
      <c r="CN22" s="31"/>
      <c r="CO22" s="30"/>
      <c r="CP22" s="32"/>
      <c r="CQ22" s="32"/>
      <c r="CR22" s="32"/>
      <c r="CS22" s="30"/>
      <c r="CT22" s="30"/>
      <c r="CU22" s="30"/>
      <c r="CZ22" s="32"/>
      <c r="DA22" s="31"/>
      <c r="DB22" s="32"/>
    </row>
    <row r="23" spans="1:106" x14ac:dyDescent="0.2">
      <c r="B23" s="40" t="s">
        <v>226</v>
      </c>
      <c r="C23" s="40">
        <v>4.163E-2</v>
      </c>
      <c r="D23" s="40">
        <v>2.981E-2</v>
      </c>
      <c r="E23" s="40">
        <v>8.4167900000000007</v>
      </c>
      <c r="F23" s="17" t="s">
        <v>202</v>
      </c>
      <c r="G23" s="17" t="s">
        <v>202</v>
      </c>
      <c r="H23" s="17" t="s">
        <v>202</v>
      </c>
      <c r="I23" s="17" t="s">
        <v>202</v>
      </c>
      <c r="J23" s="17" t="s">
        <v>202</v>
      </c>
      <c r="K23" s="17" t="s">
        <v>202</v>
      </c>
      <c r="L23" s="17" t="s">
        <v>202</v>
      </c>
      <c r="M23" s="17"/>
      <c r="N23" s="17"/>
      <c r="P23" s="28"/>
      <c r="Q23" s="29"/>
      <c r="R23" s="16">
        <f>R21+3.75</f>
        <v>26.25</v>
      </c>
      <c r="S23" s="16" t="s">
        <v>49</v>
      </c>
      <c r="T23" s="16">
        <v>10</v>
      </c>
      <c r="V23" s="16" t="s">
        <v>23</v>
      </c>
      <c r="W23" s="16">
        <v>23.68</v>
      </c>
      <c r="X23" s="16">
        <v>13</v>
      </c>
      <c r="Y23" s="16">
        <v>7.1661000000000001</v>
      </c>
      <c r="Z23" s="16">
        <v>7.2542</v>
      </c>
      <c r="AA23" s="16">
        <v>8</v>
      </c>
      <c r="AB23" s="16">
        <f t="shared" si="5"/>
        <v>8.8099999999999845E-2</v>
      </c>
      <c r="AC23" s="16">
        <f t="shared" si="6"/>
        <v>11.01249999999998</v>
      </c>
      <c r="AD23" s="16">
        <v>12.6</v>
      </c>
      <c r="AE23">
        <f>FAMES!L24</f>
        <v>0.91700000000000004</v>
      </c>
      <c r="AF23" s="50">
        <f t="shared" si="7"/>
        <v>7.2777777777777788E-2</v>
      </c>
      <c r="AG23" s="16">
        <f t="shared" si="8"/>
        <v>0.80146527777777643</v>
      </c>
      <c r="AI23" s="30">
        <f>$BF$15-BF23</f>
        <v>13.338899999999981</v>
      </c>
      <c r="AJ23" s="16">
        <f t="shared" si="9"/>
        <v>1.1356190476190475E-2</v>
      </c>
      <c r="AK23" s="30">
        <f t="shared" si="10"/>
        <v>2.2348169639175675E-2</v>
      </c>
      <c r="AL23" s="31">
        <f t="shared" si="11"/>
        <v>0.41952380952380874</v>
      </c>
      <c r="AM23" s="31">
        <f t="shared" si="16"/>
        <v>0.82559281499973725</v>
      </c>
      <c r="AO23" s="30"/>
      <c r="AP23" s="16">
        <f t="shared" si="14"/>
        <v>3.6803999999999917</v>
      </c>
      <c r="AQ23" s="31">
        <f t="shared" si="17"/>
        <v>0.98143999999999776</v>
      </c>
      <c r="AR23" s="31">
        <f t="shared" si="18"/>
        <v>0.90003803934356541</v>
      </c>
      <c r="AS23" s="30">
        <f t="shared" si="19"/>
        <v>0.91705864784761926</v>
      </c>
      <c r="AT23" s="31">
        <f t="shared" si="23"/>
        <v>8.0996630801000072E-2</v>
      </c>
      <c r="AU23" s="36">
        <f t="shared" si="20"/>
        <v>2.2007561895717925E-2</v>
      </c>
      <c r="AV23" s="31"/>
      <c r="AW23" s="31">
        <f t="shared" si="21"/>
        <v>0.84794098463891288</v>
      </c>
      <c r="AX23" s="31"/>
      <c r="AY23" s="31"/>
      <c r="AZ23" s="31"/>
      <c r="BA23" s="31"/>
      <c r="BB23" s="31"/>
      <c r="BC23" s="31"/>
      <c r="BD23" s="16">
        <f t="shared" si="0"/>
        <v>0.4163</v>
      </c>
      <c r="BE23" s="16">
        <f t="shared" si="12"/>
        <v>0.29809999999999998</v>
      </c>
      <c r="BF23" s="16">
        <f t="shared" si="1"/>
        <v>84.167900000000003</v>
      </c>
      <c r="BG23" s="16" t="str">
        <f t="shared" si="1"/>
        <v/>
      </c>
      <c r="BH23" s="16" t="str">
        <f t="shared" si="1"/>
        <v/>
      </c>
      <c r="BI23" s="16" t="str">
        <f t="shared" si="1"/>
        <v/>
      </c>
      <c r="BJ23" s="16" t="str">
        <f t="shared" si="1"/>
        <v/>
      </c>
      <c r="BK23" s="16" t="str">
        <f t="shared" si="1"/>
        <v/>
      </c>
      <c r="BL23" s="16" t="str">
        <f t="shared" si="1"/>
        <v/>
      </c>
      <c r="BM23" s="16" t="str">
        <f t="shared" si="1"/>
        <v/>
      </c>
      <c r="BN23" s="16" t="str">
        <f t="shared" si="1"/>
        <v/>
      </c>
      <c r="BO23" s="16" t="str">
        <f t="shared" si="1"/>
        <v/>
      </c>
      <c r="BP23" s="20"/>
      <c r="BQ23" s="20" t="str">
        <f t="shared" si="24"/>
        <v>r2</v>
      </c>
      <c r="BR23" s="32"/>
      <c r="BS23" s="16" t="str">
        <f t="shared" si="3"/>
        <v>Jeff_SloHot50_Biostat 2L-23-10</v>
      </c>
      <c r="BT23" s="30"/>
      <c r="BU23" s="18">
        <f t="shared" si="13"/>
        <v>0.29809999999999998</v>
      </c>
      <c r="BV23" s="32"/>
      <c r="BW23" s="32"/>
      <c r="BX23" s="32"/>
      <c r="BY23" s="32">
        <f>$BF$15-BF23</f>
        <v>13.338899999999981</v>
      </c>
      <c r="BZ23" s="32"/>
      <c r="CA23" s="32">
        <f t="shared" si="25"/>
        <v>0.30488914285714241</v>
      </c>
      <c r="CB23" s="32">
        <f t="shared" si="22"/>
        <v>3.6803999999999917</v>
      </c>
      <c r="CC23" s="33">
        <f>CB23/(R25-R21)</f>
        <v>0.17319529411764667</v>
      </c>
      <c r="CD23" s="33">
        <f>AC23-AC17</f>
        <v>10.637499999999966</v>
      </c>
      <c r="CE23" s="38">
        <f>CD23/CB23</f>
        <v>2.8903108357787168</v>
      </c>
      <c r="CF23" s="31"/>
      <c r="CG23" s="39"/>
      <c r="CH23" s="39"/>
      <c r="CI23" s="31"/>
      <c r="CN23" s="31"/>
      <c r="CO23" s="30"/>
      <c r="CP23" s="32"/>
      <c r="CQ23" s="32"/>
      <c r="CR23" s="32"/>
      <c r="CS23" s="30"/>
      <c r="CT23" s="30"/>
      <c r="CU23" s="30"/>
      <c r="CZ23" s="32"/>
      <c r="DA23" s="31"/>
      <c r="DB23" s="32"/>
    </row>
    <row r="24" spans="1:106" x14ac:dyDescent="0.2">
      <c r="A24" s="17"/>
      <c r="B24" s="40" t="s">
        <v>227</v>
      </c>
      <c r="C24" s="40">
        <v>4.2529999999999998E-2</v>
      </c>
      <c r="D24" s="40">
        <v>0.43969000000000003</v>
      </c>
      <c r="E24" s="40">
        <v>7.0351600000000003</v>
      </c>
      <c r="F24" s="17" t="s">
        <v>202</v>
      </c>
      <c r="G24" s="17" t="s">
        <v>202</v>
      </c>
      <c r="H24" s="17" t="s">
        <v>202</v>
      </c>
      <c r="I24" s="17" t="s">
        <v>202</v>
      </c>
      <c r="J24" s="17" t="s">
        <v>202</v>
      </c>
      <c r="K24" s="17" t="s">
        <v>202</v>
      </c>
      <c r="L24" s="17" t="s">
        <v>202</v>
      </c>
      <c r="M24" s="17"/>
      <c r="N24" s="17"/>
      <c r="P24" s="28">
        <v>45604</v>
      </c>
      <c r="Q24" s="29">
        <v>0.39583333333333331</v>
      </c>
      <c r="R24" s="16">
        <f>R22+12+5.5</f>
        <v>43.75</v>
      </c>
      <c r="S24" s="16" t="s">
        <v>48</v>
      </c>
      <c r="T24" s="16">
        <v>11</v>
      </c>
      <c r="V24" s="16" t="s">
        <v>23</v>
      </c>
      <c r="W24" s="16">
        <v>30.25</v>
      </c>
      <c r="X24" s="16">
        <v>37</v>
      </c>
      <c r="Y24" s="16">
        <v>7.1430999999999996</v>
      </c>
      <c r="Z24" s="16">
        <v>7.2435999999999998</v>
      </c>
      <c r="AA24" s="16">
        <v>8</v>
      </c>
      <c r="AB24" s="16">
        <f t="shared" si="5"/>
        <v>0.10050000000000026</v>
      </c>
      <c r="AC24" s="16">
        <f t="shared" si="6"/>
        <v>12.562500000000032</v>
      </c>
      <c r="AD24" s="16">
        <v>15.8</v>
      </c>
      <c r="AE24">
        <f>FAMES!L25</f>
        <v>2.1085000000000003</v>
      </c>
      <c r="AF24" s="50">
        <f t="shared" si="7"/>
        <v>0.13344936708860761</v>
      </c>
      <c r="AG24" s="16">
        <f t="shared" si="8"/>
        <v>1.6764576740506374</v>
      </c>
      <c r="AI24" s="30">
        <f>$BF$14-BF24</f>
        <v>27.560199999999995</v>
      </c>
      <c r="AJ24" s="16">
        <f t="shared" si="9"/>
        <v>0.10050057142857143</v>
      </c>
      <c r="AK24" s="30">
        <f t="shared" si="10"/>
        <v>0.15953802947728973</v>
      </c>
      <c r="AL24" s="31">
        <f t="shared" si="11"/>
        <v>0.28714285714285787</v>
      </c>
      <c r="AM24" s="31">
        <f t="shared" si="16"/>
        <v>0.45582034963461926</v>
      </c>
      <c r="AO24" s="30"/>
      <c r="AP24" s="16">
        <f t="shared" si="14"/>
        <v>9.526299999999992</v>
      </c>
      <c r="AQ24" s="31">
        <f t="shared" si="17"/>
        <v>0.54435999999999951</v>
      </c>
      <c r="AR24" s="31">
        <f t="shared" si="18"/>
        <v>0.22700313867924263</v>
      </c>
      <c r="AS24" s="30">
        <f t="shared" si="19"/>
        <v>0.4170092194122324</v>
      </c>
      <c r="AT24" s="31">
        <f t="shared" si="23"/>
        <v>0.36417076934381681</v>
      </c>
      <c r="AU24" s="36">
        <f t="shared" si="20"/>
        <v>3.8227934176313691E-2</v>
      </c>
      <c r="AV24" s="31"/>
      <c r="AW24" s="31">
        <f t="shared" si="21"/>
        <v>0.61535837911190905</v>
      </c>
      <c r="AX24" s="31"/>
      <c r="AY24" s="31"/>
      <c r="AZ24" s="31"/>
      <c r="BA24" s="31"/>
      <c r="BB24" s="31"/>
      <c r="BC24" s="31"/>
      <c r="BD24" s="16">
        <f t="shared" si="0"/>
        <v>0.42530000000000001</v>
      </c>
      <c r="BE24" s="16">
        <f t="shared" si="12"/>
        <v>4.3968999999999996</v>
      </c>
      <c r="BF24" s="16">
        <f t="shared" si="1"/>
        <v>70.351600000000005</v>
      </c>
      <c r="BG24" s="16" t="str">
        <f t="shared" si="1"/>
        <v/>
      </c>
      <c r="BH24" s="16" t="str">
        <f t="shared" si="1"/>
        <v/>
      </c>
      <c r="BI24" s="16" t="str">
        <f t="shared" si="1"/>
        <v/>
      </c>
      <c r="BJ24" s="16" t="str">
        <f t="shared" si="1"/>
        <v/>
      </c>
      <c r="BK24" s="16" t="str">
        <f t="shared" si="1"/>
        <v/>
      </c>
      <c r="BL24" s="16" t="str">
        <f t="shared" si="1"/>
        <v/>
      </c>
      <c r="BM24" s="16" t="str">
        <f t="shared" si="1"/>
        <v/>
      </c>
      <c r="BN24" s="16" t="str">
        <f t="shared" si="1"/>
        <v/>
      </c>
      <c r="BO24" s="16" t="str">
        <f t="shared" si="1"/>
        <v/>
      </c>
      <c r="BP24" s="20"/>
      <c r="BQ24" s="20" t="str">
        <f t="shared" si="24"/>
        <v>r1</v>
      </c>
      <c r="BR24" s="32"/>
      <c r="BS24" s="16" t="str">
        <f t="shared" si="3"/>
        <v>Jeff_SloHot50_Biostat 2L-23-11</v>
      </c>
      <c r="BT24" s="30"/>
      <c r="BU24" s="18">
        <f t="shared" si="13"/>
        <v>4.3968999999999996</v>
      </c>
      <c r="BV24" s="32"/>
      <c r="BW24" s="32"/>
      <c r="BX24" s="32"/>
      <c r="BY24" s="32">
        <f>$BF$14-BF24</f>
        <v>27.560199999999995</v>
      </c>
      <c r="BZ24" s="32"/>
      <c r="CA24" s="32">
        <f t="shared" si="25"/>
        <v>0.5811935892028679</v>
      </c>
      <c r="CB24" s="32">
        <f t="shared" si="22"/>
        <v>9.526299999999992</v>
      </c>
      <c r="CC24" s="33">
        <f t="shared" ref="CC24:CC29" si="26">CB24/(R26-R24)</f>
        <v>2.5957220708446833</v>
      </c>
      <c r="CD24" s="33"/>
      <c r="CE24" s="38"/>
      <c r="CF24" s="31"/>
      <c r="CG24" s="39"/>
      <c r="CH24" s="39"/>
      <c r="CI24" s="31"/>
      <c r="CN24" s="31"/>
      <c r="CO24" s="30"/>
      <c r="CP24" s="32"/>
      <c r="CQ24" s="32"/>
      <c r="CR24" s="32"/>
      <c r="CS24" s="30"/>
      <c r="CT24" s="30"/>
      <c r="CU24" s="30"/>
      <c r="CZ24" s="32"/>
      <c r="DA24" s="31"/>
      <c r="DB24" s="32"/>
    </row>
    <row r="25" spans="1:106" x14ac:dyDescent="0.2">
      <c r="A25" s="18"/>
      <c r="B25" s="40" t="s">
        <v>228</v>
      </c>
      <c r="C25" s="40">
        <v>4.3299999999999998E-2</v>
      </c>
      <c r="D25" s="40">
        <v>0.26967000000000002</v>
      </c>
      <c r="E25" s="40">
        <v>7.29352</v>
      </c>
      <c r="F25" s="17" t="s">
        <v>202</v>
      </c>
      <c r="G25" s="17" t="s">
        <v>202</v>
      </c>
      <c r="H25" s="17" t="s">
        <v>202</v>
      </c>
      <c r="I25" s="17" t="s">
        <v>202</v>
      </c>
      <c r="J25" s="17" t="s">
        <v>202</v>
      </c>
      <c r="K25" s="17" t="s">
        <v>202</v>
      </c>
      <c r="L25" s="17" t="s">
        <v>202</v>
      </c>
      <c r="M25" s="17"/>
      <c r="N25" s="17"/>
      <c r="R25" s="16">
        <f>R23+12+5.5</f>
        <v>43.75</v>
      </c>
      <c r="S25" s="16" t="s">
        <v>49</v>
      </c>
      <c r="T25" s="16">
        <v>12</v>
      </c>
      <c r="V25" s="16" t="s">
        <v>23</v>
      </c>
      <c r="W25" s="16">
        <v>34.35</v>
      </c>
      <c r="X25" s="16">
        <v>24</v>
      </c>
      <c r="Y25" s="16">
        <v>7.1242999999999999</v>
      </c>
      <c r="Z25" s="16">
        <v>7.234</v>
      </c>
      <c r="AA25" s="16">
        <v>8</v>
      </c>
      <c r="AB25" s="16">
        <f t="shared" si="5"/>
        <v>0.10970000000000013</v>
      </c>
      <c r="AC25" s="16">
        <f t="shared" si="6"/>
        <v>13.712500000000016</v>
      </c>
      <c r="AD25" s="16">
        <v>20</v>
      </c>
      <c r="AE25">
        <f>FAMES!L26</f>
        <v>2.4319999999999999</v>
      </c>
      <c r="AF25" s="50">
        <f t="shared" si="7"/>
        <v>0.1216</v>
      </c>
      <c r="AG25" s="16">
        <f t="shared" si="8"/>
        <v>1.667440000000002</v>
      </c>
      <c r="AI25" s="30">
        <f>$BF$15-BF25</f>
        <v>24.571599999999975</v>
      </c>
      <c r="AJ25" s="16">
        <f t="shared" si="9"/>
        <v>6.1638857142857148E-2</v>
      </c>
      <c r="AK25" s="30">
        <f t="shared" si="10"/>
        <v>0.10974865291637513</v>
      </c>
      <c r="AL25" s="31">
        <f t="shared" si="11"/>
        <v>0.31342857142857178</v>
      </c>
      <c r="AM25" s="31">
        <f t="shared" si="16"/>
        <v>0.55806296700255698</v>
      </c>
      <c r="AO25" s="30"/>
      <c r="AP25" s="16">
        <f t="shared" si="14"/>
        <v>11.232699999999994</v>
      </c>
      <c r="AQ25" s="31">
        <f t="shared" si="17"/>
        <v>0.64186857142857112</v>
      </c>
      <c r="AR25" s="31">
        <f t="shared" si="18"/>
        <v>0.24036963508328701</v>
      </c>
      <c r="AS25" s="30">
        <f t="shared" si="19"/>
        <v>0.3744841947134282</v>
      </c>
      <c r="AT25" s="31">
        <f t="shared" si="23"/>
        <v>0.21353726174472759</v>
      </c>
      <c r="AU25" s="36">
        <f t="shared" si="20"/>
        <v>1.9010323586023635E-2</v>
      </c>
      <c r="AV25" s="31"/>
      <c r="AW25" s="31">
        <f t="shared" si="21"/>
        <v>0.66781161991893212</v>
      </c>
      <c r="AX25" s="31"/>
      <c r="AY25" s="31"/>
      <c r="AZ25" s="31"/>
      <c r="BA25" s="31"/>
      <c r="BB25" s="31"/>
      <c r="BC25" s="31"/>
      <c r="BD25" s="16">
        <f t="shared" si="0"/>
        <v>0.433</v>
      </c>
      <c r="BE25" s="16">
        <f t="shared" si="12"/>
        <v>2.6967000000000003</v>
      </c>
      <c r="BF25" s="16">
        <f t="shared" si="1"/>
        <v>72.935200000000009</v>
      </c>
      <c r="BG25" s="16" t="str">
        <f t="shared" si="1"/>
        <v/>
      </c>
      <c r="BH25" s="16" t="str">
        <f t="shared" si="1"/>
        <v/>
      </c>
      <c r="BI25" s="16" t="str">
        <f t="shared" si="1"/>
        <v/>
      </c>
      <c r="BJ25" s="16" t="str">
        <f t="shared" si="1"/>
        <v/>
      </c>
      <c r="BK25" s="16" t="str">
        <f t="shared" si="1"/>
        <v/>
      </c>
      <c r="BL25" s="16" t="str">
        <f t="shared" si="1"/>
        <v/>
      </c>
      <c r="BM25" s="16" t="str">
        <f t="shared" si="1"/>
        <v/>
      </c>
      <c r="BN25" s="16" t="str">
        <f t="shared" si="1"/>
        <v/>
      </c>
      <c r="BO25" s="16" t="str">
        <f t="shared" si="1"/>
        <v/>
      </c>
      <c r="BP25" s="20"/>
      <c r="BQ25" s="20" t="str">
        <f t="shared" si="24"/>
        <v>r2</v>
      </c>
      <c r="BR25" s="32"/>
      <c r="BS25" s="16" t="str">
        <f t="shared" si="3"/>
        <v>Jeff_SloHot50_Biostat 2L-23-12</v>
      </c>
      <c r="BT25" s="32"/>
      <c r="BU25" s="18">
        <f t="shared" si="13"/>
        <v>2.6967000000000003</v>
      </c>
      <c r="BV25" s="32"/>
      <c r="BW25" s="32"/>
      <c r="BX25" s="32"/>
      <c r="BY25" s="32">
        <f>$BF$15-BF25</f>
        <v>24.571599999999975</v>
      </c>
      <c r="BZ25" s="32"/>
      <c r="CA25" s="32">
        <f t="shared" si="25"/>
        <v>0.51816954871362242</v>
      </c>
      <c r="CB25" s="32">
        <f t="shared" si="22"/>
        <v>11.232699999999994</v>
      </c>
      <c r="CC25" s="33">
        <f t="shared" si="26"/>
        <v>3.0606811989100788</v>
      </c>
      <c r="CD25" s="33"/>
      <c r="CE25" s="38"/>
      <c r="CF25" s="31"/>
      <c r="CG25" s="39"/>
      <c r="CH25" s="39"/>
      <c r="CI25" s="31"/>
      <c r="CN25" s="31"/>
      <c r="CO25" s="30"/>
      <c r="CP25" s="32"/>
      <c r="CQ25" s="32"/>
      <c r="CR25" s="32"/>
      <c r="CS25" s="30"/>
      <c r="CT25" s="30"/>
      <c r="CU25" s="30"/>
      <c r="CZ25" s="32"/>
      <c r="DA25" s="31"/>
      <c r="DB25" s="32"/>
    </row>
    <row r="26" spans="1:106" x14ac:dyDescent="0.2">
      <c r="B26" s="40" t="s">
        <v>229</v>
      </c>
      <c r="C26" s="40">
        <v>3.9849999999999997E-2</v>
      </c>
      <c r="D26" s="40">
        <v>0.54815999999999998</v>
      </c>
      <c r="E26" s="40">
        <v>6.7294200000000002</v>
      </c>
      <c r="F26" s="17" t="s">
        <v>202</v>
      </c>
      <c r="G26" s="17" t="s">
        <v>202</v>
      </c>
      <c r="H26" s="17" t="s">
        <v>202</v>
      </c>
      <c r="I26" s="17" t="s">
        <v>202</v>
      </c>
      <c r="J26" s="17" t="s">
        <v>202</v>
      </c>
      <c r="K26" s="17" t="s">
        <v>202</v>
      </c>
      <c r="L26" s="17" t="s">
        <v>202</v>
      </c>
      <c r="M26" s="17"/>
      <c r="N26" s="17"/>
      <c r="P26" s="28"/>
      <c r="Q26" s="29">
        <v>0.54861111111111105</v>
      </c>
      <c r="R26" s="16">
        <f>R24+3.67</f>
        <v>47.42</v>
      </c>
      <c r="S26" s="16" t="s">
        <v>48</v>
      </c>
      <c r="T26" s="16">
        <v>13</v>
      </c>
      <c r="V26" s="16" t="s">
        <v>23</v>
      </c>
      <c r="W26" s="16">
        <v>27.55</v>
      </c>
      <c r="X26" s="16">
        <v>41</v>
      </c>
      <c r="Y26" s="16">
        <v>7.2564000000000002</v>
      </c>
      <c r="Z26" s="16">
        <v>7.3654000000000002</v>
      </c>
      <c r="AA26" s="16">
        <v>8</v>
      </c>
      <c r="AB26" s="16">
        <f t="shared" si="5"/>
        <v>0.10899999999999999</v>
      </c>
      <c r="AC26" s="16">
        <f t="shared" si="6"/>
        <v>13.624999999999998</v>
      </c>
      <c r="AD26" s="30">
        <v>15</v>
      </c>
      <c r="AE26">
        <f>FAMES!L27</f>
        <v>1.962</v>
      </c>
      <c r="AF26" s="50">
        <f t="shared" si="7"/>
        <v>0.1308</v>
      </c>
      <c r="AG26" s="16">
        <f t="shared" si="8"/>
        <v>1.7821499999999997</v>
      </c>
      <c r="AI26" s="30">
        <f>$BF$14-BF26</f>
        <v>30.617599999999996</v>
      </c>
      <c r="AJ26" s="16">
        <f t="shared" si="9"/>
        <v>0.11559679460143397</v>
      </c>
      <c r="AK26" s="30">
        <f t="shared" si="10"/>
        <v>0.17903428093645485</v>
      </c>
      <c r="AL26" s="31">
        <f t="shared" si="11"/>
        <v>0.28732602277520031</v>
      </c>
      <c r="AM26" s="31">
        <f t="shared" si="16"/>
        <v>0.44500548704013376</v>
      </c>
      <c r="AO26" s="30"/>
      <c r="AP26" s="16">
        <f t="shared" si="14"/>
        <v>3.0574000000000012</v>
      </c>
      <c r="AQ26" s="31">
        <f t="shared" si="17"/>
        <v>0.8330790190735694</v>
      </c>
      <c r="AR26" s="31">
        <f t="shared" si="18"/>
        <v>0.34751749852815</v>
      </c>
      <c r="AS26" s="30">
        <f t="shared" si="19"/>
        <v>0.41714830234784805</v>
      </c>
      <c r="AT26" s="31">
        <f t="shared" si="23"/>
        <v>0.35477857002681995</v>
      </c>
      <c r="AU26" s="36">
        <f t="shared" si="20"/>
        <v>0.11603930464669975</v>
      </c>
      <c r="AV26" s="31"/>
      <c r="AW26" s="31">
        <f t="shared" si="21"/>
        <v>0.62403976797658856</v>
      </c>
      <c r="AX26" s="31"/>
      <c r="AY26" s="31"/>
      <c r="AZ26" s="31"/>
      <c r="BA26" s="31"/>
      <c r="BB26" s="31"/>
      <c r="BC26" s="31"/>
      <c r="BD26" s="16">
        <f t="shared" si="0"/>
        <v>0.39849999999999997</v>
      </c>
      <c r="BE26" s="16">
        <f t="shared" si="12"/>
        <v>5.4815999999999994</v>
      </c>
      <c r="BF26" s="16">
        <f t="shared" si="1"/>
        <v>67.294200000000004</v>
      </c>
      <c r="BG26" s="16" t="str">
        <f t="shared" si="1"/>
        <v/>
      </c>
      <c r="BH26" s="16" t="str">
        <f t="shared" si="1"/>
        <v/>
      </c>
      <c r="BI26" s="16" t="str">
        <f t="shared" si="1"/>
        <v/>
      </c>
      <c r="BJ26" s="16" t="str">
        <f t="shared" si="1"/>
        <v/>
      </c>
      <c r="BK26" s="16" t="str">
        <f t="shared" si="1"/>
        <v/>
      </c>
      <c r="BL26" s="16" t="str">
        <f t="shared" si="1"/>
        <v/>
      </c>
      <c r="BM26" s="16" t="str">
        <f t="shared" si="1"/>
        <v/>
      </c>
      <c r="BN26" s="16" t="str">
        <f t="shared" si="1"/>
        <v/>
      </c>
      <c r="BO26" s="16" t="str">
        <f t="shared" si="1"/>
        <v/>
      </c>
      <c r="BP26" s="20"/>
      <c r="BQ26" s="20" t="str">
        <f t="shared" si="24"/>
        <v>r1</v>
      </c>
      <c r="BR26" s="32"/>
      <c r="BS26" s="16" t="str">
        <f t="shared" si="3"/>
        <v>Jeff_SloHot50_Biostat 2L-23-13</v>
      </c>
      <c r="BT26" s="32"/>
      <c r="BU26" s="18">
        <f t="shared" si="13"/>
        <v>5.4815999999999994</v>
      </c>
      <c r="BV26" s="32"/>
      <c r="BW26" s="32"/>
      <c r="BX26" s="32"/>
      <c r="BY26" s="32">
        <f>$BF$15-BF26</f>
        <v>30.212599999999981</v>
      </c>
      <c r="BZ26" s="32"/>
      <c r="CA26" s="32">
        <f t="shared" si="25"/>
        <v>0.59724039773064186</v>
      </c>
      <c r="CB26" s="32">
        <f t="shared" si="22"/>
        <v>2.6523999999999859</v>
      </c>
      <c r="CC26" s="33">
        <f t="shared" si="26"/>
        <v>0.83751184085885211</v>
      </c>
      <c r="CD26" s="33"/>
      <c r="CE26" s="38"/>
      <c r="CF26" s="31"/>
      <c r="CG26" s="39"/>
      <c r="CH26" s="39"/>
      <c r="CI26" s="31"/>
      <c r="CN26" s="31"/>
      <c r="CO26" s="30"/>
      <c r="CP26" s="32"/>
      <c r="CQ26" s="32"/>
      <c r="CR26" s="32"/>
      <c r="CS26" s="30"/>
      <c r="CT26" s="30"/>
      <c r="CU26" s="30"/>
      <c r="CY26" s="41"/>
      <c r="CZ26" s="32"/>
      <c r="DA26" s="31"/>
      <c r="DB26" s="32"/>
    </row>
    <row r="27" spans="1:106" s="53" customFormat="1" x14ac:dyDescent="0.2">
      <c r="B27" s="40" t="s">
        <v>230</v>
      </c>
      <c r="C27" s="40">
        <v>4.3479999999999998E-2</v>
      </c>
      <c r="D27" s="40">
        <v>0.36614000000000002</v>
      </c>
      <c r="E27" s="40">
        <v>7.0627000000000004</v>
      </c>
      <c r="F27" s="17" t="s">
        <v>202</v>
      </c>
      <c r="G27" s="17" t="s">
        <v>202</v>
      </c>
      <c r="H27" s="17" t="s">
        <v>202</v>
      </c>
      <c r="I27" s="17" t="s">
        <v>202</v>
      </c>
      <c r="J27" s="17" t="s">
        <v>202</v>
      </c>
      <c r="K27" s="17" t="s">
        <v>202</v>
      </c>
      <c r="L27" s="17" t="s">
        <v>202</v>
      </c>
      <c r="M27" s="17"/>
      <c r="N27" s="17"/>
      <c r="P27" s="54"/>
      <c r="Q27" s="55"/>
      <c r="R27" s="53">
        <f>R25+3.67</f>
        <v>47.42</v>
      </c>
      <c r="S27" s="53" t="s">
        <v>49</v>
      </c>
      <c r="T27" s="53">
        <v>14</v>
      </c>
      <c r="V27" s="53" t="s">
        <v>23</v>
      </c>
      <c r="W27" s="53">
        <v>33.1</v>
      </c>
      <c r="X27" s="53">
        <v>29</v>
      </c>
      <c r="Y27" s="53">
        <v>7.1276000000000002</v>
      </c>
      <c r="Z27" s="53">
        <v>7.2573999999999996</v>
      </c>
      <c r="AA27" s="53">
        <v>8</v>
      </c>
      <c r="AB27" s="53">
        <f t="shared" si="5"/>
        <v>0.12979999999999947</v>
      </c>
      <c r="AC27" s="53">
        <f t="shared" si="6"/>
        <v>16.224999999999934</v>
      </c>
      <c r="AD27" s="56">
        <v>10.5</v>
      </c>
      <c r="AE27" s="57">
        <f>FAMES!L28</f>
        <v>1.6680000000000001</v>
      </c>
      <c r="AF27" s="58">
        <f t="shared" si="7"/>
        <v>0.15885714285714286</v>
      </c>
      <c r="AG27" s="53">
        <f t="shared" si="8"/>
        <v>2.5774571428571327</v>
      </c>
      <c r="AI27" s="56">
        <f>$BF$15-BF27</f>
        <v>26.879799999999975</v>
      </c>
      <c r="AJ27" s="53">
        <f t="shared" si="9"/>
        <v>7.721214677351329E-2</v>
      </c>
      <c r="AK27" s="56">
        <f t="shared" si="10"/>
        <v>0.13621381111466618</v>
      </c>
      <c r="AL27" s="59">
        <f t="shared" si="11"/>
        <v>0.34215520877266836</v>
      </c>
      <c r="AM27" s="59">
        <f t="shared" si="16"/>
        <v>0.60361312212144247</v>
      </c>
      <c r="AO27" s="56"/>
      <c r="AP27" s="53">
        <f t="shared" si="14"/>
        <v>2.3081999999999994</v>
      </c>
      <c r="AQ27" s="59">
        <f t="shared" si="17"/>
        <v>0.62893732970027205</v>
      </c>
      <c r="AR27" s="59">
        <f t="shared" si="18"/>
        <v>1.0885105276838742</v>
      </c>
      <c r="AS27" s="56">
        <f t="shared" si="19"/>
        <v>1.7307138188197821</v>
      </c>
      <c r="AT27" s="59">
        <f t="shared" si="23"/>
        <v>0.41794471882852458</v>
      </c>
      <c r="AU27" s="60">
        <f t="shared" si="20"/>
        <v>0.18106954285959825</v>
      </c>
      <c r="AV27" s="59"/>
      <c r="AW27" s="59">
        <f t="shared" si="21"/>
        <v>0.73982693323610871</v>
      </c>
      <c r="AX27" s="59"/>
      <c r="AY27" s="59"/>
      <c r="AZ27" s="59"/>
      <c r="BA27" s="59"/>
      <c r="BB27" s="59"/>
      <c r="BC27" s="59"/>
      <c r="BD27" s="53">
        <f t="shared" si="0"/>
        <v>0.43479999999999996</v>
      </c>
      <c r="BE27" s="53">
        <f t="shared" si="12"/>
        <v>3.6614000000000004</v>
      </c>
      <c r="BF27" s="53">
        <f t="shared" si="1"/>
        <v>70.62700000000001</v>
      </c>
      <c r="BG27" s="53" t="str">
        <f t="shared" si="1"/>
        <v/>
      </c>
      <c r="BH27" s="53" t="str">
        <f t="shared" si="1"/>
        <v/>
      </c>
      <c r="BI27" s="53" t="str">
        <f t="shared" si="1"/>
        <v/>
      </c>
      <c r="BJ27" s="53" t="str">
        <f t="shared" si="1"/>
        <v/>
      </c>
      <c r="BK27" s="53" t="str">
        <f t="shared" si="1"/>
        <v/>
      </c>
      <c r="BL27" s="53" t="str">
        <f t="shared" si="1"/>
        <v/>
      </c>
      <c r="BM27" s="53" t="str">
        <f t="shared" si="1"/>
        <v/>
      </c>
      <c r="BN27" s="53" t="str">
        <f t="shared" si="1"/>
        <v/>
      </c>
      <c r="BO27" s="53" t="str">
        <f t="shared" si="1"/>
        <v/>
      </c>
      <c r="BP27" s="61"/>
      <c r="BQ27" s="61" t="str">
        <f t="shared" si="24"/>
        <v>r2</v>
      </c>
      <c r="BR27" s="62"/>
      <c r="BS27" s="53" t="str">
        <f t="shared" si="3"/>
        <v>Jeff_SloHot50_Biostat 2L-23-14</v>
      </c>
      <c r="BT27" s="62"/>
      <c r="BU27" s="52">
        <f t="shared" si="13"/>
        <v>3.6614000000000004</v>
      </c>
      <c r="BV27" s="62"/>
      <c r="BW27" s="62"/>
      <c r="BX27" s="62"/>
      <c r="BY27" s="62">
        <f>$BF$15-BF27</f>
        <v>26.879799999999975</v>
      </c>
      <c r="BZ27" s="62"/>
      <c r="CA27" s="62">
        <f t="shared" si="25"/>
        <v>0.53135785873841057</v>
      </c>
      <c r="CB27" s="62">
        <f t="shared" si="22"/>
        <v>2.3081999999999994</v>
      </c>
      <c r="CC27" s="63">
        <f t="shared" si="26"/>
        <v>0.72882854436375066</v>
      </c>
      <c r="CD27" s="63"/>
      <c r="CE27" s="64"/>
      <c r="CF27" s="59"/>
      <c r="CG27" s="65"/>
      <c r="CH27" s="65"/>
      <c r="CI27" s="59"/>
      <c r="CN27" s="59"/>
      <c r="CO27" s="56"/>
      <c r="CP27" s="62"/>
      <c r="CQ27" s="62"/>
      <c r="CR27" s="62"/>
      <c r="CS27" s="56"/>
      <c r="CT27" s="56"/>
      <c r="CU27" s="56"/>
      <c r="CZ27" s="62"/>
      <c r="DA27" s="59"/>
      <c r="DB27" s="62"/>
    </row>
    <row r="28" spans="1:106" x14ac:dyDescent="0.2">
      <c r="B28" s="51" t="s">
        <v>231</v>
      </c>
      <c r="C28" s="51">
        <v>3.8809999999999997E-2</v>
      </c>
      <c r="D28" s="51">
        <v>0.63627</v>
      </c>
      <c r="E28" s="51">
        <v>6.6292499999999999</v>
      </c>
      <c r="F28" s="52" t="s">
        <v>202</v>
      </c>
      <c r="G28" s="52" t="s">
        <v>202</v>
      </c>
      <c r="H28" s="52" t="s">
        <v>202</v>
      </c>
      <c r="I28" s="52" t="s">
        <v>202</v>
      </c>
      <c r="J28" s="52" t="s">
        <v>202</v>
      </c>
      <c r="K28" s="52" t="s">
        <v>202</v>
      </c>
      <c r="L28" s="52" t="s">
        <v>202</v>
      </c>
      <c r="M28" s="52"/>
      <c r="N28" s="52"/>
      <c r="P28" s="28"/>
      <c r="Q28" s="29">
        <v>0.68055555555555547</v>
      </c>
      <c r="R28" s="16">
        <f>R26+3.167</f>
        <v>50.587000000000003</v>
      </c>
      <c r="S28" s="16" t="s">
        <v>48</v>
      </c>
      <c r="T28" s="16">
        <v>15</v>
      </c>
      <c r="W28" s="16">
        <v>34.799999999999997</v>
      </c>
      <c r="X28" s="16">
        <v>45</v>
      </c>
      <c r="Y28" s="16">
        <v>7.2629999999999999</v>
      </c>
      <c r="Z28" s="16">
        <v>7.3673000000000002</v>
      </c>
      <c r="AA28" s="16">
        <v>8</v>
      </c>
      <c r="AB28" s="16">
        <f t="shared" si="5"/>
        <v>0.10430000000000028</v>
      </c>
      <c r="AC28" s="16">
        <f t="shared" si="6"/>
        <v>13.037500000000035</v>
      </c>
      <c r="AD28" s="30">
        <v>15</v>
      </c>
      <c r="AE28">
        <f>FAMES!L29</f>
        <v>2.1875</v>
      </c>
      <c r="AF28" s="50">
        <f t="shared" si="7"/>
        <v>0.14583333333333334</v>
      </c>
      <c r="AG28" s="16">
        <f t="shared" si="8"/>
        <v>1.9013020833333385</v>
      </c>
      <c r="AI28" s="30">
        <f>$BF$14-BF28</f>
        <v>31.619299999999996</v>
      </c>
      <c r="AJ28" s="16">
        <f t="shared" si="9"/>
        <v>0.12577737363354222</v>
      </c>
      <c r="AK28" s="30">
        <f t="shared" si="10"/>
        <v>0.20122836368926578</v>
      </c>
      <c r="AL28" s="31">
        <f t="shared" si="11"/>
        <v>0.25772431652400885</v>
      </c>
      <c r="AM28" s="31">
        <f t="shared" si="16"/>
        <v>0.41232728112260669</v>
      </c>
      <c r="AO28" s="30"/>
      <c r="AP28" s="16">
        <f t="shared" si="14"/>
        <v>1.0016999999999996</v>
      </c>
      <c r="AQ28" s="31">
        <f t="shared" si="17"/>
        <v>0.31629302178718</v>
      </c>
      <c r="AR28" s="31">
        <f t="shared" si="18"/>
        <v>-0.58650294499347444</v>
      </c>
      <c r="AS28" s="30">
        <f t="shared" si="19"/>
        <v>-1.8543025125230461</v>
      </c>
      <c r="AT28" s="31">
        <f t="shared" si="23"/>
        <v>0.87960467205750348</v>
      </c>
      <c r="AU28" s="36">
        <f t="shared" si="20"/>
        <v>0.87811188185834466</v>
      </c>
      <c r="AV28" s="31"/>
      <c r="AW28" s="31">
        <f t="shared" si="21"/>
        <v>0.61355564481187241</v>
      </c>
      <c r="AX28" s="31"/>
      <c r="AY28" s="31"/>
      <c r="AZ28" s="31"/>
      <c r="BA28" s="31"/>
      <c r="BB28" s="31"/>
      <c r="BC28" s="31"/>
      <c r="BD28" s="16">
        <f t="shared" si="0"/>
        <v>0.38809999999999995</v>
      </c>
      <c r="BE28" s="16">
        <f>IF(ISNUMBER(D28),D28*1000/100,0)</f>
        <v>6.3627000000000002</v>
      </c>
      <c r="BF28" s="16">
        <f t="shared" si="1"/>
        <v>66.292500000000004</v>
      </c>
      <c r="BG28" s="16" t="str">
        <f t="shared" si="1"/>
        <v/>
      </c>
      <c r="BH28" s="16" t="str">
        <f t="shared" si="1"/>
        <v/>
      </c>
      <c r="BI28" s="16" t="str">
        <f t="shared" si="1"/>
        <v/>
      </c>
      <c r="BJ28" s="16" t="str">
        <f t="shared" si="1"/>
        <v/>
      </c>
      <c r="BK28" s="16" t="str">
        <f t="shared" si="1"/>
        <v/>
      </c>
      <c r="BL28" s="16" t="str">
        <f t="shared" si="1"/>
        <v/>
      </c>
      <c r="BM28" s="16" t="str">
        <f t="shared" si="1"/>
        <v/>
      </c>
      <c r="BN28" s="16" t="str">
        <f t="shared" si="1"/>
        <v/>
      </c>
      <c r="BO28" s="16" t="str">
        <f t="shared" si="1"/>
        <v/>
      </c>
      <c r="BP28" s="20"/>
      <c r="BQ28" s="20" t="str">
        <f t="shared" si="24"/>
        <v>r1</v>
      </c>
      <c r="BR28" s="32"/>
      <c r="BS28" s="16" t="str">
        <f t="shared" si="3"/>
        <v>Jeff_SloHot50_Biostat 2L-23-15</v>
      </c>
      <c r="BT28" s="32"/>
      <c r="BU28" s="18">
        <f t="shared" si="13"/>
        <v>6.3627000000000002</v>
      </c>
      <c r="BV28" s="32"/>
      <c r="BW28" s="32"/>
      <c r="BX28" s="32"/>
      <c r="BY28" s="32">
        <f>$BF$15-BF28</f>
        <v>31.21429999999998</v>
      </c>
      <c r="BZ28" s="32"/>
      <c r="CA28" s="32">
        <f t="shared" si="25"/>
        <v>0.44749118330131576</v>
      </c>
      <c r="CB28" s="32">
        <f t="shared" si="22"/>
        <v>1.0016999999999996</v>
      </c>
      <c r="CC28" s="33">
        <f t="shared" si="26"/>
        <v>5.226169979652525E-2</v>
      </c>
      <c r="CD28" s="33"/>
      <c r="CE28" s="38"/>
      <c r="CF28" s="31"/>
      <c r="CG28" s="39"/>
      <c r="CH28" s="39"/>
      <c r="CI28" s="31"/>
      <c r="CN28" s="31"/>
      <c r="CO28" s="30"/>
      <c r="CP28" s="32"/>
      <c r="CQ28" s="32"/>
      <c r="CR28" s="32"/>
      <c r="CS28" s="30"/>
      <c r="CT28" s="30"/>
      <c r="CU28" s="30"/>
      <c r="DA28" s="31"/>
      <c r="DB28" s="32"/>
    </row>
    <row r="29" spans="1:106" x14ac:dyDescent="0.2">
      <c r="B29" s="40" t="s">
        <v>232</v>
      </c>
      <c r="C29" s="40">
        <v>4.326E-2</v>
      </c>
      <c r="D29" s="40">
        <v>0.46218999999999999</v>
      </c>
      <c r="E29" s="40">
        <v>6.8435100000000002</v>
      </c>
      <c r="F29" s="17" t="s">
        <v>202</v>
      </c>
      <c r="G29" s="17" t="s">
        <v>202</v>
      </c>
      <c r="H29" s="17" t="s">
        <v>202</v>
      </c>
      <c r="I29" s="17" t="s">
        <v>202</v>
      </c>
      <c r="J29" s="17" t="s">
        <v>202</v>
      </c>
      <c r="K29" s="17" t="s">
        <v>202</v>
      </c>
      <c r="L29" s="17" t="s">
        <v>202</v>
      </c>
      <c r="M29" s="17"/>
      <c r="N29" s="17"/>
      <c r="P29" s="28"/>
      <c r="Q29" s="29"/>
      <c r="R29" s="16">
        <f>R27+3.167</f>
        <v>50.587000000000003</v>
      </c>
      <c r="S29" s="16" t="s">
        <v>49</v>
      </c>
      <c r="T29" s="16">
        <v>16</v>
      </c>
      <c r="W29" s="16">
        <v>40.6</v>
      </c>
      <c r="X29" s="16">
        <v>34</v>
      </c>
      <c r="Y29" s="16">
        <v>7.1246999999999998</v>
      </c>
      <c r="Z29" s="16">
        <v>7.2511999999999999</v>
      </c>
      <c r="AA29" s="16">
        <v>8</v>
      </c>
      <c r="AB29" s="16">
        <f t="shared" si="5"/>
        <v>0.12650000000000006</v>
      </c>
      <c r="AC29" s="16">
        <f t="shared" si="6"/>
        <v>15.812500000000007</v>
      </c>
      <c r="AD29" s="30">
        <v>14</v>
      </c>
      <c r="AE29">
        <f>FAMES!L30</f>
        <v>2.1149999999999998</v>
      </c>
      <c r="AF29" s="50">
        <f t="shared" si="7"/>
        <v>0.15107142857142855</v>
      </c>
      <c r="AG29" s="16">
        <f t="shared" si="8"/>
        <v>2.3888169642857151</v>
      </c>
      <c r="AI29" s="30">
        <f>$BF$15-BF29</f>
        <v>29.071699999999979</v>
      </c>
      <c r="AJ29" s="16">
        <f t="shared" si="9"/>
        <v>9.1365370549745972E-2</v>
      </c>
      <c r="AK29" s="30">
        <f t="shared" si="10"/>
        <v>0.15898279082406613</v>
      </c>
      <c r="AL29" s="31">
        <f t="shared" si="11"/>
        <v>0.31258030719354785</v>
      </c>
      <c r="AM29" s="31">
        <f t="shared" si="16"/>
        <v>0.54391384060787706</v>
      </c>
      <c r="AO29" s="30"/>
      <c r="AP29" s="16">
        <f t="shared" si="14"/>
        <v>2.191900000000004</v>
      </c>
      <c r="AQ29" s="31">
        <f t="shared" si="17"/>
        <v>0.69210609409535928</v>
      </c>
      <c r="AR29" s="31">
        <f t="shared" si="18"/>
        <v>-0.18819289201146314</v>
      </c>
      <c r="AS29" s="30">
        <f t="shared" si="19"/>
        <v>-0.27191335781755688</v>
      </c>
      <c r="AT29" s="31">
        <f t="shared" si="23"/>
        <v>0.4382042976413148</v>
      </c>
      <c r="AU29" s="36">
        <f t="shared" si="20"/>
        <v>0.19991984015754094</v>
      </c>
      <c r="AV29" s="31"/>
      <c r="AW29" s="31">
        <f t="shared" si="21"/>
        <v>0.70289663143194314</v>
      </c>
      <c r="AX29" s="31"/>
      <c r="AY29" s="31"/>
      <c r="AZ29" s="31"/>
      <c r="BA29" s="31"/>
      <c r="BB29" s="31"/>
      <c r="BC29" s="31"/>
      <c r="BD29" s="16">
        <f t="shared" si="0"/>
        <v>0.43259999999999998</v>
      </c>
      <c r="BE29" s="16">
        <f t="shared" si="12"/>
        <v>4.6219000000000001</v>
      </c>
      <c r="BF29" s="16">
        <f t="shared" si="1"/>
        <v>68.435100000000006</v>
      </c>
      <c r="BG29" s="16" t="str">
        <f t="shared" si="1"/>
        <v/>
      </c>
      <c r="BH29" s="16" t="str">
        <f t="shared" si="1"/>
        <v/>
      </c>
      <c r="BI29" s="16" t="str">
        <f t="shared" si="1"/>
        <v/>
      </c>
      <c r="BJ29" s="16" t="str">
        <f t="shared" si="1"/>
        <v/>
      </c>
      <c r="BK29" s="16" t="str">
        <f t="shared" si="1"/>
        <v/>
      </c>
      <c r="BL29" s="16" t="str">
        <f t="shared" si="1"/>
        <v/>
      </c>
      <c r="BM29" s="16" t="str">
        <f t="shared" si="1"/>
        <v/>
      </c>
      <c r="BN29" s="16" t="str">
        <f t="shared" si="1"/>
        <v/>
      </c>
      <c r="BO29" s="16" t="str">
        <f t="shared" si="1"/>
        <v/>
      </c>
      <c r="BP29" s="20"/>
      <c r="BQ29" s="20" t="str">
        <f t="shared" si="24"/>
        <v>r2</v>
      </c>
      <c r="BR29" s="32"/>
      <c r="BS29" s="16" t="str">
        <f t="shared" si="3"/>
        <v>Jeff_SloHot50_Biostat 2L-23-16</v>
      </c>
      <c r="BT29" s="32"/>
      <c r="BU29" s="18">
        <f t="shared" si="13"/>
        <v>4.6219000000000001</v>
      </c>
      <c r="BV29" s="32"/>
      <c r="BW29" s="32"/>
      <c r="BX29" s="32"/>
      <c r="BY29" s="32">
        <f>$BF$15-BF29</f>
        <v>29.071699999999979</v>
      </c>
      <c r="BZ29" s="32"/>
      <c r="CA29" s="32">
        <f t="shared" si="25"/>
        <v>0.41677466525217161</v>
      </c>
      <c r="CB29" s="32">
        <f t="shared" si="22"/>
        <v>2.191900000000004</v>
      </c>
      <c r="CC29" s="33">
        <f t="shared" si="26"/>
        <v>0.11435801116502341</v>
      </c>
      <c r="CD29" s="33"/>
      <c r="CE29" s="38"/>
      <c r="CF29" s="31"/>
      <c r="CG29" s="39"/>
      <c r="CH29" s="39"/>
      <c r="CI29" s="31"/>
      <c r="CN29" s="31"/>
      <c r="CO29" s="30"/>
      <c r="CP29" s="32"/>
      <c r="CQ29" s="32"/>
      <c r="CR29" s="32"/>
      <c r="CS29" s="30"/>
      <c r="CT29" s="30"/>
      <c r="CU29" s="30"/>
      <c r="CZ29" s="32"/>
      <c r="DA29" s="31"/>
      <c r="DB29" s="32"/>
    </row>
    <row r="30" spans="1:106" x14ac:dyDescent="0.2">
      <c r="B30" s="40" t="s">
        <v>233</v>
      </c>
      <c r="C30" s="40">
        <v>4.1489999999999999E-2</v>
      </c>
      <c r="D30" s="40">
        <v>1.1328100000000001</v>
      </c>
      <c r="E30" s="40">
        <v>5.8230399999999998</v>
      </c>
      <c r="F30" s="17" t="s">
        <v>202</v>
      </c>
      <c r="G30" s="17" t="s">
        <v>202</v>
      </c>
      <c r="H30" s="17" t="s">
        <v>202</v>
      </c>
      <c r="I30" s="17" t="s">
        <v>202</v>
      </c>
      <c r="J30" s="17" t="s">
        <v>202</v>
      </c>
      <c r="K30" s="17" t="s">
        <v>202</v>
      </c>
      <c r="L30" s="17" t="s">
        <v>202</v>
      </c>
      <c r="M30" s="17"/>
      <c r="N30" s="17"/>
      <c r="P30" s="28">
        <v>45605</v>
      </c>
      <c r="Q30" s="29">
        <v>0.47916666666666669</v>
      </c>
      <c r="R30" s="16">
        <f>R28+12+7.167</f>
        <v>69.754000000000005</v>
      </c>
      <c r="S30" s="16" t="s">
        <v>48</v>
      </c>
      <c r="T30" s="16">
        <v>17</v>
      </c>
      <c r="W30" s="16">
        <v>29.16</v>
      </c>
      <c r="X30" s="16">
        <v>70</v>
      </c>
      <c r="Y30" s="16">
        <v>7.1243999999999996</v>
      </c>
      <c r="Z30" s="16">
        <v>7.2424999999999997</v>
      </c>
      <c r="AA30" s="16">
        <v>8</v>
      </c>
      <c r="AB30" s="16">
        <f t="shared" si="5"/>
        <v>0.11810000000000009</v>
      </c>
      <c r="AC30" s="16">
        <f t="shared" si="6"/>
        <v>14.762500000000012</v>
      </c>
      <c r="AD30" s="30">
        <v>15.7</v>
      </c>
      <c r="AE30">
        <f>FAMES!L31</f>
        <v>2.1019999999999999</v>
      </c>
      <c r="AF30" s="50">
        <f t="shared" si="7"/>
        <v>0.13388535031847135</v>
      </c>
      <c r="AG30" s="16">
        <f t="shared" si="8"/>
        <v>1.9764824840764348</v>
      </c>
      <c r="AI30" s="30">
        <f>$BF$14-BF30</f>
        <v>39.681399999999996</v>
      </c>
      <c r="AJ30" s="16">
        <f t="shared" si="9"/>
        <v>0.16240072253920923</v>
      </c>
      <c r="AK30" s="30">
        <f t="shared" si="10"/>
        <v>0.28547631887987829</v>
      </c>
      <c r="AL30" s="31">
        <f t="shared" si="11"/>
        <v>0.21163660865326736</v>
      </c>
      <c r="AM30" s="31">
        <f t="shared" si="16"/>
        <v>0.37202568457766139</v>
      </c>
      <c r="AO30" s="30"/>
      <c r="AP30" s="16">
        <f t="shared" si="14"/>
        <v>8.0621000000000009</v>
      </c>
      <c r="AQ30" s="31">
        <f t="shared" si="17"/>
        <v>0.42062398914801485</v>
      </c>
      <c r="AR30" s="31">
        <f t="shared" si="18"/>
        <v>0.21396410364544924</v>
      </c>
      <c r="AS30" s="30">
        <f t="shared" si="19"/>
        <v>0.50868259815337502</v>
      </c>
      <c r="AT30" s="31">
        <f t="shared" si="23"/>
        <v>0.6158941218789149</v>
      </c>
      <c r="AU30" s="36">
        <f t="shared" si="20"/>
        <v>7.6393758683086899E-2</v>
      </c>
      <c r="AV30" s="31"/>
      <c r="AW30" s="31">
        <f t="shared" si="21"/>
        <v>0.65750200345753962</v>
      </c>
      <c r="AX30" s="31"/>
      <c r="AY30" s="31"/>
      <c r="AZ30" s="31"/>
      <c r="BA30" s="31"/>
      <c r="BB30" s="31"/>
      <c r="BC30" s="31"/>
      <c r="BD30" s="16">
        <f t="shared" si="0"/>
        <v>0.41490000000000005</v>
      </c>
      <c r="BE30" s="16">
        <f t="shared" si="12"/>
        <v>11.328100000000001</v>
      </c>
      <c r="BF30" s="16">
        <f t="shared" si="1"/>
        <v>58.230400000000003</v>
      </c>
      <c r="BG30" s="16" t="str">
        <f t="shared" si="1"/>
        <v/>
      </c>
      <c r="BH30" s="16" t="str">
        <f t="shared" si="1"/>
        <v/>
      </c>
      <c r="BI30" s="16" t="str">
        <f t="shared" si="1"/>
        <v/>
      </c>
      <c r="BJ30" s="16" t="str">
        <f t="shared" si="1"/>
        <v/>
      </c>
      <c r="BK30" s="16" t="str">
        <f t="shared" si="1"/>
        <v/>
      </c>
      <c r="BL30" s="16" t="str">
        <f t="shared" si="1"/>
        <v/>
      </c>
      <c r="BM30" s="16" t="str">
        <f t="shared" si="1"/>
        <v/>
      </c>
      <c r="BN30" s="16" t="str">
        <f t="shared" si="1"/>
        <v/>
      </c>
      <c r="BO30" s="16" t="str">
        <f t="shared" si="1"/>
        <v/>
      </c>
      <c r="BP30" s="20"/>
      <c r="BQ30" s="20" t="s">
        <v>48</v>
      </c>
      <c r="BR30" s="32"/>
      <c r="BS30" s="16" t="str">
        <f t="shared" si="3"/>
        <v>Jeff_SloHot50_Biostat 2L-23-17</v>
      </c>
      <c r="BT30" s="32"/>
      <c r="BU30" s="18">
        <f t="shared" si="13"/>
        <v>11.328100000000001</v>
      </c>
      <c r="BV30" s="32"/>
      <c r="BW30" s="32"/>
      <c r="BX30" s="32"/>
      <c r="BY30" s="32"/>
      <c r="BZ30" s="32"/>
      <c r="CA30" s="32"/>
      <c r="CB30" s="32"/>
      <c r="CC30" s="33"/>
      <c r="CD30" s="33"/>
      <c r="CE30" s="38"/>
      <c r="CF30" s="31"/>
      <c r="CG30" s="39"/>
      <c r="CH30" s="39"/>
      <c r="CI30" s="31"/>
      <c r="CN30" s="31"/>
      <c r="CO30" s="30"/>
      <c r="CP30" s="32"/>
      <c r="CQ30" s="32"/>
      <c r="CR30" s="32"/>
      <c r="CS30" s="30"/>
      <c r="CT30" s="30"/>
      <c r="CU30" s="30"/>
      <c r="CZ30" s="32"/>
      <c r="DA30" s="31"/>
      <c r="DB30" s="32"/>
    </row>
    <row r="31" spans="1:106" s="53" customFormat="1" x14ac:dyDescent="0.2">
      <c r="B31" s="40" t="s">
        <v>234</v>
      </c>
      <c r="C31" s="40">
        <v>4.5990000000000003E-2</v>
      </c>
      <c r="D31" s="40">
        <v>1.2221</v>
      </c>
      <c r="E31" s="40">
        <v>5.58772</v>
      </c>
      <c r="F31" s="17" t="s">
        <v>202</v>
      </c>
      <c r="G31" s="17" t="s">
        <v>202</v>
      </c>
      <c r="H31" s="17" t="s">
        <v>202</v>
      </c>
      <c r="I31" s="17" t="s">
        <v>202</v>
      </c>
      <c r="J31" s="17" t="s">
        <v>202</v>
      </c>
      <c r="K31" s="17" t="s">
        <v>202</v>
      </c>
      <c r="L31" s="17" t="s">
        <v>202</v>
      </c>
      <c r="M31" s="17"/>
      <c r="N31" s="17"/>
      <c r="R31" s="53">
        <f>R29+12+7.167</f>
        <v>69.754000000000005</v>
      </c>
      <c r="S31" s="53" t="s">
        <v>49</v>
      </c>
      <c r="T31" s="53">
        <v>18</v>
      </c>
      <c r="W31" s="53">
        <v>33.36</v>
      </c>
      <c r="X31" s="53">
        <v>70</v>
      </c>
      <c r="Y31" s="53">
        <v>7.4737999999999998</v>
      </c>
      <c r="Z31" s="53">
        <v>7.5983999999999998</v>
      </c>
      <c r="AA31" s="53">
        <v>8</v>
      </c>
      <c r="AB31" s="53">
        <f t="shared" si="5"/>
        <v>0.12460000000000004</v>
      </c>
      <c r="AC31" s="53">
        <f t="shared" si="6"/>
        <v>15.575000000000005</v>
      </c>
      <c r="AD31" s="56">
        <v>14.3</v>
      </c>
      <c r="AE31" s="57">
        <f>FAMES!L32</f>
        <v>2.3725000000000001</v>
      </c>
      <c r="AF31" s="58">
        <f t="shared" si="7"/>
        <v>0.16590909090909089</v>
      </c>
      <c r="AG31" s="53">
        <f t="shared" si="8"/>
        <v>2.5840340909090913</v>
      </c>
      <c r="AI31" s="56">
        <f>$BF$15-BF31</f>
        <v>41.629599999999982</v>
      </c>
      <c r="AJ31" s="53">
        <f t="shared" si="9"/>
        <v>0.17520142214066572</v>
      </c>
      <c r="AK31" s="56">
        <f t="shared" si="10"/>
        <v>0.29356515556238838</v>
      </c>
      <c r="AL31" s="59">
        <f t="shared" si="11"/>
        <v>0.22328468618287128</v>
      </c>
      <c r="AM31" s="59">
        <f t="shared" si="16"/>
        <v>0.37413282856429109</v>
      </c>
      <c r="AO31" s="56"/>
      <c r="AP31" s="53">
        <f t="shared" si="14"/>
        <v>12.557900000000004</v>
      </c>
      <c r="AQ31" s="59">
        <f t="shared" si="17"/>
        <v>0.65518338811498944</v>
      </c>
      <c r="AR31" s="59">
        <f t="shared" si="18"/>
        <v>-1.8912397773513279E-2</v>
      </c>
      <c r="AS31" s="56">
        <f t="shared" si="19"/>
        <v>-2.8865807828134398E-2</v>
      </c>
      <c r="AT31" s="59">
        <f t="shared" si="23"/>
        <v>0.60512506071875038</v>
      </c>
      <c r="AU31" s="60">
        <f t="shared" si="20"/>
        <v>4.8186803583302164E-2</v>
      </c>
      <c r="AV31" s="59"/>
      <c r="AW31" s="59">
        <f t="shared" si="21"/>
        <v>0.66769798412667947</v>
      </c>
      <c r="AX31" s="59"/>
      <c r="AY31" s="59"/>
      <c r="AZ31" s="59"/>
      <c r="BA31" s="59"/>
      <c r="BB31" s="59"/>
      <c r="BC31" s="59"/>
      <c r="BD31" s="53">
        <f>IF(ISNUMBER(C31),C31*1000/100,"")</f>
        <v>0.45990000000000003</v>
      </c>
      <c r="BE31" s="53">
        <f t="shared" si="12"/>
        <v>12.220999999999998</v>
      </c>
      <c r="BF31" s="53">
        <f t="shared" ref="BF31:BO33" si="27">IF(ISNUMBER(E31),E31*1000/100,"")</f>
        <v>55.877200000000002</v>
      </c>
      <c r="BG31" s="53" t="str">
        <f t="shared" si="27"/>
        <v/>
      </c>
      <c r="BH31" s="53" t="str">
        <f t="shared" si="27"/>
        <v/>
      </c>
      <c r="BI31" s="53" t="str">
        <f t="shared" si="27"/>
        <v/>
      </c>
      <c r="BJ31" s="53" t="str">
        <f t="shared" si="27"/>
        <v/>
      </c>
      <c r="BK31" s="53" t="str">
        <f t="shared" si="27"/>
        <v/>
      </c>
      <c r="BL31" s="53" t="str">
        <f t="shared" si="27"/>
        <v/>
      </c>
      <c r="BM31" s="53" t="str">
        <f t="shared" si="27"/>
        <v/>
      </c>
      <c r="BN31" s="53" t="str">
        <f t="shared" si="27"/>
        <v/>
      </c>
      <c r="BO31" s="53" t="str">
        <f t="shared" si="27"/>
        <v/>
      </c>
      <c r="BP31" s="61"/>
      <c r="BQ31" s="61" t="s">
        <v>49</v>
      </c>
      <c r="BR31" s="62"/>
      <c r="BS31" s="53" t="str">
        <f t="shared" si="3"/>
        <v>Jeff_SloHot50_Biostat 2L-23-18</v>
      </c>
      <c r="BT31" s="67"/>
      <c r="BU31" s="52">
        <f t="shared" si="13"/>
        <v>12.220999999999998</v>
      </c>
      <c r="BV31" s="62"/>
      <c r="BW31" s="62"/>
      <c r="BX31" s="62"/>
      <c r="BY31" s="62"/>
      <c r="BZ31" s="62"/>
      <c r="CA31" s="62"/>
      <c r="CB31" s="62"/>
      <c r="CC31" s="63"/>
      <c r="CD31" s="63"/>
      <c r="CE31" s="64"/>
      <c r="CF31" s="59"/>
      <c r="CG31" s="65"/>
      <c r="CH31" s="65"/>
      <c r="CI31" s="59"/>
      <c r="CN31" s="59"/>
      <c r="CO31" s="56"/>
      <c r="CP31" s="62"/>
      <c r="CQ31" s="62"/>
      <c r="CR31" s="62"/>
      <c r="CS31" s="56"/>
      <c r="CT31" s="56"/>
      <c r="CU31" s="56"/>
      <c r="CZ31" s="62"/>
      <c r="DA31" s="59"/>
      <c r="DB31" s="62"/>
    </row>
    <row r="32" spans="1:106" x14ac:dyDescent="0.2">
      <c r="B32" s="51" t="s">
        <v>235</v>
      </c>
      <c r="C32" s="51">
        <v>4.1079999999999998E-2</v>
      </c>
      <c r="D32" s="51">
        <v>1.2964</v>
      </c>
      <c r="E32" s="51">
        <v>5.5464500000000001</v>
      </c>
      <c r="Q32" s="29">
        <v>0.70833333333333337</v>
      </c>
      <c r="R32" s="16">
        <f>R30+4.5</f>
        <v>74.254000000000005</v>
      </c>
      <c r="S32" s="16" t="s">
        <v>48</v>
      </c>
      <c r="T32" s="16">
        <v>19</v>
      </c>
      <c r="W32" s="16">
        <v>27.44</v>
      </c>
      <c r="X32" s="16">
        <v>77</v>
      </c>
      <c r="Y32" s="16">
        <v>7.1578999999999997</v>
      </c>
      <c r="Z32" s="16">
        <v>7.2746000000000004</v>
      </c>
      <c r="AA32" s="16">
        <v>8</v>
      </c>
      <c r="AB32" s="16">
        <f t="shared" si="5"/>
        <v>0.11670000000000069</v>
      </c>
      <c r="AC32" s="16">
        <f t="shared" si="6"/>
        <v>14.587500000000086</v>
      </c>
      <c r="AD32" s="16">
        <v>15</v>
      </c>
      <c r="AE32">
        <f>FAMES!L33</f>
        <v>2.1245000000000003</v>
      </c>
      <c r="AF32" s="50">
        <f t="shared" si="7"/>
        <v>0.14163333333333336</v>
      </c>
      <c r="AG32" s="16">
        <f t="shared" si="8"/>
        <v>2.0660762500000125</v>
      </c>
      <c r="AI32" s="30">
        <f>$BF$14-BF32</f>
        <v>42.447299999999998</v>
      </c>
      <c r="AJ32" s="16">
        <f t="shared" ref="AJ32:AJ35" si="28">BE32/R32</f>
        <v>0.17458992108169255</v>
      </c>
      <c r="AK32" s="30">
        <f t="shared" ref="AK32:AK35" si="29">BE32/AI32</f>
        <v>0.30541400748693087</v>
      </c>
      <c r="AL32" s="31">
        <f t="shared" ref="AL32:AL35" si="30">AC32/R32</f>
        <v>0.19645406308077792</v>
      </c>
      <c r="AM32" s="31">
        <f t="shared" ref="AM32:AM35" si="31">AC32/AI32</f>
        <v>0.34366143429617635</v>
      </c>
      <c r="AO32" s="30"/>
      <c r="AP32" s="16">
        <f t="shared" ref="AP32:AP35" si="32">BF30-BF32</f>
        <v>2.765900000000002</v>
      </c>
      <c r="AQ32" s="31">
        <f t="shared" ref="AQ32:AQ35" si="33">AP32/(R32-R30)</f>
        <v>0.61464444444444488</v>
      </c>
      <c r="AR32" s="31">
        <f t="shared" ref="AR32:AR35" si="34">(AC32-AC30)/(AI32-AI30)</f>
        <v>-6.3270544849750893E-2</v>
      </c>
      <c r="AS32" s="30">
        <f t="shared" ref="AS32:AS35" si="35">AR32/AQ32</f>
        <v>-0.10293844745792646</v>
      </c>
      <c r="AT32" s="31">
        <f t="shared" ref="AT32:AT35" si="36">(BE32-BE30)/(AI32-AI30)</f>
        <v>0.59145305325572084</v>
      </c>
      <c r="AU32" s="36">
        <f t="shared" ref="AU32:AU35" si="37">AT32/AP32</f>
        <v>0.21383746818602278</v>
      </c>
      <c r="AV32" s="31"/>
      <c r="AW32" s="31">
        <f t="shared" ref="AW32:AW35" si="38">AK32+AM32</f>
        <v>0.64907544178310728</v>
      </c>
      <c r="BD32" s="16">
        <f t="shared" ref="BD32:BD38" si="39">IF(ISNUMBER(C32),C32*1000/100,"")</f>
        <v>0.4108</v>
      </c>
      <c r="BE32" s="16">
        <f t="shared" ref="BE32:BE38" si="40">IF(ISNUMBER(D32),D32*1000/100,0)</f>
        <v>12.964</v>
      </c>
      <c r="BF32" s="16">
        <f t="shared" si="27"/>
        <v>55.464500000000001</v>
      </c>
      <c r="BG32" s="16" t="str">
        <f t="shared" si="27"/>
        <v/>
      </c>
      <c r="BH32" s="16" t="str">
        <f t="shared" si="27"/>
        <v/>
      </c>
      <c r="BI32" s="16" t="str">
        <f t="shared" si="27"/>
        <v/>
      </c>
      <c r="BJ32" s="16" t="str">
        <f t="shared" si="27"/>
        <v/>
      </c>
      <c r="BK32" s="16" t="str">
        <f t="shared" si="27"/>
        <v/>
      </c>
      <c r="BL32" s="16" t="str">
        <f t="shared" si="27"/>
        <v/>
      </c>
      <c r="BM32" s="16" t="str">
        <f t="shared" si="27"/>
        <v/>
      </c>
      <c r="BN32" s="16" t="str">
        <f t="shared" si="27"/>
        <v/>
      </c>
      <c r="BO32" s="16" t="str">
        <f t="shared" si="27"/>
        <v/>
      </c>
      <c r="BR32" s="16"/>
      <c r="BT32" s="42"/>
      <c r="BU32" s="18">
        <f t="shared" si="13"/>
        <v>12.964</v>
      </c>
      <c r="BV32" s="32"/>
      <c r="BW32" s="32"/>
      <c r="BX32" s="32"/>
      <c r="BY32" s="32"/>
      <c r="BZ32" s="32"/>
      <c r="CA32" s="32"/>
      <c r="CB32" s="32"/>
      <c r="CC32" s="33"/>
      <c r="CD32" s="33"/>
      <c r="CE32" s="38"/>
      <c r="CF32" s="31"/>
      <c r="CG32" s="39"/>
      <c r="CH32" s="39"/>
      <c r="CI32" s="31"/>
      <c r="CN32" s="31"/>
      <c r="CO32" s="30"/>
      <c r="CP32" s="32"/>
      <c r="CQ32" s="32"/>
      <c r="CR32" s="32"/>
      <c r="CS32" s="30"/>
      <c r="CT32" s="30"/>
      <c r="CU32" s="30"/>
      <c r="CZ32" s="32"/>
      <c r="DA32" s="31"/>
      <c r="DB32" s="32"/>
    </row>
    <row r="33" spans="1:105" x14ac:dyDescent="0.2">
      <c r="B33" s="40" t="s">
        <v>236</v>
      </c>
      <c r="C33" s="40">
        <v>4.7320000000000001E-2</v>
      </c>
      <c r="D33" s="40">
        <v>1.45258</v>
      </c>
      <c r="E33" s="40">
        <v>5.2760600000000002</v>
      </c>
      <c r="R33" s="16">
        <f>R31+4.5</f>
        <v>74.254000000000005</v>
      </c>
      <c r="S33" s="16" t="s">
        <v>49</v>
      </c>
      <c r="T33" s="16">
        <v>20</v>
      </c>
      <c r="W33" s="16">
        <v>32.119999999999997</v>
      </c>
      <c r="X33" s="16">
        <v>85</v>
      </c>
      <c r="Y33" s="16">
        <v>7.1521999999999997</v>
      </c>
      <c r="Z33" s="16">
        <v>7.2839999999999998</v>
      </c>
      <c r="AA33" s="16">
        <v>8</v>
      </c>
      <c r="AB33" s="16">
        <f t="shared" si="5"/>
        <v>0.13180000000000014</v>
      </c>
      <c r="AC33" s="16">
        <f t="shared" si="6"/>
        <v>16.475000000000016</v>
      </c>
      <c r="AD33" s="16">
        <v>15.9</v>
      </c>
      <c r="AE33">
        <f>FAMES!L34</f>
        <v>2.5155000000000003</v>
      </c>
      <c r="AF33" s="50">
        <f t="shared" si="7"/>
        <v>0.15820754716981134</v>
      </c>
      <c r="AG33" s="16">
        <f t="shared" si="8"/>
        <v>2.6064693396226444</v>
      </c>
      <c r="AI33" s="30">
        <f>$BF$15-BF33</f>
        <v>44.74619999999998</v>
      </c>
      <c r="AJ33" s="16">
        <f t="shared" si="28"/>
        <v>0.19562313141379586</v>
      </c>
      <c r="AK33" s="30">
        <f t="shared" si="29"/>
        <v>0.32462644872637242</v>
      </c>
      <c r="AL33" s="31">
        <f t="shared" si="30"/>
        <v>0.2218735691006547</v>
      </c>
      <c r="AM33" s="31">
        <f t="shared" si="31"/>
        <v>0.36818768968091198</v>
      </c>
      <c r="AO33" s="30"/>
      <c r="AP33" s="16">
        <f t="shared" si="32"/>
        <v>3.1165999999999983</v>
      </c>
      <c r="AQ33" s="31">
        <f t="shared" si="33"/>
        <v>0.6925777777777774</v>
      </c>
      <c r="AR33" s="31">
        <f t="shared" si="34"/>
        <v>0.28877623050760814</v>
      </c>
      <c r="AS33" s="30">
        <f t="shared" si="35"/>
        <v>0.41695855653091102</v>
      </c>
      <c r="AT33" s="31">
        <f t="shared" si="36"/>
        <v>0.73952384008214123</v>
      </c>
      <c r="AU33" s="36">
        <f t="shared" si="37"/>
        <v>0.23728545212158816</v>
      </c>
      <c r="AV33" s="31"/>
      <c r="AW33" s="31">
        <f t="shared" si="38"/>
        <v>0.69281413840728434</v>
      </c>
      <c r="BD33" s="16">
        <f t="shared" si="39"/>
        <v>0.47320000000000001</v>
      </c>
      <c r="BE33" s="16">
        <f t="shared" si="40"/>
        <v>14.525799999999998</v>
      </c>
      <c r="BF33" s="16">
        <f t="shared" si="27"/>
        <v>52.760600000000004</v>
      </c>
      <c r="BG33" s="16" t="str">
        <f t="shared" si="27"/>
        <v/>
      </c>
      <c r="BH33" s="16" t="str">
        <f t="shared" si="27"/>
        <v/>
      </c>
      <c r="BI33" s="16" t="str">
        <f t="shared" si="27"/>
        <v/>
      </c>
      <c r="BJ33" s="16" t="str">
        <f t="shared" si="27"/>
        <v/>
      </c>
      <c r="BK33" s="16" t="str">
        <f t="shared" si="27"/>
        <v/>
      </c>
      <c r="BL33" s="16" t="str">
        <f t="shared" si="27"/>
        <v/>
      </c>
      <c r="BM33" s="16" t="str">
        <f t="shared" si="27"/>
        <v/>
      </c>
      <c r="BN33" s="16" t="str">
        <f t="shared" si="27"/>
        <v/>
      </c>
      <c r="BO33" s="16" t="str">
        <f t="shared" si="27"/>
        <v/>
      </c>
      <c r="BR33" s="16"/>
      <c r="BU33" s="18">
        <f t="shared" si="13"/>
        <v>14.525799999999998</v>
      </c>
      <c r="BV33" s="32"/>
      <c r="BW33" s="32"/>
      <c r="BX33" s="32"/>
      <c r="BY33" s="32"/>
      <c r="BZ33" s="32"/>
      <c r="CA33" s="32"/>
      <c r="CB33" s="32"/>
      <c r="CC33" s="33"/>
      <c r="CD33" s="33"/>
      <c r="CE33" s="38"/>
      <c r="CF33" s="31"/>
      <c r="CG33" s="39"/>
      <c r="CH33" s="39"/>
      <c r="CI33" s="31"/>
      <c r="CN33" s="31"/>
      <c r="CO33" s="30"/>
      <c r="CP33" s="32"/>
      <c r="CQ33" s="32"/>
      <c r="CR33" s="32"/>
      <c r="CS33" s="43"/>
      <c r="CT33" s="30"/>
      <c r="CU33" s="30"/>
      <c r="CZ33" s="32"/>
      <c r="DA33" s="31"/>
    </row>
    <row r="34" spans="1:105" s="44" customFormat="1" ht="17" thickBot="1" x14ac:dyDescent="0.25">
      <c r="A34" s="16"/>
      <c r="B34" s="40" t="s">
        <v>237</v>
      </c>
      <c r="C34" s="40">
        <v>4.4139999999999999E-2</v>
      </c>
      <c r="D34" s="40">
        <v>1.7134400000000001</v>
      </c>
      <c r="E34" s="40">
        <v>4.9730699999999999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28">
        <v>45606</v>
      </c>
      <c r="Q34" s="29">
        <v>0.32291666666666669</v>
      </c>
      <c r="R34" s="16">
        <f>R32+12+2.75</f>
        <v>89.004000000000005</v>
      </c>
      <c r="S34" s="16" t="s">
        <v>48</v>
      </c>
      <c r="T34" s="16">
        <v>21</v>
      </c>
      <c r="U34" s="16"/>
      <c r="V34" s="16"/>
      <c r="W34" s="16">
        <v>30.32</v>
      </c>
      <c r="X34" s="16">
        <v>99</v>
      </c>
      <c r="Y34" s="16">
        <v>7.1387</v>
      </c>
      <c r="Z34" s="16">
        <v>7.2624000000000004</v>
      </c>
      <c r="AA34" s="16">
        <v>8</v>
      </c>
      <c r="AB34" s="16">
        <f t="shared" si="5"/>
        <v>0.12370000000000037</v>
      </c>
      <c r="AC34" s="16">
        <f t="shared" si="6"/>
        <v>15.462500000000045</v>
      </c>
      <c r="AD34" s="16">
        <v>16.2</v>
      </c>
      <c r="AE34">
        <f>FAMES!L35</f>
        <v>2.7670000000000003</v>
      </c>
      <c r="AF34" s="50">
        <f t="shared" si="7"/>
        <v>0.17080246913580249</v>
      </c>
      <c r="AG34" s="16">
        <f t="shared" si="8"/>
        <v>2.6410331790123536</v>
      </c>
      <c r="AH34" s="16"/>
      <c r="AI34" s="30">
        <f>$BF$14-BF34</f>
        <v>48.181100000000001</v>
      </c>
      <c r="AJ34" s="16">
        <f t="shared" si="28"/>
        <v>0.19251269605860408</v>
      </c>
      <c r="AK34" s="30">
        <f t="shared" si="29"/>
        <v>0.35562492346584035</v>
      </c>
      <c r="AL34" s="31">
        <f t="shared" si="30"/>
        <v>0.17372814704957129</v>
      </c>
      <c r="AM34" s="31">
        <f t="shared" si="31"/>
        <v>0.32092459491377417</v>
      </c>
      <c r="AN34" s="16"/>
      <c r="AO34" s="30"/>
      <c r="AP34" s="16">
        <f t="shared" si="32"/>
        <v>5.7338000000000022</v>
      </c>
      <c r="AQ34" s="31">
        <f t="shared" si="33"/>
        <v>0.38873220338983067</v>
      </c>
      <c r="AR34" s="31">
        <f t="shared" si="34"/>
        <v>0.15260385782551864</v>
      </c>
      <c r="AS34" s="30">
        <f t="shared" si="35"/>
        <v>0.3925680879916284</v>
      </c>
      <c r="AT34" s="31">
        <f t="shared" si="36"/>
        <v>0.72733614705779714</v>
      </c>
      <c r="AU34" s="36">
        <f t="shared" si="37"/>
        <v>0.12685063083082718</v>
      </c>
      <c r="AV34" s="31"/>
      <c r="AW34" s="31">
        <f t="shared" si="38"/>
        <v>0.67654951837961452</v>
      </c>
      <c r="AX34" s="16"/>
      <c r="AY34" s="16"/>
      <c r="AZ34" s="16"/>
      <c r="BA34" s="16"/>
      <c r="BB34" s="16"/>
      <c r="BC34" s="16"/>
      <c r="BD34" s="16">
        <f t="shared" si="39"/>
        <v>0.44140000000000001</v>
      </c>
      <c r="BE34" s="16">
        <f t="shared" si="40"/>
        <v>17.134399999999999</v>
      </c>
      <c r="BF34" s="16">
        <f t="shared" ref="BF34:BF38" si="41">IF(ISNUMBER(E34),E34*1000/100,"")</f>
        <v>49.730699999999999</v>
      </c>
      <c r="BG34" s="16" t="str">
        <f t="shared" ref="BG34:BG38" si="42">IF(ISNUMBER(F34),F34*1000/100,"")</f>
        <v/>
      </c>
      <c r="BH34" s="16" t="str">
        <f t="shared" ref="BH34:BH38" si="43">IF(ISNUMBER(G34),G34*1000/100,"")</f>
        <v/>
      </c>
      <c r="BI34" s="16" t="str">
        <f t="shared" ref="BI34:BI38" si="44">IF(ISNUMBER(H34),H34*1000/100,"")</f>
        <v/>
      </c>
      <c r="BJ34" s="16" t="str">
        <f t="shared" ref="BJ34:BJ38" si="45">IF(ISNUMBER(I34),I34*1000/100,"")</f>
        <v/>
      </c>
      <c r="BK34" s="16" t="str">
        <f t="shared" ref="BK34:BK38" si="46">IF(ISNUMBER(J34),J34*1000/100,"")</f>
        <v/>
      </c>
      <c r="BL34" s="16" t="str">
        <f t="shared" ref="BL34:BL38" si="47">IF(ISNUMBER(K34),K34*1000/100,"")</f>
        <v/>
      </c>
      <c r="BM34" s="16" t="str">
        <f t="shared" ref="BM34:BM38" si="48">IF(ISNUMBER(L34),L34*1000/100,"")</f>
        <v/>
      </c>
      <c r="BN34" s="16" t="str">
        <f t="shared" ref="BN34:BN38" si="49">IF(ISNUMBER(M34),M34*1000/100,"")</f>
        <v/>
      </c>
      <c r="BO34" s="16" t="str">
        <f t="shared" ref="BO34:BO38" si="50">IF(ISNUMBER(N34),N34*1000/100,"")</f>
        <v/>
      </c>
      <c r="BP34" s="16"/>
      <c r="BQ34" s="16"/>
      <c r="BR34" s="16"/>
      <c r="BS34" s="16"/>
      <c r="BT34" s="16"/>
      <c r="BU34" s="18">
        <f t="shared" si="13"/>
        <v>17.134399999999999</v>
      </c>
      <c r="BV34" s="32"/>
      <c r="BW34" s="32"/>
      <c r="BX34" s="32"/>
      <c r="BY34" s="32"/>
      <c r="BZ34" s="32"/>
      <c r="CA34" s="32"/>
      <c r="CB34" s="32"/>
      <c r="CC34" s="33"/>
      <c r="CD34" s="33"/>
      <c r="CE34" s="38"/>
      <c r="CF34" s="31"/>
      <c r="CG34" s="39"/>
      <c r="CH34" s="39"/>
      <c r="CI34" s="31"/>
      <c r="CJ34" s="16"/>
      <c r="CL34" s="16"/>
      <c r="CM34" s="16"/>
      <c r="CN34" s="31"/>
      <c r="CO34" s="30"/>
      <c r="CP34" s="32"/>
      <c r="CQ34" s="32"/>
      <c r="CR34" s="32"/>
      <c r="CS34" s="45"/>
      <c r="CT34" s="30"/>
      <c r="CU34" s="30"/>
      <c r="CX34" s="16"/>
      <c r="CY34" s="16"/>
      <c r="CZ34" s="32"/>
      <c r="DA34" s="31"/>
    </row>
    <row r="35" spans="1:105" x14ac:dyDescent="0.2">
      <c r="B35" s="40" t="s">
        <v>238</v>
      </c>
      <c r="C35" s="40">
        <v>5.0569999999999997E-2</v>
      </c>
      <c r="D35" s="40">
        <v>2.1196600000000001</v>
      </c>
      <c r="E35" s="40">
        <v>4.3084699999999998</v>
      </c>
      <c r="R35" s="16">
        <f>R33+12+2.75</f>
        <v>89.004000000000005</v>
      </c>
      <c r="S35" s="16" t="s">
        <v>49</v>
      </c>
      <c r="T35" s="16">
        <v>22</v>
      </c>
      <c r="W35" s="16">
        <v>32.56</v>
      </c>
      <c r="X35" s="16">
        <v>151</v>
      </c>
      <c r="Y35" s="16">
        <v>7.1357999999999997</v>
      </c>
      <c r="Z35" s="16">
        <v>7.2655000000000003</v>
      </c>
      <c r="AA35" s="16">
        <v>8</v>
      </c>
      <c r="AB35" s="16">
        <f t="shared" si="5"/>
        <v>0.12970000000000059</v>
      </c>
      <c r="AC35" s="16">
        <f t="shared" si="6"/>
        <v>16.212500000000073</v>
      </c>
      <c r="AD35" s="16">
        <v>19</v>
      </c>
      <c r="AF35" s="50">
        <f t="shared" si="7"/>
        <v>0</v>
      </c>
      <c r="AG35" s="16">
        <f t="shared" si="8"/>
        <v>0</v>
      </c>
      <c r="AI35" s="30">
        <f>$BF$15-BF35</f>
        <v>54.422099999999993</v>
      </c>
      <c r="AJ35" s="16">
        <f t="shared" si="28"/>
        <v>0.23815334142285743</v>
      </c>
      <c r="AK35" s="30">
        <f t="shared" si="29"/>
        <v>0.38948515400912509</v>
      </c>
      <c r="AL35" s="31">
        <f t="shared" si="30"/>
        <v>0.18215473461866963</v>
      </c>
      <c r="AM35" s="31">
        <f t="shared" si="31"/>
        <v>0.29790287401625581</v>
      </c>
      <c r="AO35" s="30"/>
      <c r="AP35" s="16">
        <f t="shared" si="32"/>
        <v>9.6759000000000128</v>
      </c>
      <c r="AQ35" s="31">
        <f t="shared" si="33"/>
        <v>0.65599322033898388</v>
      </c>
      <c r="AR35" s="31">
        <f t="shared" si="34"/>
        <v>-2.7129259293703127E-2</v>
      </c>
      <c r="AS35" s="30">
        <f t="shared" si="35"/>
        <v>-4.1356005599698285E-2</v>
      </c>
      <c r="AT35" s="31">
        <f t="shared" si="36"/>
        <v>0.68942423960561772</v>
      </c>
      <c r="AU35" s="36">
        <f t="shared" si="37"/>
        <v>7.1251691274777207E-2</v>
      </c>
      <c r="AV35" s="31"/>
      <c r="AW35" s="31">
        <f t="shared" si="38"/>
        <v>0.6873880280253809</v>
      </c>
      <c r="BD35" s="16">
        <f t="shared" si="39"/>
        <v>0.50570000000000004</v>
      </c>
      <c r="BE35" s="16">
        <f t="shared" si="40"/>
        <v>21.196600000000004</v>
      </c>
      <c r="BF35" s="16">
        <f t="shared" si="41"/>
        <v>43.084699999999991</v>
      </c>
      <c r="BG35" s="16" t="str">
        <f t="shared" si="42"/>
        <v/>
      </c>
      <c r="BH35" s="16" t="str">
        <f t="shared" si="43"/>
        <v/>
      </c>
      <c r="BI35" s="16" t="str">
        <f t="shared" si="44"/>
        <v/>
      </c>
      <c r="BJ35" s="16" t="str">
        <f t="shared" si="45"/>
        <v/>
      </c>
      <c r="BK35" s="16" t="str">
        <f t="shared" si="46"/>
        <v/>
      </c>
      <c r="BL35" s="16" t="str">
        <f t="shared" si="47"/>
        <v/>
      </c>
      <c r="BM35" s="16" t="str">
        <f t="shared" si="48"/>
        <v/>
      </c>
      <c r="BN35" s="16" t="str">
        <f t="shared" si="49"/>
        <v/>
      </c>
      <c r="BO35" s="16" t="str">
        <f t="shared" si="50"/>
        <v/>
      </c>
      <c r="BR35" s="16"/>
      <c r="BT35" s="32"/>
      <c r="BU35" s="18">
        <f t="shared" si="13"/>
        <v>21.196600000000004</v>
      </c>
      <c r="BV35" s="32"/>
      <c r="BW35" s="32"/>
      <c r="BX35" s="32"/>
      <c r="BY35" s="32"/>
      <c r="BZ35" s="32"/>
      <c r="CA35" s="32"/>
      <c r="CB35" s="32"/>
      <c r="CC35" s="33"/>
      <c r="CD35" s="33"/>
      <c r="CE35" s="38"/>
      <c r="CF35" s="31"/>
      <c r="CG35" s="39"/>
      <c r="CH35" s="39"/>
      <c r="CI35" s="31"/>
      <c r="CN35" s="31"/>
      <c r="CO35" s="30"/>
      <c r="CP35" s="32"/>
      <c r="CQ35" s="32"/>
      <c r="CR35" s="32"/>
      <c r="CS35" s="30"/>
      <c r="CT35" s="30"/>
      <c r="CU35" s="30"/>
      <c r="CZ35" s="32"/>
      <c r="DA35" s="31"/>
    </row>
    <row r="36" spans="1:105" x14ac:dyDescent="0.2">
      <c r="AI36" s="30"/>
      <c r="AK36" s="30"/>
      <c r="AL36" s="31"/>
      <c r="AM36" s="31"/>
      <c r="AO36" s="30"/>
      <c r="AQ36" s="31"/>
      <c r="AR36" s="31"/>
      <c r="AS36" s="30"/>
      <c r="AT36" s="31"/>
      <c r="AU36" s="36"/>
      <c r="AV36" s="31"/>
      <c r="AW36" s="31"/>
      <c r="BD36" s="16" t="str">
        <f t="shared" si="39"/>
        <v/>
      </c>
      <c r="BE36" s="16">
        <f t="shared" si="40"/>
        <v>0</v>
      </c>
      <c r="BF36" s="16" t="str">
        <f t="shared" si="41"/>
        <v/>
      </c>
      <c r="BG36" s="16" t="str">
        <f t="shared" si="42"/>
        <v/>
      </c>
      <c r="BH36" s="16" t="str">
        <f t="shared" si="43"/>
        <v/>
      </c>
      <c r="BI36" s="16" t="str">
        <f t="shared" si="44"/>
        <v/>
      </c>
      <c r="BJ36" s="16" t="str">
        <f t="shared" si="45"/>
        <v/>
      </c>
      <c r="BK36" s="16" t="str">
        <f t="shared" si="46"/>
        <v/>
      </c>
      <c r="BL36" s="16" t="str">
        <f t="shared" si="47"/>
        <v/>
      </c>
      <c r="BM36" s="16" t="str">
        <f t="shared" si="48"/>
        <v/>
      </c>
      <c r="BN36" s="16" t="str">
        <f t="shared" si="49"/>
        <v/>
      </c>
      <c r="BO36" s="16" t="str">
        <f t="shared" si="50"/>
        <v/>
      </c>
      <c r="BR36" s="16"/>
      <c r="BU36" s="18">
        <f t="shared" si="13"/>
        <v>0</v>
      </c>
      <c r="BZ36" s="16"/>
      <c r="CA36" s="16"/>
    </row>
    <row r="37" spans="1:105" x14ac:dyDescent="0.2">
      <c r="AI37" s="30"/>
      <c r="AK37" s="30"/>
      <c r="AL37" s="31"/>
      <c r="AM37" s="31"/>
      <c r="AO37" s="30"/>
      <c r="AQ37" s="31"/>
      <c r="AR37" s="31"/>
      <c r="AS37" s="30"/>
      <c r="AT37" s="31"/>
      <c r="AU37" s="36"/>
      <c r="AV37" s="31"/>
      <c r="AW37" s="31"/>
      <c r="BD37" s="16" t="str">
        <f t="shared" si="39"/>
        <v/>
      </c>
      <c r="BE37" s="16">
        <f t="shared" si="40"/>
        <v>0</v>
      </c>
      <c r="BF37" s="16" t="str">
        <f t="shared" si="41"/>
        <v/>
      </c>
      <c r="BG37" s="16" t="str">
        <f t="shared" si="42"/>
        <v/>
      </c>
      <c r="BH37" s="16" t="str">
        <f t="shared" si="43"/>
        <v/>
      </c>
      <c r="BI37" s="16" t="str">
        <f t="shared" si="44"/>
        <v/>
      </c>
      <c r="BJ37" s="16" t="str">
        <f t="shared" si="45"/>
        <v/>
      </c>
      <c r="BK37" s="16" t="str">
        <f t="shared" si="46"/>
        <v/>
      </c>
      <c r="BL37" s="16" t="str">
        <f t="shared" si="47"/>
        <v/>
      </c>
      <c r="BM37" s="16" t="str">
        <f t="shared" si="48"/>
        <v/>
      </c>
      <c r="BN37" s="16" t="str">
        <f t="shared" si="49"/>
        <v/>
      </c>
      <c r="BO37" s="16" t="str">
        <f t="shared" si="50"/>
        <v/>
      </c>
      <c r="BR37" s="16"/>
      <c r="BU37" s="18">
        <f t="shared" si="13"/>
        <v>0</v>
      </c>
      <c r="BZ37" s="16"/>
      <c r="CA37" s="16"/>
    </row>
    <row r="38" spans="1:105" x14ac:dyDescent="0.2">
      <c r="BD38" s="16" t="str">
        <f t="shared" si="39"/>
        <v/>
      </c>
      <c r="BE38" s="16">
        <f t="shared" si="40"/>
        <v>0</v>
      </c>
      <c r="BF38" s="16" t="str">
        <f t="shared" si="41"/>
        <v/>
      </c>
      <c r="BG38" s="16" t="str">
        <f t="shared" si="42"/>
        <v/>
      </c>
      <c r="BH38" s="16" t="str">
        <f t="shared" si="43"/>
        <v/>
      </c>
      <c r="BI38" s="16" t="str">
        <f t="shared" si="44"/>
        <v/>
      </c>
      <c r="BJ38" s="16" t="str">
        <f t="shared" si="45"/>
        <v/>
      </c>
      <c r="BK38" s="16" t="str">
        <f t="shared" si="46"/>
        <v/>
      </c>
      <c r="BL38" s="16" t="str">
        <f t="shared" si="47"/>
        <v/>
      </c>
      <c r="BM38" s="16" t="str">
        <f t="shared" si="48"/>
        <v/>
      </c>
      <c r="BN38" s="16" t="str">
        <f t="shared" si="49"/>
        <v/>
      </c>
      <c r="BO38" s="16" t="str">
        <f t="shared" si="50"/>
        <v/>
      </c>
      <c r="BR38" s="16"/>
      <c r="BZ38" s="16"/>
      <c r="CA38" s="16"/>
    </row>
    <row r="39" spans="1:105" x14ac:dyDescent="0.2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BP39" s="20"/>
      <c r="BR39" s="16"/>
      <c r="BZ39" s="16"/>
      <c r="CA39" s="16"/>
    </row>
    <row r="40" spans="1:105" x14ac:dyDescent="0.2">
      <c r="BP40" s="20"/>
      <c r="BR40" s="16"/>
      <c r="BZ40" s="16"/>
      <c r="CA40" s="16"/>
    </row>
    <row r="41" spans="1:105" x14ac:dyDescent="0.2">
      <c r="BP41" s="20"/>
      <c r="BR41" s="16"/>
      <c r="BZ41" s="16"/>
      <c r="CA41" s="16"/>
    </row>
    <row r="42" spans="1:105" x14ac:dyDescent="0.2">
      <c r="BP42" s="20"/>
      <c r="BR42" s="16"/>
      <c r="BZ42" s="16"/>
      <c r="CA42" s="16"/>
    </row>
    <row r="43" spans="1:105" x14ac:dyDescent="0.2">
      <c r="BP43" s="20"/>
      <c r="BR43" s="16"/>
      <c r="BZ43" s="16"/>
      <c r="CA43" s="16"/>
    </row>
    <row r="44" spans="1:105" x14ac:dyDescent="0.2">
      <c r="BP44" s="20"/>
      <c r="BR44" s="16"/>
      <c r="BZ44" s="16"/>
      <c r="CA44" s="16"/>
    </row>
    <row r="45" spans="1:105" x14ac:dyDescent="0.2">
      <c r="BP45" s="20"/>
      <c r="BR45" s="16"/>
      <c r="BZ45" s="16"/>
      <c r="CA45" s="16"/>
    </row>
    <row r="46" spans="1:105" x14ac:dyDescent="0.2">
      <c r="BP46" s="20"/>
      <c r="BR46" s="16"/>
      <c r="BZ46" s="16"/>
      <c r="CA46" s="16"/>
    </row>
    <row r="47" spans="1:105" x14ac:dyDescent="0.2">
      <c r="BP47" s="20"/>
      <c r="BR47" s="16"/>
      <c r="BZ47" s="16"/>
      <c r="CA47" s="16"/>
    </row>
    <row r="48" spans="1:105" x14ac:dyDescent="0.2">
      <c r="BP48" s="20"/>
      <c r="BR48" s="16"/>
      <c r="BZ48" s="16"/>
      <c r="CA48" s="16"/>
    </row>
    <row r="49" spans="68:79" x14ac:dyDescent="0.2">
      <c r="BP49" s="20"/>
      <c r="BR49" s="16"/>
      <c r="BZ49" s="16"/>
      <c r="CA49" s="16"/>
    </row>
    <row r="50" spans="68:79" x14ac:dyDescent="0.2">
      <c r="BP50" s="20"/>
      <c r="BR50" s="16"/>
      <c r="BZ50" s="16"/>
      <c r="CA50" s="16"/>
    </row>
    <row r="51" spans="68:79" x14ac:dyDescent="0.2">
      <c r="BP51" s="20"/>
      <c r="BR51" s="16"/>
      <c r="BZ51" s="16"/>
      <c r="CA51" s="16"/>
    </row>
    <row r="52" spans="68:79" x14ac:dyDescent="0.2">
      <c r="BP52" s="20"/>
      <c r="BR52" s="16"/>
      <c r="BZ52" s="16"/>
      <c r="CA52" s="16"/>
    </row>
    <row r="53" spans="68:79" x14ac:dyDescent="0.2">
      <c r="BP53" s="20"/>
      <c r="BR53" s="16"/>
      <c r="BZ53" s="16"/>
      <c r="CA53" s="16"/>
    </row>
    <row r="54" spans="68:79" x14ac:dyDescent="0.2">
      <c r="BP54" s="20"/>
      <c r="BR54" s="16"/>
      <c r="BZ54" s="16"/>
      <c r="CA54" s="16"/>
    </row>
    <row r="55" spans="68:79" x14ac:dyDescent="0.2">
      <c r="BP55" s="20"/>
      <c r="BR55" s="16"/>
      <c r="BZ55" s="16"/>
      <c r="CA55" s="16"/>
    </row>
    <row r="56" spans="68:79" x14ac:dyDescent="0.2">
      <c r="BP56" s="20"/>
      <c r="BR56" s="16"/>
      <c r="BZ56" s="16"/>
      <c r="CA56" s="16"/>
    </row>
    <row r="57" spans="68:79" x14ac:dyDescent="0.2">
      <c r="BP57" s="20"/>
      <c r="BR57" s="16"/>
      <c r="BZ57" s="16"/>
      <c r="CA57" s="16"/>
    </row>
    <row r="58" spans="68:79" x14ac:dyDescent="0.2">
      <c r="BP58" s="20"/>
      <c r="BR58" s="16"/>
      <c r="BZ58" s="16"/>
      <c r="CA58" s="16"/>
    </row>
    <row r="59" spans="68:79" x14ac:dyDescent="0.2">
      <c r="BP59" s="20"/>
      <c r="BR59" s="16"/>
      <c r="BZ59" s="16"/>
      <c r="CA59" s="16"/>
    </row>
    <row r="60" spans="68:79" x14ac:dyDescent="0.2">
      <c r="BP60" s="20"/>
      <c r="BR60" s="16"/>
      <c r="BZ60" s="16"/>
      <c r="CA60" s="16"/>
    </row>
    <row r="61" spans="68:79" x14ac:dyDescent="0.2">
      <c r="BP61" s="20"/>
      <c r="BR61" s="16"/>
      <c r="BZ61" s="16"/>
      <c r="CA61" s="16"/>
    </row>
    <row r="62" spans="68:79" x14ac:dyDescent="0.2">
      <c r="BP62" s="20"/>
      <c r="BR62" s="16"/>
      <c r="BZ62" s="16"/>
      <c r="CA62" s="16"/>
    </row>
    <row r="63" spans="68:79" x14ac:dyDescent="0.2">
      <c r="BP63" s="20"/>
      <c r="BR63" s="16"/>
      <c r="BZ63" s="16"/>
      <c r="CA63" s="16"/>
    </row>
    <row r="64" spans="68:79" x14ac:dyDescent="0.2">
      <c r="BP64" s="20"/>
      <c r="BR64" s="16"/>
      <c r="BZ64" s="16"/>
      <c r="CA64" s="16"/>
    </row>
    <row r="65" spans="21:105" x14ac:dyDescent="0.2">
      <c r="BP65" s="20"/>
      <c r="BR65" s="16"/>
      <c r="BZ65" s="16"/>
      <c r="CA65" s="16"/>
    </row>
    <row r="66" spans="21:105" x14ac:dyDescent="0.2">
      <c r="BP66" s="20"/>
      <c r="BR66" s="16"/>
      <c r="BZ66" s="16"/>
      <c r="CA66" s="16"/>
    </row>
    <row r="67" spans="21:105" x14ac:dyDescent="0.2">
      <c r="BP67" s="20"/>
      <c r="BR67" s="16"/>
      <c r="BZ67" s="16"/>
      <c r="CA67" s="16"/>
      <c r="CB67" s="32"/>
      <c r="CC67" s="38"/>
      <c r="CD67" s="46"/>
      <c r="CH67" s="39"/>
      <c r="CI67" s="31"/>
      <c r="CN67" s="30"/>
      <c r="CO67" s="30"/>
      <c r="CP67" s="32"/>
      <c r="CQ67" s="32"/>
      <c r="CR67" s="32"/>
      <c r="CS67" s="30"/>
      <c r="CT67" s="30"/>
      <c r="CU67" s="30"/>
      <c r="CZ67" s="32"/>
      <c r="DA67" s="32"/>
    </row>
    <row r="68" spans="21:105" x14ac:dyDescent="0.2">
      <c r="BR68" s="16"/>
      <c r="BU68" s="18"/>
      <c r="BZ68" s="16"/>
      <c r="CA68" s="16"/>
      <c r="CC68" s="34"/>
      <c r="CD68" s="47"/>
    </row>
    <row r="71" spans="21:105" x14ac:dyDescent="0.2">
      <c r="U71" s="16">
        <f>390/24</f>
        <v>16.25</v>
      </c>
    </row>
    <row r="76" spans="21:105" x14ac:dyDescent="0.2">
      <c r="BP76" s="31"/>
    </row>
  </sheetData>
  <autoFilter ref="A13:CL67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25FD-5901-6E4C-9244-B07187007467}">
  <dimension ref="A2:V35"/>
  <sheetViews>
    <sheetView workbookViewId="0">
      <selection activeCell="E25" sqref="E25"/>
    </sheetView>
  </sheetViews>
  <sheetFormatPr baseColWidth="10" defaultRowHeight="16" x14ac:dyDescent="0.2"/>
  <sheetData>
    <row r="2" spans="1:22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</row>
    <row r="3" spans="1:22" x14ac:dyDescent="0.2">
      <c r="A3" t="s">
        <v>246</v>
      </c>
      <c r="B3" s="49">
        <v>0.91</v>
      </c>
      <c r="C3" s="49">
        <v>0.95899999999999996</v>
      </c>
      <c r="D3" s="49">
        <v>1.006</v>
      </c>
      <c r="E3" s="49">
        <v>0.98799999999999999</v>
      </c>
      <c r="F3" s="49">
        <v>0.93200000000000005</v>
      </c>
      <c r="G3" s="49">
        <v>0.92200000000000004</v>
      </c>
      <c r="H3" s="49">
        <v>0.999</v>
      </c>
      <c r="I3" s="49">
        <v>0.94599999999999995</v>
      </c>
      <c r="J3" s="49">
        <v>0.874</v>
      </c>
      <c r="K3" s="49">
        <v>0.94499999999999995</v>
      </c>
      <c r="L3" s="49">
        <v>0.93300000000000005</v>
      </c>
      <c r="M3" s="49">
        <v>0.99299999999999999</v>
      </c>
      <c r="N3" s="49">
        <v>0.92900000000000005</v>
      </c>
      <c r="O3" s="49">
        <v>1.0229999999999999</v>
      </c>
      <c r="P3" s="49">
        <v>0.94199999999999995</v>
      </c>
      <c r="Q3" s="49">
        <v>0.97799999999999998</v>
      </c>
      <c r="R3" s="49">
        <v>0.89500000000000002</v>
      </c>
      <c r="S3" s="49">
        <v>0.93799999999999994</v>
      </c>
      <c r="T3" s="49">
        <v>0.93100000000000005</v>
      </c>
      <c r="U3" s="49">
        <v>0.89800000000000002</v>
      </c>
      <c r="V3" s="49">
        <v>1.024</v>
      </c>
    </row>
    <row r="4" spans="1:22" x14ac:dyDescent="0.2">
      <c r="A4" t="s">
        <v>247</v>
      </c>
      <c r="B4" s="49">
        <v>0</v>
      </c>
      <c r="C4" s="49" t="s">
        <v>255</v>
      </c>
      <c r="D4" s="49" t="s">
        <v>255</v>
      </c>
      <c r="E4" s="49" t="s">
        <v>255</v>
      </c>
      <c r="F4" s="49" t="s">
        <v>255</v>
      </c>
      <c r="G4" s="49">
        <v>8.0000000000000002E-3</v>
      </c>
      <c r="H4" s="49">
        <v>4.0000000000000001E-3</v>
      </c>
      <c r="I4" s="49">
        <v>8.9999999999999993E-3</v>
      </c>
      <c r="J4" s="49">
        <v>4.0000000000000001E-3</v>
      </c>
      <c r="K4" s="49">
        <v>6.0000000000000001E-3</v>
      </c>
      <c r="L4" s="49">
        <v>7.0000000000000001E-3</v>
      </c>
      <c r="M4" s="49">
        <v>1.2E-2</v>
      </c>
      <c r="N4" s="49">
        <v>7.0000000000000001E-3</v>
      </c>
      <c r="O4" s="49">
        <v>8.9999999999999993E-3</v>
      </c>
      <c r="P4" s="49">
        <v>7.0000000000000001E-3</v>
      </c>
      <c r="Q4" s="49">
        <v>0.01</v>
      </c>
      <c r="R4" s="49">
        <v>7.0000000000000001E-3</v>
      </c>
      <c r="S4" s="49">
        <v>8.9999999999999993E-3</v>
      </c>
      <c r="T4" s="49">
        <v>6.0000000000000001E-3</v>
      </c>
      <c r="U4" s="49">
        <v>8.9999999999999993E-3</v>
      </c>
      <c r="V4" s="49">
        <v>8.0000000000000002E-3</v>
      </c>
    </row>
    <row r="5" spans="1:22" x14ac:dyDescent="0.2">
      <c r="A5" t="s">
        <v>248</v>
      </c>
      <c r="B5" s="49">
        <v>0.13100000000000001</v>
      </c>
      <c r="C5" s="49">
        <v>0.13900000000000001</v>
      </c>
      <c r="D5" s="49">
        <v>0.14499999999999999</v>
      </c>
      <c r="E5" s="49">
        <v>0.13500000000000001</v>
      </c>
      <c r="F5" s="49">
        <v>0.26600000000000001</v>
      </c>
      <c r="G5" s="49">
        <v>0.27200000000000002</v>
      </c>
      <c r="H5" s="49">
        <v>0.34499999999999997</v>
      </c>
      <c r="I5" s="49">
        <v>0.32700000000000001</v>
      </c>
      <c r="J5" s="49">
        <v>0.44700000000000001</v>
      </c>
      <c r="K5" s="49">
        <v>0.29499999999999998</v>
      </c>
      <c r="L5" s="49">
        <v>0.68200000000000005</v>
      </c>
      <c r="M5" s="49">
        <v>0.73099999999999998</v>
      </c>
      <c r="N5" s="49">
        <v>0.64900000000000002</v>
      </c>
      <c r="O5" s="49">
        <v>0.56000000000000005</v>
      </c>
      <c r="P5" s="49">
        <v>0.71799999999999997</v>
      </c>
      <c r="Q5" s="49">
        <v>0.67200000000000004</v>
      </c>
      <c r="R5" s="49">
        <v>0.67200000000000004</v>
      </c>
      <c r="S5" s="49">
        <v>0.72499999999999998</v>
      </c>
      <c r="T5" s="49">
        <v>0.66900000000000004</v>
      </c>
      <c r="U5" s="49">
        <v>0.77</v>
      </c>
      <c r="V5" s="49">
        <v>0.81599999999999995</v>
      </c>
    </row>
    <row r="6" spans="1:22" x14ac:dyDescent="0.2">
      <c r="A6" t="s">
        <v>249</v>
      </c>
      <c r="B6" s="49">
        <v>1.0999999999999999E-2</v>
      </c>
      <c r="C6" s="49">
        <v>4.0000000000000001E-3</v>
      </c>
      <c r="D6" s="49" t="s">
        <v>255</v>
      </c>
      <c r="E6" s="49" t="s">
        <v>255</v>
      </c>
      <c r="F6" s="49">
        <v>0.108</v>
      </c>
      <c r="G6" s="49">
        <v>0.126</v>
      </c>
      <c r="H6" s="49">
        <v>0.159</v>
      </c>
      <c r="I6" s="49">
        <v>0.154</v>
      </c>
      <c r="J6" s="49">
        <v>0.22900000000000001</v>
      </c>
      <c r="K6" s="49">
        <v>0.124</v>
      </c>
      <c r="L6" s="49">
        <v>0.377</v>
      </c>
      <c r="M6" s="49">
        <v>0.40600000000000003</v>
      </c>
      <c r="N6" s="49">
        <v>0.35799999999999998</v>
      </c>
      <c r="O6" s="49">
        <v>0.27400000000000002</v>
      </c>
      <c r="P6" s="49">
        <v>0.40200000000000002</v>
      </c>
      <c r="Q6" s="49">
        <v>0.36</v>
      </c>
      <c r="R6" s="49">
        <v>0.39700000000000002</v>
      </c>
      <c r="S6" s="49">
        <v>0.41099999999999998</v>
      </c>
      <c r="T6" s="49">
        <v>0.39700000000000002</v>
      </c>
      <c r="U6" s="49">
        <v>0.44</v>
      </c>
      <c r="V6" s="49">
        <v>0.52900000000000003</v>
      </c>
    </row>
    <row r="7" spans="1:22" x14ac:dyDescent="0.2">
      <c r="A7" t="s">
        <v>250</v>
      </c>
      <c r="B7" s="49">
        <v>9.1999999999999998E-2</v>
      </c>
      <c r="C7" s="49">
        <v>0.10100000000000001</v>
      </c>
      <c r="D7" s="49">
        <v>0.112</v>
      </c>
      <c r="E7" s="49">
        <v>0.10299999999999999</v>
      </c>
      <c r="F7" s="49">
        <v>0.14599999999999999</v>
      </c>
      <c r="G7" s="49">
        <v>0.14099999999999999</v>
      </c>
      <c r="H7" s="49">
        <v>0.185</v>
      </c>
      <c r="I7" s="49">
        <v>0.183</v>
      </c>
      <c r="J7" s="49">
        <v>0.22700000000000001</v>
      </c>
      <c r="K7" s="49">
        <v>0.19</v>
      </c>
      <c r="L7" s="49">
        <v>0.30499999999999999</v>
      </c>
      <c r="M7" s="49">
        <v>0.44800000000000001</v>
      </c>
      <c r="N7" s="49">
        <v>0.28999999999999998</v>
      </c>
      <c r="O7" s="49">
        <v>0.35499999999999998</v>
      </c>
      <c r="P7" s="49">
        <v>0.32</v>
      </c>
      <c r="Q7" s="49">
        <v>0.41399999999999998</v>
      </c>
      <c r="R7" s="49">
        <v>0.31</v>
      </c>
      <c r="S7" s="49">
        <v>0.46899999999999997</v>
      </c>
      <c r="T7" s="49">
        <v>0.32200000000000001</v>
      </c>
      <c r="U7" s="49">
        <v>0.497</v>
      </c>
      <c r="V7" s="49">
        <v>0.39500000000000002</v>
      </c>
    </row>
    <row r="8" spans="1:22" x14ac:dyDescent="0.2">
      <c r="A8" t="s">
        <v>251</v>
      </c>
      <c r="B8" s="49">
        <v>4.3999999999999997E-2</v>
      </c>
      <c r="C8" s="49">
        <v>2.1000000000000001E-2</v>
      </c>
      <c r="D8" s="49" t="s">
        <v>255</v>
      </c>
      <c r="E8" s="49" t="s">
        <v>255</v>
      </c>
      <c r="F8" s="49">
        <v>0.88300000000000001</v>
      </c>
      <c r="G8" s="49">
        <v>0.99299999999999999</v>
      </c>
      <c r="H8" s="49">
        <v>1.355</v>
      </c>
      <c r="I8" s="49">
        <v>1.1599999999999999</v>
      </c>
      <c r="J8" s="49">
        <v>1.8140000000000001</v>
      </c>
      <c r="K8" s="49">
        <v>0.93300000000000005</v>
      </c>
      <c r="L8" s="49">
        <v>2.4350000000000001</v>
      </c>
      <c r="M8" s="49">
        <v>2.6269999999999998</v>
      </c>
      <c r="N8" s="49">
        <v>2.254</v>
      </c>
      <c r="O8" s="49">
        <v>1.72</v>
      </c>
      <c r="P8" s="49">
        <v>2.5209999999999999</v>
      </c>
      <c r="Q8" s="49">
        <v>2.2389999999999999</v>
      </c>
      <c r="R8" s="49">
        <v>2.4409999999999998</v>
      </c>
      <c r="S8" s="49">
        <v>2.5419999999999998</v>
      </c>
      <c r="T8" s="49">
        <v>2.4740000000000002</v>
      </c>
      <c r="U8" s="49">
        <v>2.6970000000000001</v>
      </c>
      <c r="V8" s="49">
        <v>3.2930000000000001</v>
      </c>
    </row>
    <row r="9" spans="1:22" x14ac:dyDescent="0.2">
      <c r="A9" t="s">
        <v>252</v>
      </c>
      <c r="B9" s="49">
        <v>0.05</v>
      </c>
      <c r="C9" s="49">
        <v>2.5000000000000001E-2</v>
      </c>
      <c r="D9" s="49">
        <v>1.0999999999999999E-2</v>
      </c>
      <c r="E9" s="49" t="s">
        <v>255</v>
      </c>
      <c r="F9" s="49">
        <v>0.254</v>
      </c>
      <c r="G9" s="49">
        <v>0.32400000000000001</v>
      </c>
      <c r="H9" s="49">
        <v>0.29599999999999999</v>
      </c>
      <c r="I9" s="49">
        <v>0.32400000000000001</v>
      </c>
      <c r="J9" s="49">
        <v>0.32200000000000001</v>
      </c>
      <c r="K9" s="49">
        <v>0.246</v>
      </c>
      <c r="L9" s="49">
        <v>0.33300000000000002</v>
      </c>
      <c r="M9" s="49">
        <v>0.51300000000000001</v>
      </c>
      <c r="N9" s="49">
        <v>0.29499999999999998</v>
      </c>
      <c r="O9" s="49">
        <v>0.33700000000000002</v>
      </c>
      <c r="P9" s="49">
        <v>0.32300000000000001</v>
      </c>
      <c r="Q9" s="49">
        <v>0.434</v>
      </c>
      <c r="R9" s="49">
        <v>0.30099999999999999</v>
      </c>
      <c r="S9" s="49">
        <v>0.47199999999999998</v>
      </c>
      <c r="T9" s="49">
        <v>0.30399999999999999</v>
      </c>
      <c r="U9" s="49">
        <v>0.505</v>
      </c>
      <c r="V9" s="49">
        <v>0.39600000000000002</v>
      </c>
    </row>
    <row r="10" spans="1:22" x14ac:dyDescent="0.2">
      <c r="A10" t="s">
        <v>253</v>
      </c>
      <c r="B10" s="49" t="s">
        <v>255</v>
      </c>
      <c r="C10" s="49" t="s">
        <v>255</v>
      </c>
      <c r="D10" s="49" t="s">
        <v>255</v>
      </c>
      <c r="E10" s="49" t="s">
        <v>255</v>
      </c>
      <c r="F10" s="49" t="s">
        <v>255</v>
      </c>
      <c r="G10" s="49" t="s">
        <v>255</v>
      </c>
      <c r="H10" s="49" t="s">
        <v>255</v>
      </c>
      <c r="I10" s="49" t="s">
        <v>255</v>
      </c>
      <c r="J10" s="49" t="s">
        <v>255</v>
      </c>
      <c r="K10" s="49" t="s">
        <v>255</v>
      </c>
      <c r="L10" s="49" t="s">
        <v>255</v>
      </c>
      <c r="M10" s="49" t="s">
        <v>255</v>
      </c>
      <c r="N10" s="49" t="s">
        <v>255</v>
      </c>
      <c r="O10" s="49" t="s">
        <v>255</v>
      </c>
      <c r="P10" s="49" t="s">
        <v>255</v>
      </c>
      <c r="Q10" s="49" t="s">
        <v>255</v>
      </c>
      <c r="R10" s="49" t="s">
        <v>255</v>
      </c>
      <c r="S10" s="49" t="s">
        <v>255</v>
      </c>
      <c r="T10" s="49" t="s">
        <v>255</v>
      </c>
      <c r="U10" s="49" t="s">
        <v>255</v>
      </c>
      <c r="V10" s="49" t="s">
        <v>255</v>
      </c>
    </row>
    <row r="11" spans="1:22" x14ac:dyDescent="0.2">
      <c r="A11" t="s">
        <v>254</v>
      </c>
      <c r="B11" s="49" t="s">
        <v>255</v>
      </c>
      <c r="C11" s="49" t="s">
        <v>255</v>
      </c>
      <c r="D11" s="49" t="s">
        <v>255</v>
      </c>
      <c r="E11" s="49" t="s">
        <v>255</v>
      </c>
      <c r="F11" s="49">
        <v>1.7000000000000001E-2</v>
      </c>
      <c r="G11" s="49">
        <v>2.5000000000000001E-2</v>
      </c>
      <c r="H11" s="49">
        <v>3.6999999999999998E-2</v>
      </c>
      <c r="I11" s="49">
        <v>3.6999999999999998E-2</v>
      </c>
      <c r="J11" s="49">
        <v>5.0999999999999997E-2</v>
      </c>
      <c r="K11" s="49">
        <v>0.04</v>
      </c>
      <c r="L11" s="49">
        <v>7.8E-2</v>
      </c>
      <c r="M11" s="49">
        <v>0.127</v>
      </c>
      <c r="N11" s="49">
        <v>7.0999999999999994E-2</v>
      </c>
      <c r="O11" s="49">
        <v>8.1000000000000003E-2</v>
      </c>
      <c r="P11" s="49">
        <v>8.4000000000000005E-2</v>
      </c>
      <c r="Q11" s="49">
        <v>0.10100000000000001</v>
      </c>
      <c r="R11" s="49">
        <v>7.5999999999999998E-2</v>
      </c>
      <c r="S11" s="49">
        <v>0.11700000000000001</v>
      </c>
      <c r="T11" s="49">
        <v>7.6999999999999999E-2</v>
      </c>
      <c r="U11" s="49">
        <v>0.113</v>
      </c>
      <c r="V11" s="49">
        <v>9.7000000000000003E-2</v>
      </c>
    </row>
    <row r="14" spans="1:22" x14ac:dyDescent="0.2">
      <c r="A14" t="s">
        <v>246</v>
      </c>
      <c r="B14" t="s">
        <v>247</v>
      </c>
      <c r="C14" t="s">
        <v>248</v>
      </c>
      <c r="D14" t="s">
        <v>249</v>
      </c>
      <c r="E14" t="s">
        <v>250</v>
      </c>
      <c r="F14" t="s">
        <v>251</v>
      </c>
      <c r="G14" t="s">
        <v>252</v>
      </c>
      <c r="H14" t="s">
        <v>253</v>
      </c>
      <c r="I14" t="s">
        <v>254</v>
      </c>
      <c r="K14" t="s">
        <v>256</v>
      </c>
      <c r="L14" t="s">
        <v>257</v>
      </c>
    </row>
    <row r="15" spans="1:22" x14ac:dyDescent="0.2">
      <c r="A15" s="49">
        <v>0.91</v>
      </c>
      <c r="B15" s="49">
        <v>0</v>
      </c>
      <c r="C15" s="49">
        <v>0.13100000000000001</v>
      </c>
      <c r="D15" s="49">
        <v>1.0999999999999999E-2</v>
      </c>
      <c r="E15" s="49">
        <v>9.1999999999999998E-2</v>
      </c>
      <c r="F15" s="49">
        <v>4.3999999999999997E-2</v>
      </c>
      <c r="G15" s="49">
        <v>0.05</v>
      </c>
      <c r="H15" s="49" t="s">
        <v>255</v>
      </c>
      <c r="I15" s="49" t="s">
        <v>255</v>
      </c>
      <c r="K15">
        <f>SUM(B15:I15)</f>
        <v>0.32800000000000001</v>
      </c>
      <c r="L15">
        <f>K15*0.5</f>
        <v>0.16400000000000001</v>
      </c>
    </row>
    <row r="16" spans="1:22" x14ac:dyDescent="0.2">
      <c r="A16" s="49">
        <v>0.95899999999999996</v>
      </c>
      <c r="B16" s="49" t="s">
        <v>255</v>
      </c>
      <c r="C16" s="49">
        <v>0.13900000000000001</v>
      </c>
      <c r="D16" s="49">
        <v>4.0000000000000001E-3</v>
      </c>
      <c r="E16" s="49">
        <v>0.10100000000000001</v>
      </c>
      <c r="F16" s="49">
        <v>2.1000000000000001E-2</v>
      </c>
      <c r="G16" s="49">
        <v>2.5000000000000001E-2</v>
      </c>
      <c r="H16" s="49" t="s">
        <v>255</v>
      </c>
      <c r="I16" s="49" t="s">
        <v>255</v>
      </c>
      <c r="K16">
        <f t="shared" ref="K16:K35" si="0">SUM(B16:I16)</f>
        <v>0.29000000000000004</v>
      </c>
      <c r="L16">
        <f t="shared" ref="L16:L35" si="1">K16*0.5</f>
        <v>0.14500000000000002</v>
      </c>
    </row>
    <row r="17" spans="1:12" x14ac:dyDescent="0.2">
      <c r="A17" s="49">
        <v>1.006</v>
      </c>
      <c r="B17" s="49" t="s">
        <v>255</v>
      </c>
      <c r="C17" s="49">
        <v>0.14499999999999999</v>
      </c>
      <c r="D17" s="49" t="s">
        <v>255</v>
      </c>
      <c r="E17" s="49">
        <v>0.112</v>
      </c>
      <c r="F17" s="49" t="s">
        <v>255</v>
      </c>
      <c r="G17" s="49">
        <v>1.0999999999999999E-2</v>
      </c>
      <c r="H17" s="49" t="s">
        <v>255</v>
      </c>
      <c r="I17" s="49" t="s">
        <v>255</v>
      </c>
      <c r="K17">
        <f t="shared" si="0"/>
        <v>0.26800000000000002</v>
      </c>
      <c r="L17">
        <f t="shared" si="1"/>
        <v>0.13400000000000001</v>
      </c>
    </row>
    <row r="18" spans="1:12" x14ac:dyDescent="0.2">
      <c r="A18" s="49">
        <v>0.98799999999999999</v>
      </c>
      <c r="B18" s="49" t="s">
        <v>255</v>
      </c>
      <c r="C18" s="49">
        <v>0.13500000000000001</v>
      </c>
      <c r="D18" s="49" t="s">
        <v>255</v>
      </c>
      <c r="E18" s="49">
        <v>0.10299999999999999</v>
      </c>
      <c r="F18" s="49" t="s">
        <v>255</v>
      </c>
      <c r="G18" s="49" t="s">
        <v>255</v>
      </c>
      <c r="H18" s="49" t="s">
        <v>255</v>
      </c>
      <c r="I18" s="49" t="s">
        <v>255</v>
      </c>
      <c r="K18">
        <f t="shared" si="0"/>
        <v>0.23799999999999999</v>
      </c>
      <c r="L18">
        <f t="shared" si="1"/>
        <v>0.11899999999999999</v>
      </c>
    </row>
    <row r="19" spans="1:12" x14ac:dyDescent="0.2">
      <c r="A19" s="49">
        <v>0.93200000000000005</v>
      </c>
      <c r="B19" s="49" t="s">
        <v>255</v>
      </c>
      <c r="C19" s="49">
        <v>0.26600000000000001</v>
      </c>
      <c r="D19" s="49">
        <v>0.108</v>
      </c>
      <c r="E19" s="49">
        <v>0.14599999999999999</v>
      </c>
      <c r="F19" s="49">
        <v>0.88300000000000001</v>
      </c>
      <c r="G19" s="49">
        <v>0.254</v>
      </c>
      <c r="H19" s="49" t="s">
        <v>255</v>
      </c>
      <c r="I19" s="49">
        <v>1.7000000000000001E-2</v>
      </c>
      <c r="K19">
        <f t="shared" si="0"/>
        <v>1.6739999999999999</v>
      </c>
      <c r="L19">
        <f t="shared" si="1"/>
        <v>0.83699999999999997</v>
      </c>
    </row>
    <row r="20" spans="1:12" x14ac:dyDescent="0.2">
      <c r="A20" s="49">
        <v>0.92200000000000004</v>
      </c>
      <c r="B20" s="49">
        <v>8.0000000000000002E-3</v>
      </c>
      <c r="C20" s="49">
        <v>0.27200000000000002</v>
      </c>
      <c r="D20" s="49">
        <v>0.126</v>
      </c>
      <c r="E20" s="49">
        <v>0.14099999999999999</v>
      </c>
      <c r="F20" s="49">
        <v>0.99299999999999999</v>
      </c>
      <c r="G20" s="49">
        <v>0.32400000000000001</v>
      </c>
      <c r="H20" s="49" t="s">
        <v>255</v>
      </c>
      <c r="I20" s="49">
        <v>2.5000000000000001E-2</v>
      </c>
      <c r="K20">
        <f t="shared" si="0"/>
        <v>1.889</v>
      </c>
      <c r="L20">
        <f t="shared" si="1"/>
        <v>0.94450000000000001</v>
      </c>
    </row>
    <row r="21" spans="1:12" x14ac:dyDescent="0.2">
      <c r="A21" s="49">
        <v>0.999</v>
      </c>
      <c r="B21" s="49">
        <v>4.0000000000000001E-3</v>
      </c>
      <c r="C21" s="49">
        <v>0.34499999999999997</v>
      </c>
      <c r="D21" s="49">
        <v>0.159</v>
      </c>
      <c r="E21" s="49">
        <v>0.185</v>
      </c>
      <c r="F21" s="49">
        <v>1.355</v>
      </c>
      <c r="G21" s="49">
        <v>0.29599999999999999</v>
      </c>
      <c r="H21" s="49" t="s">
        <v>255</v>
      </c>
      <c r="I21" s="49">
        <v>3.6999999999999998E-2</v>
      </c>
      <c r="K21">
        <f t="shared" si="0"/>
        <v>2.3809999999999998</v>
      </c>
      <c r="L21">
        <f t="shared" si="1"/>
        <v>1.1904999999999999</v>
      </c>
    </row>
    <row r="22" spans="1:12" x14ac:dyDescent="0.2">
      <c r="A22" s="49">
        <v>0.94599999999999995</v>
      </c>
      <c r="B22" s="49">
        <v>8.9999999999999993E-3</v>
      </c>
      <c r="C22" s="49">
        <v>0.32700000000000001</v>
      </c>
      <c r="D22" s="49">
        <v>0.154</v>
      </c>
      <c r="E22" s="49">
        <v>0.183</v>
      </c>
      <c r="F22" s="49">
        <v>1.1599999999999999</v>
      </c>
      <c r="G22" s="49">
        <v>0.32400000000000001</v>
      </c>
      <c r="H22" s="49" t="s">
        <v>255</v>
      </c>
      <c r="I22" s="49">
        <v>3.6999999999999998E-2</v>
      </c>
      <c r="K22">
        <f t="shared" si="0"/>
        <v>2.194</v>
      </c>
      <c r="L22">
        <f t="shared" si="1"/>
        <v>1.097</v>
      </c>
    </row>
    <row r="23" spans="1:12" x14ac:dyDescent="0.2">
      <c r="A23" s="49">
        <v>0.874</v>
      </c>
      <c r="B23" s="49">
        <v>4.0000000000000001E-3</v>
      </c>
      <c r="C23" s="49">
        <v>0.44700000000000001</v>
      </c>
      <c r="D23" s="49">
        <v>0.22900000000000001</v>
      </c>
      <c r="E23" s="49">
        <v>0.22700000000000001</v>
      </c>
      <c r="F23" s="49">
        <v>1.8140000000000001</v>
      </c>
      <c r="G23" s="49">
        <v>0.32200000000000001</v>
      </c>
      <c r="H23" s="49" t="s">
        <v>255</v>
      </c>
      <c r="I23" s="49">
        <v>5.0999999999999997E-2</v>
      </c>
      <c r="K23">
        <f t="shared" si="0"/>
        <v>3.0940000000000003</v>
      </c>
      <c r="L23">
        <f t="shared" si="1"/>
        <v>1.5470000000000002</v>
      </c>
    </row>
    <row r="24" spans="1:12" x14ac:dyDescent="0.2">
      <c r="A24" s="49">
        <v>0.94499999999999995</v>
      </c>
      <c r="B24" s="49">
        <v>6.0000000000000001E-3</v>
      </c>
      <c r="C24" s="49">
        <v>0.29499999999999998</v>
      </c>
      <c r="D24" s="49">
        <v>0.124</v>
      </c>
      <c r="E24" s="49">
        <v>0.19</v>
      </c>
      <c r="F24" s="49">
        <v>0.93300000000000005</v>
      </c>
      <c r="G24" s="49">
        <v>0.246</v>
      </c>
      <c r="H24" s="49" t="s">
        <v>255</v>
      </c>
      <c r="I24" s="49">
        <v>0.04</v>
      </c>
      <c r="K24">
        <f t="shared" si="0"/>
        <v>1.8340000000000001</v>
      </c>
      <c r="L24">
        <f t="shared" si="1"/>
        <v>0.91700000000000004</v>
      </c>
    </row>
    <row r="25" spans="1:12" x14ac:dyDescent="0.2">
      <c r="A25" s="49">
        <v>0.93300000000000005</v>
      </c>
      <c r="B25" s="49">
        <v>7.0000000000000001E-3</v>
      </c>
      <c r="C25" s="49">
        <v>0.68200000000000005</v>
      </c>
      <c r="D25" s="49">
        <v>0.377</v>
      </c>
      <c r="E25" s="49">
        <v>0.30499999999999999</v>
      </c>
      <c r="F25" s="49">
        <v>2.4350000000000001</v>
      </c>
      <c r="G25" s="49">
        <v>0.33300000000000002</v>
      </c>
      <c r="H25" s="49" t="s">
        <v>255</v>
      </c>
      <c r="I25" s="49">
        <v>7.8E-2</v>
      </c>
      <c r="K25">
        <f t="shared" si="0"/>
        <v>4.2170000000000005</v>
      </c>
      <c r="L25">
        <f t="shared" si="1"/>
        <v>2.1085000000000003</v>
      </c>
    </row>
    <row r="26" spans="1:12" x14ac:dyDescent="0.2">
      <c r="A26" s="49">
        <v>0.99299999999999999</v>
      </c>
      <c r="B26" s="49">
        <v>1.2E-2</v>
      </c>
      <c r="C26" s="49">
        <v>0.73099999999999998</v>
      </c>
      <c r="D26" s="49">
        <v>0.40600000000000003</v>
      </c>
      <c r="E26" s="49">
        <v>0.44800000000000001</v>
      </c>
      <c r="F26" s="49">
        <v>2.6269999999999998</v>
      </c>
      <c r="G26" s="49">
        <v>0.51300000000000001</v>
      </c>
      <c r="H26" s="49" t="s">
        <v>255</v>
      </c>
      <c r="I26" s="49">
        <v>0.127</v>
      </c>
      <c r="K26">
        <f t="shared" si="0"/>
        <v>4.8639999999999999</v>
      </c>
      <c r="L26">
        <f t="shared" si="1"/>
        <v>2.4319999999999999</v>
      </c>
    </row>
    <row r="27" spans="1:12" x14ac:dyDescent="0.2">
      <c r="A27" s="49">
        <v>0.92900000000000005</v>
      </c>
      <c r="B27" s="49">
        <v>7.0000000000000001E-3</v>
      </c>
      <c r="C27" s="49">
        <v>0.64900000000000002</v>
      </c>
      <c r="D27" s="49">
        <v>0.35799999999999998</v>
      </c>
      <c r="E27" s="49">
        <v>0.28999999999999998</v>
      </c>
      <c r="F27" s="49">
        <v>2.254</v>
      </c>
      <c r="G27" s="49">
        <v>0.29499999999999998</v>
      </c>
      <c r="H27" s="49" t="s">
        <v>255</v>
      </c>
      <c r="I27" s="49">
        <v>7.0999999999999994E-2</v>
      </c>
      <c r="K27">
        <f t="shared" si="0"/>
        <v>3.9239999999999999</v>
      </c>
      <c r="L27">
        <f t="shared" si="1"/>
        <v>1.962</v>
      </c>
    </row>
    <row r="28" spans="1:12" x14ac:dyDescent="0.2">
      <c r="A28" s="49">
        <v>1.0229999999999999</v>
      </c>
      <c r="B28" s="49">
        <v>8.9999999999999993E-3</v>
      </c>
      <c r="C28" s="49">
        <v>0.56000000000000005</v>
      </c>
      <c r="D28" s="49">
        <v>0.27400000000000002</v>
      </c>
      <c r="E28" s="49">
        <v>0.35499999999999998</v>
      </c>
      <c r="F28" s="49">
        <v>1.72</v>
      </c>
      <c r="G28" s="49">
        <v>0.33700000000000002</v>
      </c>
      <c r="H28" s="49" t="s">
        <v>255</v>
      </c>
      <c r="I28" s="49">
        <v>8.1000000000000003E-2</v>
      </c>
      <c r="K28">
        <f t="shared" si="0"/>
        <v>3.3360000000000003</v>
      </c>
      <c r="L28">
        <f t="shared" si="1"/>
        <v>1.6680000000000001</v>
      </c>
    </row>
    <row r="29" spans="1:12" x14ac:dyDescent="0.2">
      <c r="A29" s="49">
        <v>0.94199999999999995</v>
      </c>
      <c r="B29" s="49">
        <v>7.0000000000000001E-3</v>
      </c>
      <c r="C29" s="49">
        <v>0.71799999999999997</v>
      </c>
      <c r="D29" s="49">
        <v>0.40200000000000002</v>
      </c>
      <c r="E29" s="49">
        <v>0.32</v>
      </c>
      <c r="F29" s="49">
        <v>2.5209999999999999</v>
      </c>
      <c r="G29" s="49">
        <v>0.32300000000000001</v>
      </c>
      <c r="H29" s="49" t="s">
        <v>255</v>
      </c>
      <c r="I29" s="49">
        <v>8.4000000000000005E-2</v>
      </c>
      <c r="K29">
        <f t="shared" si="0"/>
        <v>4.375</v>
      </c>
      <c r="L29">
        <f t="shared" si="1"/>
        <v>2.1875</v>
      </c>
    </row>
    <row r="30" spans="1:12" x14ac:dyDescent="0.2">
      <c r="A30" s="49">
        <v>0.97799999999999998</v>
      </c>
      <c r="B30" s="49">
        <v>0.01</v>
      </c>
      <c r="C30" s="49">
        <v>0.67200000000000004</v>
      </c>
      <c r="D30" s="49">
        <v>0.36</v>
      </c>
      <c r="E30" s="49">
        <v>0.41399999999999998</v>
      </c>
      <c r="F30" s="49">
        <v>2.2389999999999999</v>
      </c>
      <c r="G30" s="49">
        <v>0.434</v>
      </c>
      <c r="H30" s="49" t="s">
        <v>255</v>
      </c>
      <c r="I30" s="49">
        <v>0.10100000000000001</v>
      </c>
      <c r="K30">
        <f t="shared" si="0"/>
        <v>4.2299999999999995</v>
      </c>
      <c r="L30">
        <f t="shared" si="1"/>
        <v>2.1149999999999998</v>
      </c>
    </row>
    <row r="31" spans="1:12" x14ac:dyDescent="0.2">
      <c r="A31" s="49">
        <v>0.89500000000000002</v>
      </c>
      <c r="B31" s="49">
        <v>7.0000000000000001E-3</v>
      </c>
      <c r="C31" s="49">
        <v>0.67200000000000004</v>
      </c>
      <c r="D31" s="49">
        <v>0.39700000000000002</v>
      </c>
      <c r="E31" s="49">
        <v>0.31</v>
      </c>
      <c r="F31" s="49">
        <v>2.4409999999999998</v>
      </c>
      <c r="G31" s="49">
        <v>0.30099999999999999</v>
      </c>
      <c r="H31" s="49" t="s">
        <v>255</v>
      </c>
      <c r="I31" s="49">
        <v>7.5999999999999998E-2</v>
      </c>
      <c r="K31">
        <f t="shared" si="0"/>
        <v>4.2039999999999997</v>
      </c>
      <c r="L31">
        <f t="shared" si="1"/>
        <v>2.1019999999999999</v>
      </c>
    </row>
    <row r="32" spans="1:12" x14ac:dyDescent="0.2">
      <c r="A32" s="49">
        <v>0.93799999999999994</v>
      </c>
      <c r="B32" s="49">
        <v>8.9999999999999993E-3</v>
      </c>
      <c r="C32" s="49">
        <v>0.72499999999999998</v>
      </c>
      <c r="D32" s="49">
        <v>0.41099999999999998</v>
      </c>
      <c r="E32" s="49">
        <v>0.46899999999999997</v>
      </c>
      <c r="F32" s="49">
        <v>2.5419999999999998</v>
      </c>
      <c r="G32" s="49">
        <v>0.47199999999999998</v>
      </c>
      <c r="H32" s="49" t="s">
        <v>255</v>
      </c>
      <c r="I32" s="49">
        <v>0.11700000000000001</v>
      </c>
      <c r="K32">
        <f t="shared" si="0"/>
        <v>4.7450000000000001</v>
      </c>
      <c r="L32">
        <f t="shared" si="1"/>
        <v>2.3725000000000001</v>
      </c>
    </row>
    <row r="33" spans="1:12" x14ac:dyDescent="0.2">
      <c r="A33" s="49">
        <v>0.93100000000000005</v>
      </c>
      <c r="B33" s="49">
        <v>6.0000000000000001E-3</v>
      </c>
      <c r="C33" s="49">
        <v>0.66900000000000004</v>
      </c>
      <c r="D33" s="49">
        <v>0.39700000000000002</v>
      </c>
      <c r="E33" s="49">
        <v>0.32200000000000001</v>
      </c>
      <c r="F33" s="49">
        <v>2.4740000000000002</v>
      </c>
      <c r="G33" s="49">
        <v>0.30399999999999999</v>
      </c>
      <c r="H33" s="49" t="s">
        <v>255</v>
      </c>
      <c r="I33" s="49">
        <v>7.6999999999999999E-2</v>
      </c>
      <c r="K33">
        <f t="shared" si="0"/>
        <v>4.2490000000000006</v>
      </c>
      <c r="L33">
        <f t="shared" si="1"/>
        <v>2.1245000000000003</v>
      </c>
    </row>
    <row r="34" spans="1:12" x14ac:dyDescent="0.2">
      <c r="A34" s="49">
        <v>0.89800000000000002</v>
      </c>
      <c r="B34" s="49">
        <v>8.9999999999999993E-3</v>
      </c>
      <c r="C34" s="49">
        <v>0.77</v>
      </c>
      <c r="D34" s="49">
        <v>0.44</v>
      </c>
      <c r="E34" s="49">
        <v>0.497</v>
      </c>
      <c r="F34" s="49">
        <v>2.6970000000000001</v>
      </c>
      <c r="G34" s="49">
        <v>0.505</v>
      </c>
      <c r="H34" s="49" t="s">
        <v>255</v>
      </c>
      <c r="I34" s="49">
        <v>0.113</v>
      </c>
      <c r="K34">
        <f t="shared" si="0"/>
        <v>5.0310000000000006</v>
      </c>
      <c r="L34">
        <f t="shared" si="1"/>
        <v>2.5155000000000003</v>
      </c>
    </row>
    <row r="35" spans="1:12" x14ac:dyDescent="0.2">
      <c r="A35" s="49">
        <v>1.024</v>
      </c>
      <c r="B35" s="49">
        <v>8.0000000000000002E-3</v>
      </c>
      <c r="C35" s="49">
        <v>0.81599999999999995</v>
      </c>
      <c r="D35" s="49">
        <v>0.52900000000000003</v>
      </c>
      <c r="E35" s="49">
        <v>0.39500000000000002</v>
      </c>
      <c r="F35" s="49">
        <v>3.2930000000000001</v>
      </c>
      <c r="G35" s="49">
        <v>0.39600000000000002</v>
      </c>
      <c r="H35" s="49" t="s">
        <v>255</v>
      </c>
      <c r="I35" s="49">
        <v>9.7000000000000003E-2</v>
      </c>
      <c r="K35">
        <f t="shared" si="0"/>
        <v>5.5340000000000007</v>
      </c>
      <c r="L35">
        <f t="shared" si="1"/>
        <v>2.7670000000000003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Czajka, Jeffrey J</cp:lastModifiedBy>
  <dcterms:created xsi:type="dcterms:W3CDTF">2023-07-31T14:31:14Z</dcterms:created>
  <dcterms:modified xsi:type="dcterms:W3CDTF">2024-12-12T21:22:36Z</dcterms:modified>
</cp:coreProperties>
</file>