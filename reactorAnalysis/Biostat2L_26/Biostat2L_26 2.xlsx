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NL\Projects\threeYeast\2024_PPI_threeYeast\Experiments\Biostat2L\Biostat2L_26\"/>
    </mc:Choice>
  </mc:AlternateContent>
  <xr:revisionPtr revIDLastSave="0" documentId="13_ncr:1_{EAFC2EEA-7B92-415A-A502-E650EB5A8B4B}" xr6:coauthVersionLast="47" xr6:coauthVersionMax="47" xr10:uidLastSave="{00000000-0000-0000-0000-000000000000}"/>
  <bookViews>
    <workbookView xWindow="-120" yWindow="-120" windowWidth="29040" windowHeight="1584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9" r:id="rId7"/>
    <sheet name="questions" sheetId="7" r:id="rId8"/>
    <sheet name="seedCultureNotes" sheetId="8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5" i="6" l="1"/>
  <c r="BE16" i="6"/>
  <c r="BE17" i="6"/>
  <c r="AJ17" i="6" s="1"/>
  <c r="BE18" i="6"/>
  <c r="AJ18" i="6" s="1"/>
  <c r="BE19" i="6"/>
  <c r="AJ19" i="6" s="1"/>
  <c r="BE20" i="6"/>
  <c r="AJ20" i="6" s="1"/>
  <c r="BE21" i="6"/>
  <c r="AT21" i="6" s="1"/>
  <c r="AU21" i="6" s="1"/>
  <c r="BE22" i="6"/>
  <c r="BE23" i="6"/>
  <c r="AJ23" i="6" s="1"/>
  <c r="BE24" i="6"/>
  <c r="AJ24" i="6" s="1"/>
  <c r="BE25" i="6"/>
  <c r="BE26" i="6"/>
  <c r="BE27" i="6"/>
  <c r="BE28" i="6"/>
  <c r="AJ28" i="6" s="1"/>
  <c r="BE14" i="6"/>
  <c r="AJ29" i="6"/>
  <c r="AI29" i="6"/>
  <c r="AF29" i="6"/>
  <c r="AT28" i="6"/>
  <c r="AU28" i="6" s="1"/>
  <c r="AQ28" i="6"/>
  <c r="AP28" i="6"/>
  <c r="AI28" i="6"/>
  <c r="AF28" i="6"/>
  <c r="AP27" i="6"/>
  <c r="AQ27" i="6" s="1"/>
  <c r="AK27" i="6"/>
  <c r="AJ27" i="6"/>
  <c r="AI27" i="6"/>
  <c r="AT27" i="6" s="1"/>
  <c r="AU27" i="6" s="1"/>
  <c r="AF27" i="6"/>
  <c r="AQ26" i="6"/>
  <c r="AP26" i="6"/>
  <c r="AJ26" i="6"/>
  <c r="AI26" i="6"/>
  <c r="AK26" i="6" s="1"/>
  <c r="AF26" i="6"/>
  <c r="AT25" i="6"/>
  <c r="AU25" i="6" s="1"/>
  <c r="AP25" i="6"/>
  <c r="AQ25" i="6" s="1"/>
  <c r="AJ25" i="6"/>
  <c r="AI25" i="6"/>
  <c r="AF25" i="6"/>
  <c r="AP24" i="6"/>
  <c r="AQ24" i="6" s="1"/>
  <c r="AI24" i="6"/>
  <c r="AF24" i="6"/>
  <c r="AQ23" i="6"/>
  <c r="AP23" i="6"/>
  <c r="AI23" i="6"/>
  <c r="AF23" i="6"/>
  <c r="AP22" i="6"/>
  <c r="AQ22" i="6" s="1"/>
  <c r="AK22" i="6"/>
  <c r="AJ22" i="6"/>
  <c r="AI22" i="6"/>
  <c r="AT22" i="6" s="1"/>
  <c r="AU22" i="6" s="1"/>
  <c r="AF22" i="6"/>
  <c r="AP21" i="6"/>
  <c r="AQ21" i="6" s="1"/>
  <c r="AJ21" i="6"/>
  <c r="AI21" i="6"/>
  <c r="AK21" i="6" s="1"/>
  <c r="AF21" i="6"/>
  <c r="AT20" i="6"/>
  <c r="AU20" i="6" s="1"/>
  <c r="AP20" i="6"/>
  <c r="AQ20" i="6" s="1"/>
  <c r="AI20" i="6"/>
  <c r="AF20" i="6"/>
  <c r="AT19" i="6"/>
  <c r="AU19" i="6" s="1"/>
  <c r="AP19" i="6"/>
  <c r="AQ19" i="6" s="1"/>
  <c r="AI19" i="6"/>
  <c r="AF19" i="6"/>
  <c r="AT18" i="6"/>
  <c r="AU18" i="6" s="1"/>
  <c r="AQ18" i="6"/>
  <c r="AP18" i="6"/>
  <c r="AI18" i="6"/>
  <c r="AF18" i="6"/>
  <c r="AF14" i="6"/>
  <c r="AQ17" i="6"/>
  <c r="AP17" i="6"/>
  <c r="AK17" i="6"/>
  <c r="AI17" i="6"/>
  <c r="AF17" i="6"/>
  <c r="AT16" i="6"/>
  <c r="AU16" i="6" s="1"/>
  <c r="AQ16" i="6"/>
  <c r="AP16" i="6"/>
  <c r="AJ16" i="6"/>
  <c r="AI16" i="6"/>
  <c r="AK16" i="6" s="1"/>
  <c r="AF16" i="6"/>
  <c r="AJ15" i="6"/>
  <c r="AI15" i="6"/>
  <c r="AF15" i="6"/>
  <c r="AJ14" i="6"/>
  <c r="AI14" i="6"/>
  <c r="AK14" i="6" s="1"/>
  <c r="R17" i="6"/>
  <c r="R19" i="6" s="1"/>
  <c r="R21" i="6" s="1"/>
  <c r="R23" i="6" s="1"/>
  <c r="R25" i="6" s="1"/>
  <c r="R27" i="6" s="1"/>
  <c r="R29" i="6" s="1"/>
  <c r="R16" i="6"/>
  <c r="R18" i="6" s="1"/>
  <c r="R20" i="6" s="1"/>
  <c r="R22" i="6" s="1"/>
  <c r="R24" i="6" s="1"/>
  <c r="R26" i="6" s="1"/>
  <c r="R28" i="6" s="1"/>
  <c r="BD30" i="6"/>
  <c r="BE30" i="6"/>
  <c r="BF30" i="6"/>
  <c r="BG30" i="6"/>
  <c r="BH30" i="6"/>
  <c r="BI30" i="6"/>
  <c r="BJ30" i="6"/>
  <c r="BK30" i="6"/>
  <c r="BL30" i="6"/>
  <c r="BM30" i="6"/>
  <c r="BN30" i="6"/>
  <c r="BO30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D15" i="6"/>
  <c r="BF15" i="6"/>
  <c r="BG15" i="6"/>
  <c r="BH15" i="6"/>
  <c r="BI15" i="6"/>
  <c r="BJ15" i="6"/>
  <c r="BK15" i="6"/>
  <c r="BL15" i="6"/>
  <c r="BM15" i="6"/>
  <c r="BN15" i="6"/>
  <c r="BO15" i="6"/>
  <c r="BD16" i="6"/>
  <c r="BF16" i="6"/>
  <c r="BG16" i="6"/>
  <c r="BH16" i="6"/>
  <c r="BI16" i="6"/>
  <c r="BJ16" i="6"/>
  <c r="BK16" i="6"/>
  <c r="BL16" i="6"/>
  <c r="BM16" i="6"/>
  <c r="BN16" i="6"/>
  <c r="BO16" i="6"/>
  <c r="BD17" i="6"/>
  <c r="BF17" i="6"/>
  <c r="BG17" i="6"/>
  <c r="BH17" i="6"/>
  <c r="BI17" i="6"/>
  <c r="BJ17" i="6"/>
  <c r="BK17" i="6"/>
  <c r="BL17" i="6"/>
  <c r="BM17" i="6"/>
  <c r="BN17" i="6"/>
  <c r="BO17" i="6"/>
  <c r="BD18" i="6"/>
  <c r="BF18" i="6"/>
  <c r="BG18" i="6"/>
  <c r="BH18" i="6"/>
  <c r="BI18" i="6"/>
  <c r="BJ18" i="6"/>
  <c r="BK18" i="6"/>
  <c r="BL18" i="6"/>
  <c r="BM18" i="6"/>
  <c r="BN18" i="6"/>
  <c r="BO18" i="6"/>
  <c r="BD19" i="6"/>
  <c r="BF19" i="6"/>
  <c r="BG19" i="6"/>
  <c r="BH19" i="6"/>
  <c r="BI19" i="6"/>
  <c r="BJ19" i="6"/>
  <c r="BK19" i="6"/>
  <c r="BL19" i="6"/>
  <c r="BM19" i="6"/>
  <c r="BN19" i="6"/>
  <c r="BO19" i="6"/>
  <c r="BD20" i="6"/>
  <c r="BF20" i="6"/>
  <c r="BG20" i="6"/>
  <c r="BH20" i="6"/>
  <c r="BI20" i="6"/>
  <c r="BJ20" i="6"/>
  <c r="BK20" i="6"/>
  <c r="BL20" i="6"/>
  <c r="BM20" i="6"/>
  <c r="BN20" i="6"/>
  <c r="BO20" i="6"/>
  <c r="BD21" i="6"/>
  <c r="BF21" i="6"/>
  <c r="BG21" i="6"/>
  <c r="BH21" i="6"/>
  <c r="BI21" i="6"/>
  <c r="BJ21" i="6"/>
  <c r="BK21" i="6"/>
  <c r="BL21" i="6"/>
  <c r="BM21" i="6"/>
  <c r="BN21" i="6"/>
  <c r="BO21" i="6"/>
  <c r="BD22" i="6"/>
  <c r="BF22" i="6"/>
  <c r="BG22" i="6"/>
  <c r="BH22" i="6"/>
  <c r="BI22" i="6"/>
  <c r="BJ22" i="6"/>
  <c r="BK22" i="6"/>
  <c r="BL22" i="6"/>
  <c r="BM22" i="6"/>
  <c r="BN22" i="6"/>
  <c r="BO22" i="6"/>
  <c r="BD23" i="6"/>
  <c r="BF23" i="6"/>
  <c r="BG23" i="6"/>
  <c r="BH23" i="6"/>
  <c r="BI23" i="6"/>
  <c r="BJ23" i="6"/>
  <c r="BK23" i="6"/>
  <c r="BL23" i="6"/>
  <c r="BM23" i="6"/>
  <c r="BN23" i="6"/>
  <c r="BO23" i="6"/>
  <c r="BD24" i="6"/>
  <c r="BF24" i="6"/>
  <c r="BG24" i="6"/>
  <c r="BH24" i="6"/>
  <c r="BI24" i="6"/>
  <c r="BJ24" i="6"/>
  <c r="BK24" i="6"/>
  <c r="BL24" i="6"/>
  <c r="BM24" i="6"/>
  <c r="BN24" i="6"/>
  <c r="BO24" i="6"/>
  <c r="BD25" i="6"/>
  <c r="BF25" i="6"/>
  <c r="BG25" i="6"/>
  <c r="BH25" i="6"/>
  <c r="BI25" i="6"/>
  <c r="BJ25" i="6"/>
  <c r="BK25" i="6"/>
  <c r="BL25" i="6"/>
  <c r="BM25" i="6"/>
  <c r="BN25" i="6"/>
  <c r="BO25" i="6"/>
  <c r="BD26" i="6"/>
  <c r="BF26" i="6"/>
  <c r="BG26" i="6"/>
  <c r="BH26" i="6"/>
  <c r="BI26" i="6"/>
  <c r="BJ26" i="6"/>
  <c r="BK26" i="6"/>
  <c r="BL26" i="6"/>
  <c r="BM26" i="6"/>
  <c r="BN26" i="6"/>
  <c r="BO26" i="6"/>
  <c r="BD27" i="6"/>
  <c r="BF27" i="6"/>
  <c r="BG27" i="6"/>
  <c r="BH27" i="6"/>
  <c r="BI27" i="6"/>
  <c r="BJ27" i="6"/>
  <c r="BK27" i="6"/>
  <c r="BL27" i="6"/>
  <c r="BM27" i="6"/>
  <c r="BN27" i="6"/>
  <c r="BO27" i="6"/>
  <c r="BD28" i="6"/>
  <c r="BF28" i="6"/>
  <c r="BG28" i="6"/>
  <c r="BH28" i="6"/>
  <c r="BI28" i="6"/>
  <c r="BJ28" i="6"/>
  <c r="BK28" i="6"/>
  <c r="BL28" i="6"/>
  <c r="BM28" i="6"/>
  <c r="BN28" i="6"/>
  <c r="BO28" i="6"/>
  <c r="BD29" i="6"/>
  <c r="BE29" i="6"/>
  <c r="AT29" i="6" s="1"/>
  <c r="AU29" i="6" s="1"/>
  <c r="BF29" i="6"/>
  <c r="AP29" i="6" s="1"/>
  <c r="AQ29" i="6" s="1"/>
  <c r="BG29" i="6"/>
  <c r="BH29" i="6"/>
  <c r="BI29" i="6"/>
  <c r="BJ29" i="6"/>
  <c r="BK29" i="6"/>
  <c r="BL29" i="6"/>
  <c r="BM29" i="6"/>
  <c r="BN29" i="6"/>
  <c r="BO29" i="6"/>
  <c r="AB15" i="6"/>
  <c r="AC15" i="6" s="1"/>
  <c r="AL15" i="6" s="1"/>
  <c r="AB16" i="6"/>
  <c r="AC16" i="6" s="1"/>
  <c r="AM16" i="6" s="1"/>
  <c r="AB17" i="6"/>
  <c r="AC17" i="6" s="1"/>
  <c r="AB18" i="6"/>
  <c r="AC18" i="6" s="1"/>
  <c r="AL18" i="6" s="1"/>
  <c r="AB19" i="6"/>
  <c r="AC19" i="6" s="1"/>
  <c r="AM19" i="6" s="1"/>
  <c r="AB20" i="6"/>
  <c r="AC20" i="6" s="1"/>
  <c r="AL20" i="6" s="1"/>
  <c r="AB21" i="6"/>
  <c r="AC21" i="6" s="1"/>
  <c r="AL21" i="6" s="1"/>
  <c r="AB22" i="6"/>
  <c r="AC22" i="6" s="1"/>
  <c r="AM22" i="6" s="1"/>
  <c r="AB23" i="6"/>
  <c r="AC23" i="6" s="1"/>
  <c r="AB24" i="6"/>
  <c r="AC24" i="6" s="1"/>
  <c r="AB25" i="6"/>
  <c r="AC25" i="6" s="1"/>
  <c r="AL25" i="6" s="1"/>
  <c r="AB26" i="6"/>
  <c r="AC26" i="6" s="1"/>
  <c r="AL26" i="6" s="1"/>
  <c r="AB27" i="6"/>
  <c r="AC27" i="6" s="1"/>
  <c r="AM27" i="6" s="1"/>
  <c r="AB28" i="6"/>
  <c r="AC28" i="6" s="1"/>
  <c r="AB29" i="6"/>
  <c r="AC29" i="6" s="1"/>
  <c r="AL29" i="6" s="1"/>
  <c r="AB14" i="6"/>
  <c r="AC14" i="6" s="1"/>
  <c r="AM14" i="6" s="1"/>
  <c r="BS31" i="6"/>
  <c r="BS30" i="6"/>
  <c r="K6" i="2"/>
  <c r="D7" i="2"/>
  <c r="D13" i="2"/>
  <c r="P52" i="2"/>
  <c r="P51" i="2"/>
  <c r="P50" i="2"/>
  <c r="P49" i="2"/>
  <c r="E16" i="2"/>
  <c r="C16" i="2"/>
  <c r="C13" i="2"/>
  <c r="B13" i="2"/>
  <c r="L6" i="2"/>
  <c r="G6" i="2" s="1"/>
  <c r="D6" i="2"/>
  <c r="M49" i="2"/>
  <c r="H49" i="2" s="1"/>
  <c r="L49" i="2"/>
  <c r="J6" i="2"/>
  <c r="M6" i="2"/>
  <c r="L55" i="2"/>
  <c r="J61" i="2"/>
  <c r="N49" i="2"/>
  <c r="L61" i="2"/>
  <c r="K49" i="2"/>
  <c r="K55" i="2"/>
  <c r="J55" i="2"/>
  <c r="K61" i="2"/>
  <c r="AR23" i="6" l="1"/>
  <c r="AS23" i="6" s="1"/>
  <c r="AG20" i="6"/>
  <c r="AG14" i="6"/>
  <c r="AL14" i="6"/>
  <c r="AG29" i="6"/>
  <c r="AR28" i="6"/>
  <c r="AS28" i="6" s="1"/>
  <c r="AL28" i="6"/>
  <c r="AG28" i="6"/>
  <c r="AM28" i="6"/>
  <c r="AR29" i="6"/>
  <c r="AS29" i="6" s="1"/>
  <c r="AG27" i="6"/>
  <c r="AW27" i="6"/>
  <c r="AL27" i="6"/>
  <c r="AG26" i="6"/>
  <c r="AG25" i="6"/>
  <c r="AL24" i="6"/>
  <c r="AM24" i="6"/>
  <c r="AR26" i="6"/>
  <c r="AS26" i="6" s="1"/>
  <c r="AG24" i="6"/>
  <c r="AG23" i="6"/>
  <c r="AM23" i="6"/>
  <c r="AL23" i="6"/>
  <c r="AR25" i="6"/>
  <c r="AS25" i="6" s="1"/>
  <c r="AR24" i="6"/>
  <c r="AS24" i="6" s="1"/>
  <c r="AG22" i="6"/>
  <c r="AW22" i="6"/>
  <c r="AL22" i="6"/>
  <c r="AG21" i="6"/>
  <c r="AR20" i="6"/>
  <c r="AS20" i="6" s="1"/>
  <c r="AG19" i="6"/>
  <c r="AR21" i="6"/>
  <c r="AS21" i="6" s="1"/>
  <c r="AL19" i="6"/>
  <c r="AM18" i="6"/>
  <c r="AG18" i="6"/>
  <c r="AR19" i="6"/>
  <c r="AS19" i="6" s="1"/>
  <c r="AL17" i="6"/>
  <c r="AM17" i="6"/>
  <c r="AG17" i="6"/>
  <c r="AR17" i="6"/>
  <c r="AS17" i="6" s="1"/>
  <c r="AW17" i="6"/>
  <c r="AR18" i="6"/>
  <c r="AS18" i="6" s="1"/>
  <c r="AR16" i="6"/>
  <c r="AS16" i="6" s="1"/>
  <c r="AG16" i="6"/>
  <c r="AW16" i="6"/>
  <c r="AL16" i="6"/>
  <c r="AG15" i="6"/>
  <c r="AM15" i="6"/>
  <c r="AK29" i="6"/>
  <c r="AM29" i="6"/>
  <c r="AK19" i="6"/>
  <c r="AW19" i="6" s="1"/>
  <c r="AK24" i="6"/>
  <c r="AT26" i="6"/>
  <c r="AU26" i="6" s="1"/>
  <c r="AT24" i="6"/>
  <c r="AU24" i="6" s="1"/>
  <c r="AT23" i="6"/>
  <c r="AU23" i="6" s="1"/>
  <c r="AK20" i="6"/>
  <c r="AK18" i="6"/>
  <c r="AW18" i="6" s="1"/>
  <c r="AM20" i="6"/>
  <c r="AM21" i="6"/>
  <c r="AW21" i="6" s="1"/>
  <c r="AM26" i="6"/>
  <c r="AW26" i="6" s="1"/>
  <c r="AK23" i="6"/>
  <c r="AW23" i="6" s="1"/>
  <c r="AM25" i="6"/>
  <c r="AK28" i="6"/>
  <c r="AK25" i="6"/>
  <c r="AR22" i="6"/>
  <c r="AS22" i="6" s="1"/>
  <c r="AR27" i="6"/>
  <c r="AS27" i="6" s="1"/>
  <c r="AK15" i="6"/>
  <c r="AT17" i="6"/>
  <c r="AU17" i="6" s="1"/>
  <c r="F6" i="2"/>
  <c r="I49" i="2"/>
  <c r="I61" i="2"/>
  <c r="H55" i="2"/>
  <c r="H6" i="2"/>
  <c r="G61" i="2"/>
  <c r="H61" i="2"/>
  <c r="G55" i="2"/>
  <c r="I55" i="2"/>
  <c r="J49" i="2"/>
  <c r="BO14" i="6"/>
  <c r="BS29" i="6"/>
  <c r="BS28" i="6"/>
  <c r="BS27" i="6"/>
  <c r="BS26" i="6"/>
  <c r="BQ27" i="6"/>
  <c r="BQ28" i="6"/>
  <c r="BQ29" i="6"/>
  <c r="AW28" i="6" l="1"/>
  <c r="AW25" i="6"/>
  <c r="AW24" i="6"/>
  <c r="AW20" i="6"/>
  <c r="AW29" i="6"/>
  <c r="I6" i="2"/>
  <c r="G49" i="2"/>
  <c r="U71" i="6"/>
  <c r="BQ26" i="6"/>
  <c r="BS25" i="6"/>
  <c r="BQ25" i="6"/>
  <c r="BS24" i="6"/>
  <c r="BQ24" i="6"/>
  <c r="CD23" i="6"/>
  <c r="BS23" i="6"/>
  <c r="BQ23" i="6"/>
  <c r="CD22" i="6"/>
  <c r="BS22" i="6"/>
  <c r="BQ22" i="6"/>
  <c r="BS21" i="6"/>
  <c r="BQ21" i="6"/>
  <c r="BS20" i="6"/>
  <c r="BQ20" i="6"/>
  <c r="BS19" i="6"/>
  <c r="BQ19" i="6"/>
  <c r="BS18" i="6"/>
  <c r="BQ18" i="6"/>
  <c r="CD17" i="6"/>
  <c r="BS17" i="6"/>
  <c r="BQ17" i="6"/>
  <c r="CD16" i="6"/>
  <c r="BS16" i="6"/>
  <c r="BQ16" i="6"/>
  <c r="BS15" i="6"/>
  <c r="BQ15" i="6"/>
  <c r="BS14" i="6"/>
  <c r="BQ14" i="6"/>
  <c r="BN14" i="6"/>
  <c r="BM14" i="6"/>
  <c r="BL14" i="6"/>
  <c r="BK14" i="6"/>
  <c r="BJ14" i="6"/>
  <c r="BI14" i="6"/>
  <c r="BH14" i="6"/>
  <c r="BG14" i="6"/>
  <c r="BF14" i="6"/>
  <c r="BD14" i="6"/>
  <c r="BY18" i="6" l="1"/>
  <c r="CA18" i="6" s="1"/>
  <c r="BY22" i="6"/>
  <c r="CA22" i="6" s="1"/>
  <c r="BY14" i="6"/>
  <c r="CA14" i="6" s="1"/>
  <c r="BY16" i="6"/>
  <c r="CA16" i="6" s="1"/>
  <c r="BY23" i="6"/>
  <c r="CA23" i="6" s="1"/>
  <c r="BY15" i="6"/>
  <c r="CA15" i="6" s="1"/>
  <c r="BY26" i="6"/>
  <c r="BY17" i="6"/>
  <c r="CA17" i="6" s="1"/>
  <c r="BY27" i="6"/>
  <c r="BY29" i="6"/>
  <c r="BY28" i="6"/>
  <c r="BY21" i="6"/>
  <c r="CA21" i="6" s="1"/>
  <c r="BY25" i="6"/>
  <c r="BY20" i="6"/>
  <c r="BY24" i="6"/>
  <c r="BY19" i="6"/>
  <c r="CB18" i="6" l="1"/>
  <c r="CC18" i="6" s="1"/>
  <c r="CA29" i="6"/>
  <c r="CB29" i="6"/>
  <c r="CC29" i="6" s="1"/>
  <c r="CB28" i="6"/>
  <c r="CC28" i="6" s="1"/>
  <c r="CA28" i="6"/>
  <c r="CB26" i="6"/>
  <c r="CC26" i="6" s="1"/>
  <c r="CA26" i="6"/>
  <c r="CB23" i="6"/>
  <c r="CC23" i="6" s="1"/>
  <c r="CB27" i="6"/>
  <c r="CC27" i="6" s="1"/>
  <c r="CA27" i="6"/>
  <c r="CB24" i="6"/>
  <c r="CC24" i="6" s="1"/>
  <c r="CA24" i="6"/>
  <c r="CB17" i="6"/>
  <c r="CA19" i="6"/>
  <c r="CB19" i="6"/>
  <c r="CC19" i="6" s="1"/>
  <c r="CB20" i="6"/>
  <c r="CC20" i="6" s="1"/>
  <c r="CA20" i="6"/>
  <c r="CB21" i="6"/>
  <c r="CC21" i="6" s="1"/>
  <c r="CB25" i="6"/>
  <c r="CC25" i="6" s="1"/>
  <c r="CA25" i="6"/>
  <c r="CB16" i="6"/>
  <c r="CB22" i="6"/>
  <c r="CE23" i="6" l="1"/>
  <c r="CC22" i="6"/>
  <c r="CE22" i="6"/>
  <c r="CE17" i="6"/>
  <c r="CC17" i="6"/>
  <c r="CC16" i="6"/>
  <c r="CE16" i="6"/>
  <c r="T35" i="2"/>
  <c r="X24" i="2"/>
  <c r="T21" i="2"/>
  <c r="T11" i="2"/>
  <c r="AB4" i="2"/>
  <c r="AB3" i="2"/>
  <c r="D19" i="5" l="1"/>
  <c r="D13" i="5"/>
  <c r="D16" i="5" l="1"/>
</calcChain>
</file>

<file path=xl/sharedStrings.xml><?xml version="1.0" encoding="utf-8"?>
<sst xmlns="http://schemas.openxmlformats.org/spreadsheetml/2006/main" count="449" uniqueCount="246">
  <si>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</si>
  <si>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</si>
  <si>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</si>
  <si>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</si>
  <si>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</si>
  <si>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</si>
  <si>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</si>
  <si>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</si>
  <si>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</si>
  <si>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</si>
  <si>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</si>
  <si>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</si>
  <si>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</si>
  <si>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</si>
  <si>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</si>
  <si>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</si>
  <si>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</si>
  <si>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</si>
  <si>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</si>
  <si>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</si>
  <si>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</si>
  <si>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</si>
  <si>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</si>
  <si>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</si>
  <si>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</si>
  <si>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</si>
  <si>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Titer (g/L)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</si>
  <si>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</si>
  <si>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</si>
  <si>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</si>
  <si>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</si>
  <si>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</si>
  <si>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</si>
  <si>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</si>
  <si>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</si>
  <si>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</si>
  <si>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</si>
  <si>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</si>
  <si>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</si>
  <si>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</si>
  <si>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</si>
  <si>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</si>
  <si>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</si>
  <si>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</si>
  <si>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</si>
  <si>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</si>
  <si>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</si>
  <si>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</si>
  <si>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</si>
  <si>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</si>
  <si>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</si>
  <si>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</si>
  <si>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</si>
  <si>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</si>
  <si>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</si>
  <si>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</si>
  <si>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</si>
  <si>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</si>
  <si>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</si>
  <si>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</si>
  <si>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</si>
  <si>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</si>
  <si>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</si>
  <si>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</si>
  <si>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</si>
  <si>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</si>
  <si>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</si>
  <si>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</si>
  <si>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</si>
  <si>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</si>
  <si>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</si>
  <si>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</si>
  <si>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</si>
  <si>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</si>
  <si>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</si>
  <si>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</si>
  <si>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</si>
  <si>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</si>
  <si>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</si>
  <si>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</si>
  <si>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</si>
  <si>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</si>
  <si>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</si>
  <si>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</si>
  <si>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</si>
  <si>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</si>
  <si>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</si>
  <si>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</si>
  <si>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</si>
  <si>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</si>
  <si>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</si>
  <si>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</si>
  <si>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</si>
  <si>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</si>
  <si>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</si>
  <si>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</si>
  <si>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</si>
  <si>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</si>
  <si>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</si>
  <si>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</si>
  <si>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</si>
  <si>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</si>
  <si>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</si>
  <si>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</si>
  <si>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</si>
  <si>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</si>
  <si>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</si>
  <si>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</si>
  <si>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</si>
  <si>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</si>
  <si>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</si>
  <si>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</si>
  <si>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</si>
  <si>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</si>
  <si>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</si>
  <si>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</si>
  <si>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</si>
  <si>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</si>
  <si>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</si>
  <si>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</si>
  <si>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</si>
  <si>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</si>
  <si>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</si>
  <si>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</si>
  <si>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</si>
  <si>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</si>
  <si>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</si>
  <si>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</si>
  <si>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</si>
  <si>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</si>
  <si>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</si>
  <si>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</si>
  <si>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</si>
  <si>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</si>
  <si>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</si>
  <si>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</si>
  <si>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</si>
  <si>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</si>
  <si>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</si>
  <si>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</si>
  <si>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</si>
  <si>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</si>
  <si>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</si>
  <si>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</si>
  <si>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</si>
  <si>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</si>
  <si>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</si>
  <si>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</si>
  <si>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</si>
  <si>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</si>
  <si>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</si>
  <si>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</si>
  <si>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</si>
  <si>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</si>
  <si>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</si>
  <si>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</si>
  <si>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</si>
  <si>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</si>
  <si>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</si>
  <si>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</si>
  <si>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</si>
  <si>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</si>
  <si>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</si>
  <si>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</si>
  <si>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</si>
  <si>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</si>
  <si>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</si>
  <si>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</si>
  <si>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</si>
  <si>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</si>
  <si>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</si>
  <si>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</si>
  <si>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</si>
  <si>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</si>
  <si>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</si>
  <si>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R4</t>
  </si>
  <si>
    <t>YPD100</t>
  </si>
  <si>
    <t>YPD</t>
  </si>
  <si>
    <t>Yeast extract</t>
  </si>
  <si>
    <t>Peptone</t>
  </si>
  <si>
    <t>low (%)</t>
  </si>
  <si>
    <t>high (%)</t>
  </si>
  <si>
    <t>Peptone Nitrogen range</t>
  </si>
  <si>
    <t>Yeast extract Nitrogen range</t>
  </si>
  <si>
    <t>C/N ratio (high)</t>
  </si>
  <si>
    <t>C/N ratio low</t>
  </si>
  <si>
    <t>low mol N/L</t>
  </si>
  <si>
    <t>high mol N/L</t>
  </si>
  <si>
    <t>low</t>
  </si>
  <si>
    <t>high</t>
  </si>
  <si>
    <t>dilution</t>
  </si>
  <si>
    <t>glucose with dilution</t>
  </si>
  <si>
    <t>g of YPD broth to add /L</t>
  </si>
  <si>
    <t xml:space="preserve">total to add. </t>
  </si>
  <si>
    <t>to add</t>
  </si>
  <si>
    <t>High</t>
  </si>
  <si>
    <t>glucose to add/L</t>
  </si>
  <si>
    <t xml:space="preserve"> </t>
  </si>
  <si>
    <t>Jeff_SloHot50_Biostat 2L-26-1</t>
  </si>
  <si>
    <t>Jeff_SloHot50_Biostat 2L-26-2</t>
  </si>
  <si>
    <t>Jeff_SloHot50_Biostat 2L-26-3</t>
  </si>
  <si>
    <t>Jeff_SloHot50_Biostat 2L-26-4</t>
  </si>
  <si>
    <t>Jeff_SloHot50_Biostat 2L-26-5</t>
  </si>
  <si>
    <t>Jeff_SloHot50_Biostat 2L-26-6</t>
  </si>
  <si>
    <t>Jeff_SloHot50_Biostat 2L-26-7</t>
  </si>
  <si>
    <t>Jeff_SloHot50_Biostat 2L-26-8</t>
  </si>
  <si>
    <t>Jeff_SloHot50_Biostat 2L-26-9</t>
  </si>
  <si>
    <t>Jeff_SloHot50_Biostat 2L-26-10</t>
  </si>
  <si>
    <t>Jeff_SloHot50_Biostat 2L-26-11</t>
  </si>
  <si>
    <t>Jeff_SloHot50_Biostat 2L-26-12</t>
  </si>
  <si>
    <t>Jeff_SloHot50_Biostat 2L-26-13</t>
  </si>
  <si>
    <t>Jeff_SloHot50_Biostat 2L-26-14</t>
  </si>
  <si>
    <t>Jeff_SloHot50_Biostat 2L-26-15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</si>
  <si>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</si>
  <si>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</si>
  <si>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</si>
  <si>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</si>
  <si>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</si>
  <si>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</si>
  <si>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</si>
  <si>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</si>
  <si>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</si>
  <si>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</si>
  <si>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</si>
  <si>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</si>
  <si>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</si>
  <si>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</si>
  <si>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</si>
  <si>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</si>
  <si>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</si>
  <si>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</si>
  <si>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Jeff_SloHot50_Biostat 2L-26-16</t>
  </si>
  <si>
    <t>25 mL YPD O/N</t>
  </si>
  <si>
    <t>YNB50 C/N40</t>
  </si>
  <si>
    <t>*</t>
  </si>
  <si>
    <t>YNB100 0.5g/L YE C/N100</t>
  </si>
  <si>
    <t>UPDATE</t>
  </si>
  <si>
    <t>This biostat run will examine low oxygen conditions vs controlled</t>
  </si>
  <si>
    <t>A seed culture was grown in the sixfors (250 mL, 400 rpm, 1 vvm, pH 5.6, 10% inoculation from YPD) O/N</t>
  </si>
  <si>
    <t>R5</t>
  </si>
  <si>
    <t>seed for Biostat26_2L</t>
  </si>
  <si>
    <t>PPI_Bst26_seed_R4</t>
  </si>
  <si>
    <t>PPI_Bst26_seed_R5</t>
  </si>
  <si>
    <t>low oxygen (5%)</t>
  </si>
  <si>
    <t>control (25%)</t>
  </si>
  <si>
    <t>Seed from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</si>
</sst>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49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2" fontId="0" fillId="0" borderId="3" xfId="0" applyNumberFormat="1" applyBorder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7" fillId="0" borderId="0" xfId="4" applyAlignment="1">
      <alignment wrapText="1"/>
    </xf>
    <xf numFmtId="0" fontId="7" fillId="0" borderId="0" xfId="4"/>
    <xf numFmtId="166" fontId="7" fillId="0" borderId="0" xfId="3" applyNumberFormat="1"/>
    <xf numFmtId="2" fontId="7" fillId="0" borderId="0" xfId="4" applyNumberFormat="1"/>
    <xf numFmtId="165" fontId="7" fillId="0" borderId="0" xfId="4" applyNumberFormat="1"/>
    <xf numFmtId="165" fontId="8" fillId="0" borderId="0" xfId="4" applyNumberFormat="1" applyFont="1"/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</cellXfs>
  <cellStyles count="5">
    <cellStyle name="Calculation 2" xfId="2" xr:uid="{06963B33-0368-4743-9D6F-4480FB79EB78}"/>
    <cellStyle name="Good 2" xfId="1" xr:uid="{C73EABD3-7392-AD48-9677-784C96F12C21}"/>
    <cellStyle name="Normal" xfId="0" builtinId="0"/>
    <cellStyle name="Normal 2" xfId="4" xr:uid="{8FF3EA37-8E5C-9A40-9E12-97FADC4E344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3:R31"/>
  <sheetViews>
    <sheetView workbookViewId="0">
      <selection activeCell="A2" sqref="A2"/>
    </sheetView>
  </sheetViews>
  <sheetFormatPr defaultColWidth="11" defaultRowHeight="15.75" x14ac:dyDescent="0.25"/>
  <cols>
    <col min="3" max="3" width="24.625" customWidth="1"/>
  </cols>
  <sheetData>
    <row r="3" spans="1:18" x14ac:dyDescent="0.25">
      <c r="B3" t="s">
        <v>237</v>
      </c>
    </row>
    <row r="4" spans="1:18" x14ac:dyDescent="0.25">
      <c r="B4" t="s">
        <v>238</v>
      </c>
    </row>
    <row r="7" spans="1:18" x14ac:dyDescent="0.25">
      <c r="A7" t="s">
        <v>164</v>
      </c>
      <c r="C7" t="s">
        <v>163</v>
      </c>
      <c r="D7" t="s">
        <v>156</v>
      </c>
      <c r="E7" t="s">
        <v>119</v>
      </c>
      <c r="F7" t="s">
        <v>123</v>
      </c>
    </row>
    <row r="8" spans="1:18" x14ac:dyDescent="0.25">
      <c r="C8" t="s">
        <v>232</v>
      </c>
      <c r="D8">
        <v>19.899999999999999</v>
      </c>
      <c r="E8" s="2">
        <v>45621</v>
      </c>
      <c r="F8" t="s">
        <v>159</v>
      </c>
    </row>
    <row r="12" spans="1:18" x14ac:dyDescent="0.25">
      <c r="A12" t="s">
        <v>165</v>
      </c>
      <c r="F12" t="s">
        <v>168</v>
      </c>
    </row>
    <row r="13" spans="1:18" x14ac:dyDescent="0.25">
      <c r="B13" t="s">
        <v>53</v>
      </c>
      <c r="C13" t="s">
        <v>157</v>
      </c>
      <c r="D13" t="s">
        <v>114</v>
      </c>
      <c r="E13" t="s">
        <v>115</v>
      </c>
      <c r="F13" t="s">
        <v>167</v>
      </c>
      <c r="G13" t="s">
        <v>156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M13" t="s">
        <v>122</v>
      </c>
      <c r="N13" t="s">
        <v>160</v>
      </c>
      <c r="O13" t="s">
        <v>0</v>
      </c>
      <c r="P13" t="s">
        <v>123</v>
      </c>
      <c r="Q13" t="s">
        <v>158</v>
      </c>
      <c r="R13" t="s">
        <v>127</v>
      </c>
    </row>
    <row r="14" spans="1:18" x14ac:dyDescent="0.25">
      <c r="B14" t="s">
        <v>175</v>
      </c>
      <c r="C14" t="s">
        <v>240</v>
      </c>
      <c r="D14" t="s">
        <v>162</v>
      </c>
      <c r="E14">
        <v>251.25</v>
      </c>
      <c r="F14">
        <v>0.1</v>
      </c>
      <c r="H14">
        <v>5.6</v>
      </c>
      <c r="I14" s="31">
        <v>0.4375</v>
      </c>
      <c r="J14" s="2">
        <v>45622</v>
      </c>
      <c r="K14">
        <v>400</v>
      </c>
      <c r="L14" t="s">
        <v>161</v>
      </c>
      <c r="M14">
        <v>5.6</v>
      </c>
      <c r="N14">
        <v>28</v>
      </c>
      <c r="O14" t="s">
        <v>233</v>
      </c>
      <c r="P14" t="s">
        <v>159</v>
      </c>
      <c r="Q14" t="s">
        <v>241</v>
      </c>
    </row>
    <row r="15" spans="1:18" x14ac:dyDescent="0.25">
      <c r="B15" t="s">
        <v>239</v>
      </c>
      <c r="C15" t="s">
        <v>240</v>
      </c>
      <c r="D15" t="s">
        <v>162</v>
      </c>
      <c r="E15">
        <v>251.25</v>
      </c>
      <c r="F15">
        <v>0.1</v>
      </c>
      <c r="G15">
        <v>11.35</v>
      </c>
      <c r="H15">
        <v>5.6</v>
      </c>
      <c r="I15" s="31">
        <v>0.4375</v>
      </c>
      <c r="J15" s="2">
        <v>45622</v>
      </c>
      <c r="K15">
        <v>400</v>
      </c>
      <c r="L15" t="s">
        <v>161</v>
      </c>
      <c r="M15">
        <v>5.6</v>
      </c>
      <c r="N15">
        <v>28</v>
      </c>
      <c r="O15" t="s">
        <v>233</v>
      </c>
      <c r="P15" t="s">
        <v>159</v>
      </c>
      <c r="Q15" t="s">
        <v>242</v>
      </c>
    </row>
    <row r="16" spans="1:18" x14ac:dyDescent="0.25">
      <c r="J16" s="2"/>
    </row>
    <row r="17" spans="1:16" x14ac:dyDescent="0.25">
      <c r="J17" s="2"/>
    </row>
    <row r="21" spans="1:16" x14ac:dyDescent="0.25">
      <c r="A21" t="s">
        <v>166</v>
      </c>
    </row>
    <row r="22" spans="1:16" x14ac:dyDescent="0.25">
      <c r="B22" t="s">
        <v>53</v>
      </c>
      <c r="C22" t="s">
        <v>157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t="s">
        <v>119</v>
      </c>
      <c r="J22" t="s">
        <v>120</v>
      </c>
      <c r="K22" t="s">
        <v>121</v>
      </c>
      <c r="L22" t="s">
        <v>122</v>
      </c>
      <c r="M22" t="s">
        <v>160</v>
      </c>
      <c r="N22" t="s">
        <v>0</v>
      </c>
      <c r="O22" t="s">
        <v>123</v>
      </c>
      <c r="P22" t="s">
        <v>127</v>
      </c>
    </row>
    <row r="23" spans="1:16" x14ac:dyDescent="0.25">
      <c r="B23" t="s">
        <v>12</v>
      </c>
      <c r="C23" t="s">
        <v>243</v>
      </c>
      <c r="D23">
        <v>1.4</v>
      </c>
      <c r="E23">
        <v>1.5</v>
      </c>
      <c r="F23">
        <v>0.62</v>
      </c>
      <c r="G23">
        <v>5.6</v>
      </c>
      <c r="H23" s="31">
        <v>0.5</v>
      </c>
      <c r="I23" s="2">
        <v>45623</v>
      </c>
      <c r="J23" s="12" t="s">
        <v>234</v>
      </c>
      <c r="K23" s="12"/>
      <c r="L23">
        <v>5.6</v>
      </c>
      <c r="M23">
        <v>28</v>
      </c>
      <c r="N23" t="s">
        <v>235</v>
      </c>
      <c r="O23" t="s">
        <v>126</v>
      </c>
      <c r="P23" t="s">
        <v>245</v>
      </c>
    </row>
    <row r="24" spans="1:16" x14ac:dyDescent="0.25">
      <c r="B24" t="s">
        <v>52</v>
      </c>
      <c r="C24" t="s">
        <v>244</v>
      </c>
      <c r="D24">
        <v>1.4</v>
      </c>
      <c r="E24">
        <v>1.5</v>
      </c>
      <c r="F24">
        <v>0.62</v>
      </c>
      <c r="G24" s="12">
        <v>5.6</v>
      </c>
      <c r="H24" s="31">
        <v>0.5</v>
      </c>
      <c r="I24" s="2">
        <v>45623</v>
      </c>
      <c r="J24" s="12"/>
      <c r="K24" s="12"/>
      <c r="L24" s="12">
        <v>5.6</v>
      </c>
      <c r="M24" s="12">
        <v>28</v>
      </c>
      <c r="N24" t="s">
        <v>235</v>
      </c>
      <c r="O24" t="s">
        <v>126</v>
      </c>
      <c r="P24" t="s">
        <v>245</v>
      </c>
    </row>
    <row r="26" spans="1:16" x14ac:dyDescent="0.25">
      <c r="G26" t="s">
        <v>236</v>
      </c>
      <c r="H26" t="s">
        <v>150</v>
      </c>
    </row>
    <row r="27" spans="1:16" x14ac:dyDescent="0.25">
      <c r="H27" t="s">
        <v>151</v>
      </c>
      <c r="I27" t="s">
        <v>124</v>
      </c>
      <c r="J27" t="s">
        <v>125</v>
      </c>
    </row>
    <row r="28" spans="1:16" x14ac:dyDescent="0.25">
      <c r="H28" t="s">
        <v>169</v>
      </c>
      <c r="I28" t="s">
        <v>152</v>
      </c>
      <c r="J28" t="s">
        <v>171</v>
      </c>
    </row>
    <row r="29" spans="1:16" x14ac:dyDescent="0.25">
      <c r="H29" t="s">
        <v>170</v>
      </c>
      <c r="I29" t="s">
        <v>124</v>
      </c>
      <c r="J29" t="s">
        <v>153</v>
      </c>
      <c r="M29" t="s">
        <v>174</v>
      </c>
    </row>
    <row r="31" spans="1:16" x14ac:dyDescent="0.25">
      <c r="G31" t="s">
        <v>172</v>
      </c>
      <c r="H31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opLeftCell="A44" workbookViewId="0">
      <selection activeCell="H49" sqref="H49"/>
    </sheetView>
  </sheetViews>
  <sheetFormatPr defaultColWidth="11" defaultRowHeight="15.75" x14ac:dyDescent="0.25"/>
  <cols>
    <col min="5" max="5" width="12.875" customWidth="1"/>
  </cols>
  <sheetData>
    <row r="1" spans="1:28" x14ac:dyDescent="0.25">
      <c r="A1" t="s">
        <v>0</v>
      </c>
      <c r="AA1" t="s">
        <v>54</v>
      </c>
    </row>
    <row r="2" spans="1:28" x14ac:dyDescent="0.25">
      <c r="B2" s="1" t="s">
        <v>1</v>
      </c>
      <c r="AA2" s="33">
        <v>4.4277893518518523</v>
      </c>
      <c r="AB2" t="s">
        <v>55</v>
      </c>
    </row>
    <row r="3" spans="1:28" x14ac:dyDescent="0.25">
      <c r="AA3" t="s">
        <v>56</v>
      </c>
      <c r="AB3">
        <f>106/16</f>
        <v>6.625</v>
      </c>
    </row>
    <row r="4" spans="1:28" x14ac:dyDescent="0.25">
      <c r="C4" t="s">
        <v>177</v>
      </c>
      <c r="P4" t="s">
        <v>58</v>
      </c>
      <c r="S4" s="1" t="s">
        <v>59</v>
      </c>
      <c r="AA4" t="s">
        <v>60</v>
      </c>
      <c r="AB4">
        <f>106</f>
        <v>106</v>
      </c>
    </row>
    <row r="5" spans="1:28" x14ac:dyDescent="0.25">
      <c r="B5">
        <v>1</v>
      </c>
      <c r="C5" s="1" t="s">
        <v>176</v>
      </c>
      <c r="D5" s="1" t="s">
        <v>65</v>
      </c>
      <c r="E5" s="1" t="s">
        <v>66</v>
      </c>
      <c r="F5" s="1" t="s">
        <v>185</v>
      </c>
      <c r="G5" s="1" t="s">
        <v>184</v>
      </c>
      <c r="H5" s="1" t="s">
        <v>68</v>
      </c>
      <c r="I5" s="1" t="s">
        <v>69</v>
      </c>
      <c r="J5" s="1" t="s">
        <v>70</v>
      </c>
      <c r="K5" s="1" t="s">
        <v>186</v>
      </c>
      <c r="L5" s="1" t="s">
        <v>187</v>
      </c>
      <c r="M5" s="1" t="s">
        <v>72</v>
      </c>
      <c r="O5" t="s">
        <v>62</v>
      </c>
      <c r="P5">
        <v>136.08600000000001</v>
      </c>
      <c r="T5" t="s">
        <v>63</v>
      </c>
      <c r="AA5" t="s">
        <v>64</v>
      </c>
      <c r="AB5">
        <v>16</v>
      </c>
    </row>
    <row r="6" spans="1:28" x14ac:dyDescent="0.25">
      <c r="C6">
        <v>10</v>
      </c>
      <c r="D6">
        <f>C6/D11</f>
        <v>1.6666666666666667</v>
      </c>
      <c r="E6" t="s">
        <v>178</v>
      </c>
      <c r="F6" s="6">
        <f>J6/K6</f>
        <v>74.801482209179852</v>
      </c>
      <c r="G6" s="6">
        <f>J6/L6</f>
        <v>59.777252876566799</v>
      </c>
      <c r="H6" s="6">
        <f>J6/M6</f>
        <v>453.22720309065477</v>
      </c>
      <c r="I6" s="6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t="s">
        <v>73</v>
      </c>
      <c r="P6">
        <v>132.13999999999999</v>
      </c>
      <c r="T6" s="1" t="s">
        <v>65</v>
      </c>
      <c r="U6" s="1" t="s">
        <v>66</v>
      </c>
      <c r="V6" t="s">
        <v>74</v>
      </c>
      <c r="X6" t="s">
        <v>75</v>
      </c>
    </row>
    <row r="7" spans="1:28" x14ac:dyDescent="0.25">
      <c r="C7">
        <v>20</v>
      </c>
      <c r="D7">
        <f>C7/D11</f>
        <v>3.3333333333333335</v>
      </c>
      <c r="E7" t="s">
        <v>179</v>
      </c>
      <c r="O7" t="s">
        <v>17</v>
      </c>
      <c r="P7">
        <v>180.15600000000001</v>
      </c>
      <c r="T7">
        <v>1</v>
      </c>
      <c r="U7" t="s">
        <v>62</v>
      </c>
      <c r="V7">
        <v>136.08600000000001</v>
      </c>
    </row>
    <row r="8" spans="1:28" x14ac:dyDescent="0.25">
      <c r="C8">
        <v>20</v>
      </c>
      <c r="D8">
        <v>100</v>
      </c>
      <c r="E8" t="s">
        <v>17</v>
      </c>
      <c r="O8" t="s">
        <v>18</v>
      </c>
      <c r="P8">
        <v>150.13</v>
      </c>
      <c r="T8">
        <v>0.5</v>
      </c>
      <c r="U8" t="s">
        <v>76</v>
      </c>
    </row>
    <row r="9" spans="1:28" x14ac:dyDescent="0.25">
      <c r="O9" t="s">
        <v>21</v>
      </c>
      <c r="P9" s="8">
        <v>92.093999999999994</v>
      </c>
      <c r="T9">
        <v>0.1</v>
      </c>
      <c r="U9" t="s">
        <v>77</v>
      </c>
    </row>
    <row r="10" spans="1:28" x14ac:dyDescent="0.25">
      <c r="D10" t="s">
        <v>190</v>
      </c>
      <c r="O10" t="s">
        <v>78</v>
      </c>
      <c r="P10">
        <v>59.043999999999997</v>
      </c>
      <c r="T10">
        <v>0.1</v>
      </c>
      <c r="U10" t="s">
        <v>79</v>
      </c>
    </row>
    <row r="11" spans="1:28" x14ac:dyDescent="0.25">
      <c r="D11">
        <v>6</v>
      </c>
      <c r="O11" s="1" t="s">
        <v>80</v>
      </c>
      <c r="P11">
        <v>192.19399999999999</v>
      </c>
      <c r="T11">
        <f>SUM(T7:T10)</f>
        <v>1.7000000000000002</v>
      </c>
      <c r="U11" t="s">
        <v>81</v>
      </c>
    </row>
    <row r="12" spans="1:28" x14ac:dyDescent="0.25">
      <c r="B12" t="s">
        <v>191</v>
      </c>
      <c r="C12" t="s">
        <v>196</v>
      </c>
      <c r="F12" t="s">
        <v>180</v>
      </c>
      <c r="G12" t="s">
        <v>181</v>
      </c>
      <c r="O12" t="s">
        <v>83</v>
      </c>
      <c r="P12">
        <v>53.491</v>
      </c>
      <c r="T12" t="s">
        <v>84</v>
      </c>
    </row>
    <row r="13" spans="1:28" x14ac:dyDescent="0.25">
      <c r="B13">
        <f>C8/D11</f>
        <v>3.3333333333333335</v>
      </c>
      <c r="C13" s="1">
        <f>100-B13</f>
        <v>96.666666666666671</v>
      </c>
      <c r="D13">
        <f>C13*1.5</f>
        <v>145</v>
      </c>
      <c r="E13" t="s">
        <v>182</v>
      </c>
      <c r="F13">
        <v>14.2</v>
      </c>
      <c r="G13">
        <v>17.399999999999999</v>
      </c>
      <c r="O13" t="s">
        <v>85</v>
      </c>
      <c r="P13">
        <v>60.06</v>
      </c>
      <c r="T13" s="1" t="s">
        <v>86</v>
      </c>
      <c r="U13" s="1" t="s">
        <v>66</v>
      </c>
    </row>
    <row r="14" spans="1:28" x14ac:dyDescent="0.25">
      <c r="E14" t="s">
        <v>183</v>
      </c>
      <c r="F14">
        <v>9</v>
      </c>
      <c r="G14">
        <v>12</v>
      </c>
      <c r="T14">
        <v>500</v>
      </c>
      <c r="U14" t="s">
        <v>87</v>
      </c>
    </row>
    <row r="15" spans="1:28" x14ac:dyDescent="0.25">
      <c r="C15" t="s">
        <v>192</v>
      </c>
      <c r="D15" t="s">
        <v>38</v>
      </c>
      <c r="E15" t="s">
        <v>193</v>
      </c>
      <c r="T15">
        <v>40</v>
      </c>
      <c r="U15" t="s">
        <v>88</v>
      </c>
    </row>
    <row r="16" spans="1:28" x14ac:dyDescent="0.25">
      <c r="C16">
        <f>50/D11</f>
        <v>8.3333333333333339</v>
      </c>
      <c r="D16">
        <v>1.5</v>
      </c>
      <c r="E16">
        <f>D16*C16</f>
        <v>12.5</v>
      </c>
      <c r="T16">
        <v>100</v>
      </c>
      <c r="U16" t="s">
        <v>89</v>
      </c>
    </row>
    <row r="17" spans="20:24" x14ac:dyDescent="0.25">
      <c r="T17">
        <v>200</v>
      </c>
      <c r="U17" t="s">
        <v>90</v>
      </c>
    </row>
    <row r="18" spans="20:24" x14ac:dyDescent="0.25">
      <c r="T18">
        <v>400</v>
      </c>
      <c r="U18" t="s">
        <v>91</v>
      </c>
    </row>
    <row r="19" spans="20:24" x14ac:dyDescent="0.25">
      <c r="T19">
        <v>200</v>
      </c>
      <c r="U19" t="s">
        <v>92</v>
      </c>
    </row>
    <row r="20" spans="20:24" x14ac:dyDescent="0.25">
      <c r="T20">
        <v>400</v>
      </c>
      <c r="U20" t="s">
        <v>93</v>
      </c>
    </row>
    <row r="21" spans="20:24" x14ac:dyDescent="0.25">
      <c r="T21">
        <f>SUM(T14:T20)/1000000</f>
        <v>1.8400000000000001E-3</v>
      </c>
      <c r="U21" t="s">
        <v>81</v>
      </c>
    </row>
    <row r="22" spans="20:24" x14ac:dyDescent="0.25">
      <c r="T22" t="s">
        <v>94</v>
      </c>
    </row>
    <row r="23" spans="20:24" x14ac:dyDescent="0.25">
      <c r="T23" s="1" t="s">
        <v>86</v>
      </c>
      <c r="U23" s="1" t="s">
        <v>66</v>
      </c>
    </row>
    <row r="24" spans="20:24" x14ac:dyDescent="0.25">
      <c r="T24">
        <v>2</v>
      </c>
      <c r="U24" t="s">
        <v>95</v>
      </c>
      <c r="X24">
        <f>550*0.3</f>
        <v>165</v>
      </c>
    </row>
    <row r="25" spans="20:24" x14ac:dyDescent="0.25">
      <c r="T25">
        <v>400</v>
      </c>
      <c r="U25" t="s">
        <v>96</v>
      </c>
    </row>
    <row r="26" spans="20:24" x14ac:dyDescent="0.25">
      <c r="T26">
        <v>2</v>
      </c>
      <c r="U26" t="s">
        <v>98</v>
      </c>
    </row>
    <row r="27" spans="20:24" x14ac:dyDescent="0.25">
      <c r="T27" s="25">
        <v>2000</v>
      </c>
      <c r="U27" t="s">
        <v>100</v>
      </c>
    </row>
    <row r="28" spans="20:24" x14ac:dyDescent="0.25">
      <c r="T28">
        <v>400</v>
      </c>
      <c r="U28" t="s">
        <v>102</v>
      </c>
    </row>
    <row r="29" spans="20:24" x14ac:dyDescent="0.25">
      <c r="T29">
        <v>200</v>
      </c>
      <c r="U29" t="s">
        <v>104</v>
      </c>
    </row>
    <row r="30" spans="20:24" x14ac:dyDescent="0.25">
      <c r="T30">
        <v>400</v>
      </c>
      <c r="U30" t="s">
        <v>106</v>
      </c>
    </row>
    <row r="31" spans="20:24" x14ac:dyDescent="0.25">
      <c r="T31">
        <v>200</v>
      </c>
      <c r="U31" t="s">
        <v>107</v>
      </c>
    </row>
    <row r="32" spans="20:24" x14ac:dyDescent="0.25">
      <c r="T32">
        <v>400</v>
      </c>
      <c r="U32" t="s">
        <v>109</v>
      </c>
    </row>
    <row r="35" spans="3:21" x14ac:dyDescent="0.25">
      <c r="T35">
        <f>SUM(T24:T32)/1000000</f>
        <v>4.0039999999999997E-3</v>
      </c>
      <c r="U35" t="s">
        <v>81</v>
      </c>
    </row>
    <row r="46" spans="3:21" x14ac:dyDescent="0.25">
      <c r="E46" t="s">
        <v>57</v>
      </c>
    </row>
    <row r="47" spans="3:21" x14ac:dyDescent="0.25">
      <c r="C47" s="1" t="s">
        <v>61</v>
      </c>
      <c r="D47" s="34" t="s">
        <v>154</v>
      </c>
      <c r="G47" t="s">
        <v>195</v>
      </c>
      <c r="H47" t="s">
        <v>188</v>
      </c>
      <c r="L47" t="s">
        <v>188</v>
      </c>
      <c r="M47" t="s">
        <v>189</v>
      </c>
    </row>
    <row r="48" spans="3:21" x14ac:dyDescent="0.25">
      <c r="C48">
        <v>1</v>
      </c>
      <c r="D48" s="1" t="s">
        <v>82</v>
      </c>
      <c r="E48" s="1" t="s">
        <v>65</v>
      </c>
      <c r="F48" s="1" t="s">
        <v>66</v>
      </c>
      <c r="G48" s="1" t="s">
        <v>67</v>
      </c>
      <c r="H48" s="1" t="s">
        <v>67</v>
      </c>
      <c r="I48" s="1" t="s">
        <v>68</v>
      </c>
      <c r="J48" s="1" t="s">
        <v>69</v>
      </c>
      <c r="K48" s="1" t="s">
        <v>70</v>
      </c>
      <c r="L48" s="1" t="s">
        <v>71</v>
      </c>
      <c r="M48" s="1" t="s">
        <v>71</v>
      </c>
      <c r="N48" s="1" t="s">
        <v>72</v>
      </c>
      <c r="P48" s="1" t="s">
        <v>194</v>
      </c>
    </row>
    <row r="49" spans="2:16" x14ac:dyDescent="0.25">
      <c r="E49" s="39">
        <v>1.7</v>
      </c>
      <c r="F49" t="s">
        <v>59</v>
      </c>
      <c r="G49" s="6">
        <f>K49/L49</f>
        <v>72.692800834788557</v>
      </c>
      <c r="H49" s="6">
        <f>K49/M49</f>
        <v>70.388280740649634</v>
      </c>
      <c r="I49" s="6">
        <f>K49/N49</f>
        <v>453.22720309065477</v>
      </c>
      <c r="J49" s="6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>
        <f>E49*1.5</f>
        <v>2.5499999999999998</v>
      </c>
    </row>
    <row r="50" spans="2:16" x14ac:dyDescent="0.25">
      <c r="E50" s="39">
        <v>2.21</v>
      </c>
      <c r="F50" t="s">
        <v>83</v>
      </c>
      <c r="P50">
        <f t="shared" ref="P50:P52" si="0">E50*1.5</f>
        <v>3.3149999999999999</v>
      </c>
    </row>
    <row r="51" spans="2:16" x14ac:dyDescent="0.25">
      <c r="E51" s="39">
        <v>100</v>
      </c>
      <c r="F51" t="s">
        <v>17</v>
      </c>
      <c r="P51">
        <f t="shared" si="0"/>
        <v>150</v>
      </c>
    </row>
    <row r="52" spans="2:16" x14ac:dyDescent="0.25">
      <c r="E52" s="39">
        <v>0.7</v>
      </c>
      <c r="F52" t="s">
        <v>178</v>
      </c>
      <c r="P52">
        <f t="shared" si="0"/>
        <v>1.0499999999999998</v>
      </c>
    </row>
    <row r="53" spans="2:16" x14ac:dyDescent="0.25">
      <c r="E53" s="39"/>
    </row>
    <row r="54" spans="2:16" x14ac:dyDescent="0.25">
      <c r="C54">
        <v>2</v>
      </c>
      <c r="D54" s="1" t="s">
        <v>82</v>
      </c>
      <c r="E54" s="1" t="s">
        <v>65</v>
      </c>
      <c r="F54" s="1" t="s">
        <v>66</v>
      </c>
      <c r="G54" s="1" t="s">
        <v>67</v>
      </c>
      <c r="H54" s="1" t="s">
        <v>68</v>
      </c>
      <c r="I54" s="1" t="s">
        <v>69</v>
      </c>
      <c r="J54" s="1" t="s">
        <v>70</v>
      </c>
      <c r="K54" s="1" t="s">
        <v>71</v>
      </c>
      <c r="L54" s="1" t="s">
        <v>72</v>
      </c>
    </row>
    <row r="55" spans="2:16" x14ac:dyDescent="0.25">
      <c r="E55">
        <v>1.7</v>
      </c>
      <c r="F55" t="s">
        <v>59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5">
      <c r="E56">
        <v>1.47</v>
      </c>
      <c r="F56" t="s">
        <v>83</v>
      </c>
    </row>
    <row r="57" spans="2:16" x14ac:dyDescent="0.25">
      <c r="E57">
        <v>50</v>
      </c>
      <c r="F57" t="s">
        <v>17</v>
      </c>
    </row>
    <row r="59" spans="2:16" x14ac:dyDescent="0.25">
      <c r="D59" s="35" t="s">
        <v>155</v>
      </c>
    </row>
    <row r="60" spans="2:16" x14ac:dyDescent="0.25">
      <c r="B60" s="1"/>
      <c r="D60" s="1" t="s">
        <v>82</v>
      </c>
      <c r="E60" s="1" t="s">
        <v>65</v>
      </c>
      <c r="F60" s="1" t="s">
        <v>66</v>
      </c>
      <c r="G60" s="1" t="s">
        <v>67</v>
      </c>
      <c r="H60" s="1" t="s">
        <v>68</v>
      </c>
      <c r="I60" s="1" t="s">
        <v>69</v>
      </c>
      <c r="J60" s="1" t="s">
        <v>70</v>
      </c>
      <c r="K60" s="1" t="s">
        <v>71</v>
      </c>
      <c r="L60" s="1" t="s">
        <v>72</v>
      </c>
    </row>
    <row r="61" spans="2:16" x14ac:dyDescent="0.25">
      <c r="E61">
        <v>1.7</v>
      </c>
      <c r="F61" t="s">
        <v>59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5">
      <c r="E62">
        <v>1.1100000000000001</v>
      </c>
      <c r="F62" t="s">
        <v>83</v>
      </c>
    </row>
    <row r="63" spans="2:16" x14ac:dyDescent="0.25">
      <c r="E63">
        <v>50</v>
      </c>
      <c r="F63" t="s">
        <v>17</v>
      </c>
    </row>
    <row r="67" spans="2:12" x14ac:dyDescent="0.25"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2:12" x14ac:dyDescent="0.25">
      <c r="B68" s="1"/>
    </row>
    <row r="70" spans="2:12" x14ac:dyDescent="0.25">
      <c r="B70" s="21" t="s">
        <v>32</v>
      </c>
    </row>
    <row r="73" spans="2:12" x14ac:dyDescent="0.25">
      <c r="D73" t="s">
        <v>97</v>
      </c>
    </row>
    <row r="74" spans="2:12" x14ac:dyDescent="0.25">
      <c r="E74" t="s">
        <v>99</v>
      </c>
    </row>
    <row r="75" spans="2:12" x14ac:dyDescent="0.25">
      <c r="E75" t="s">
        <v>101</v>
      </c>
    </row>
    <row r="76" spans="2:12" x14ac:dyDescent="0.25">
      <c r="E76" t="s">
        <v>103</v>
      </c>
    </row>
    <row r="77" spans="2:12" x14ac:dyDescent="0.25">
      <c r="E77" t="s">
        <v>105</v>
      </c>
    </row>
    <row r="79" spans="2:12" x14ac:dyDescent="0.25">
      <c r="D79" t="s">
        <v>108</v>
      </c>
    </row>
    <row r="80" spans="2:12" x14ac:dyDescent="0.25">
      <c r="E80" t="s">
        <v>110</v>
      </c>
    </row>
    <row r="81" spans="4:5" x14ac:dyDescent="0.25">
      <c r="E81" t="s">
        <v>111</v>
      </c>
    </row>
    <row r="82" spans="4:5" x14ac:dyDescent="0.25">
      <c r="E82" t="s">
        <v>112</v>
      </c>
    </row>
    <row r="84" spans="4:5" x14ac:dyDescent="0.25">
      <c r="D8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defaultColWidth="11" defaultRowHeight="15.75" x14ac:dyDescent="0.25"/>
  <sheetData>
    <row r="1" spans="1:2" x14ac:dyDescent="0.25">
      <c r="A1" t="s">
        <v>2</v>
      </c>
    </row>
    <row r="2" spans="1:2" x14ac:dyDescent="0.25">
      <c r="B2" t="s">
        <v>3</v>
      </c>
    </row>
    <row r="4" spans="1:2" x14ac:dyDescent="0.25">
      <c r="B4" t="s">
        <v>33</v>
      </c>
    </row>
    <row r="5" spans="1:2" x14ac:dyDescent="0.25">
      <c r="B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defaultColWidth="11" defaultRowHeight="15.75" x14ac:dyDescent="0.25"/>
  <sheetData>
    <row r="2" spans="1:5" x14ac:dyDescent="0.25">
      <c r="C2" s="25"/>
    </row>
    <row r="7" spans="1:5" x14ac:dyDescent="0.25">
      <c r="E7" s="12"/>
    </row>
    <row r="9" spans="1:5" x14ac:dyDescent="0.25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defaultColWidth="11" defaultRowHeight="15.75" x14ac:dyDescent="0.25"/>
  <sheetData>
    <row r="4" spans="2:9" x14ac:dyDescent="0.25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5">
      <c r="B10" t="s">
        <v>36</v>
      </c>
      <c r="D10">
        <v>1.25</v>
      </c>
      <c r="E10" t="s">
        <v>38</v>
      </c>
    </row>
    <row r="11" spans="2:9" x14ac:dyDescent="0.25">
      <c r="B11" t="s">
        <v>35</v>
      </c>
      <c r="D11">
        <v>1.41</v>
      </c>
      <c r="E11" t="s">
        <v>38</v>
      </c>
    </row>
    <row r="13" spans="2:9" x14ac:dyDescent="0.25">
      <c r="D13">
        <f>(D11-D10)*1000</f>
        <v>159.99999999999991</v>
      </c>
      <c r="E13" t="s">
        <v>37</v>
      </c>
    </row>
    <row r="14" spans="2:9" x14ac:dyDescent="0.25">
      <c r="D14">
        <v>236.5</v>
      </c>
      <c r="E14" t="s">
        <v>39</v>
      </c>
    </row>
    <row r="16" spans="2:9" x14ac:dyDescent="0.25">
      <c r="D16">
        <f>D13/D14</f>
        <v>0.67653276955602504</v>
      </c>
      <c r="E16" t="s">
        <v>40</v>
      </c>
    </row>
    <row r="18" spans="3:5" x14ac:dyDescent="0.25">
      <c r="D18">
        <v>1</v>
      </c>
      <c r="E18" t="s">
        <v>41</v>
      </c>
    </row>
    <row r="19" spans="3:5" x14ac:dyDescent="0.25">
      <c r="D19">
        <f>D11/D10</f>
        <v>1.1279999999999999</v>
      </c>
      <c r="E19" t="s">
        <v>42</v>
      </c>
    </row>
    <row r="24" spans="3:5" x14ac:dyDescent="0.25">
      <c r="C24" t="s">
        <v>44</v>
      </c>
      <c r="D24" t="s">
        <v>45</v>
      </c>
      <c r="E24">
        <v>4.1000000000000002E-2</v>
      </c>
    </row>
    <row r="25" spans="3:5" x14ac:dyDescent="0.25">
      <c r="D25" t="s">
        <v>46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DB76"/>
  <sheetViews>
    <sheetView showGridLines="0" tabSelected="1" topLeftCell="M13" zoomScale="88" zoomScaleNormal="125" workbookViewId="0">
      <selection activeCell="Z30" sqref="Z30"/>
    </sheetView>
  </sheetViews>
  <sheetFormatPr defaultColWidth="11.125" defaultRowHeight="15.75" x14ac:dyDescent="0.25"/>
  <cols>
    <col min="2" max="2" width="36.125" customWidth="1"/>
    <col min="64" max="67" width="9.5" customWidth="1"/>
    <col min="68" max="68" width="10.625" customWidth="1"/>
    <col min="69" max="69" width="11.625" bestFit="1" customWidth="1"/>
    <col min="70" max="70" width="11.125" style="5"/>
    <col min="74" max="74" width="14" customWidth="1"/>
    <col min="75" max="75" width="14.625" customWidth="1"/>
    <col min="76" max="77" width="18.875" customWidth="1"/>
    <col min="78" max="78" width="18.375" style="15" customWidth="1"/>
    <col min="79" max="79" width="24.875" style="27" customWidth="1"/>
    <col min="80" max="82" width="24.875" customWidth="1"/>
    <col min="89" max="90" width="13.875" customWidth="1"/>
    <col min="91" max="91" width="19" customWidth="1"/>
    <col min="92" max="92" width="27" customWidth="1"/>
    <col min="93" max="93" width="20.375" customWidth="1"/>
    <col min="94" max="94" width="18.375" customWidth="1"/>
    <col min="95" max="96" width="11.625" bestFit="1" customWidth="1"/>
  </cols>
  <sheetData>
    <row r="2" spans="1:106" x14ac:dyDescent="0.25">
      <c r="BR2"/>
      <c r="BZ2"/>
      <c r="CA2"/>
    </row>
    <row r="3" spans="1:106" x14ac:dyDescent="0.25">
      <c r="BR3"/>
      <c r="BZ3"/>
      <c r="CA3"/>
    </row>
    <row r="4" spans="1:106" x14ac:dyDescent="0.25">
      <c r="BR4"/>
      <c r="BZ4"/>
      <c r="CA4"/>
    </row>
    <row r="5" spans="1:106" x14ac:dyDescent="0.25">
      <c r="BR5"/>
      <c r="BZ5"/>
      <c r="CA5"/>
    </row>
    <row r="6" spans="1:106" x14ac:dyDescent="0.25">
      <c r="BR6"/>
      <c r="BZ6"/>
      <c r="CA6"/>
    </row>
    <row r="7" spans="1:106" x14ac:dyDescent="0.25">
      <c r="BR7"/>
      <c r="BZ7"/>
      <c r="CA7"/>
    </row>
    <row r="8" spans="1:106" x14ac:dyDescent="0.25">
      <c r="BR8"/>
      <c r="BZ8"/>
      <c r="CA8"/>
    </row>
    <row r="9" spans="1:106" x14ac:dyDescent="0.25">
      <c r="BR9"/>
      <c r="BZ9"/>
      <c r="CA9"/>
    </row>
    <row r="10" spans="1:106" x14ac:dyDescent="0.25">
      <c r="BR10"/>
      <c r="BZ10"/>
      <c r="CA10"/>
    </row>
    <row r="11" spans="1:106" x14ac:dyDescent="0.25">
      <c r="BR11"/>
      <c r="BZ11"/>
      <c r="CA11"/>
    </row>
    <row r="12" spans="1:106" x14ac:dyDescent="0.25">
      <c r="V12" t="s">
        <v>128</v>
      </c>
      <c r="Y12" t="s">
        <v>129</v>
      </c>
      <c r="BD12" s="46" t="s">
        <v>14</v>
      </c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38"/>
      <c r="BQ12" s="47" t="s">
        <v>27</v>
      </c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37"/>
    </row>
    <row r="13" spans="1:106" ht="63" x14ac:dyDescent="0.25">
      <c r="A13" s="3" t="s">
        <v>13</v>
      </c>
      <c r="B13" s="3" t="s">
        <v>15</v>
      </c>
      <c r="C13" s="3" t="s">
        <v>130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131</v>
      </c>
      <c r="L13" s="3" t="s">
        <v>132</v>
      </c>
      <c r="M13" s="3" t="s">
        <v>133</v>
      </c>
      <c r="N13" s="5" t="s">
        <v>148</v>
      </c>
      <c r="P13" t="s">
        <v>31</v>
      </c>
      <c r="Q13" t="s">
        <v>134</v>
      </c>
      <c r="R13" s="5" t="s">
        <v>135</v>
      </c>
      <c r="S13" s="5" t="s">
        <v>136</v>
      </c>
      <c r="T13" t="s">
        <v>137</v>
      </c>
      <c r="U13" t="s">
        <v>138</v>
      </c>
      <c r="V13" t="s">
        <v>139</v>
      </c>
      <c r="W13" t="s">
        <v>140</v>
      </c>
      <c r="X13" t="s">
        <v>141</v>
      </c>
      <c r="Y13" t="s">
        <v>28</v>
      </c>
      <c r="Z13" t="s">
        <v>29</v>
      </c>
      <c r="AA13" t="s">
        <v>142</v>
      </c>
      <c r="AB13" t="s">
        <v>143</v>
      </c>
      <c r="AC13" t="s">
        <v>30</v>
      </c>
      <c r="AD13" s="40" t="s">
        <v>213</v>
      </c>
      <c r="AE13" s="40" t="s">
        <v>214</v>
      </c>
      <c r="AF13" s="40" t="s">
        <v>215</v>
      </c>
      <c r="AG13" s="40" t="s">
        <v>216</v>
      </c>
      <c r="AH13" s="40"/>
      <c r="AI13" s="40" t="s">
        <v>217</v>
      </c>
      <c r="AJ13" s="40" t="s">
        <v>218</v>
      </c>
      <c r="AK13" s="40" t="s">
        <v>219</v>
      </c>
      <c r="AL13" s="40" t="s">
        <v>220</v>
      </c>
      <c r="AM13" s="40" t="s">
        <v>147</v>
      </c>
      <c r="AN13" s="40" t="s">
        <v>221</v>
      </c>
      <c r="AO13" s="40" t="s">
        <v>222</v>
      </c>
      <c r="AP13" s="40" t="s">
        <v>223</v>
      </c>
      <c r="AQ13" s="40" t="s">
        <v>224</v>
      </c>
      <c r="AR13" s="40" t="s">
        <v>225</v>
      </c>
      <c r="AS13" s="40" t="s">
        <v>226</v>
      </c>
      <c r="AT13" s="40" t="s">
        <v>227</v>
      </c>
      <c r="AU13" s="40" t="s">
        <v>228</v>
      </c>
      <c r="AV13" s="40" t="s">
        <v>229</v>
      </c>
      <c r="AW13" s="40" t="s">
        <v>230</v>
      </c>
      <c r="BD13" s="3" t="s">
        <v>130</v>
      </c>
      <c r="BE13" s="3" t="s">
        <v>16</v>
      </c>
      <c r="BF13" s="3" t="s">
        <v>17</v>
      </c>
      <c r="BG13" s="3" t="s">
        <v>18</v>
      </c>
      <c r="BH13" s="3" t="s">
        <v>19</v>
      </c>
      <c r="BI13" s="3" t="s">
        <v>20</v>
      </c>
      <c r="BJ13" s="3" t="s">
        <v>21</v>
      </c>
      <c r="BK13" s="3" t="s">
        <v>22</v>
      </c>
      <c r="BL13" s="3" t="s">
        <v>131</v>
      </c>
      <c r="BM13" s="3" t="s">
        <v>132</v>
      </c>
      <c r="BN13" s="3" t="s">
        <v>133</v>
      </c>
      <c r="BO13" s="3" t="s">
        <v>149</v>
      </c>
      <c r="BP13" s="5" t="s">
        <v>31</v>
      </c>
      <c r="BQ13" s="11" t="s">
        <v>51</v>
      </c>
      <c r="BR13"/>
      <c r="BU13" s="10" t="s">
        <v>26</v>
      </c>
      <c r="BV13" s="7" t="s">
        <v>43</v>
      </c>
      <c r="BW13" s="7" t="s">
        <v>47</v>
      </c>
      <c r="BX13" s="7" t="s">
        <v>48</v>
      </c>
      <c r="BY13" s="7" t="s">
        <v>24</v>
      </c>
      <c r="BZ13" s="7"/>
      <c r="CA13" s="7" t="s">
        <v>25</v>
      </c>
      <c r="CB13" s="7" t="s">
        <v>144</v>
      </c>
      <c r="CC13" s="16" t="s">
        <v>145</v>
      </c>
      <c r="CD13" s="28" t="s">
        <v>146</v>
      </c>
      <c r="CE13" s="28" t="s">
        <v>147</v>
      </c>
      <c r="CF13" s="30"/>
      <c r="CG13" s="26"/>
      <c r="CH13" s="19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</row>
    <row r="14" spans="1:106" x14ac:dyDescent="0.25">
      <c r="A14" s="3"/>
      <c r="B14" s="3" t="s">
        <v>198</v>
      </c>
      <c r="C14" s="3" t="s">
        <v>197</v>
      </c>
      <c r="D14" s="3" t="s">
        <v>197</v>
      </c>
      <c r="E14" s="3">
        <v>9.6007300000000004</v>
      </c>
      <c r="F14" s="3" t="s">
        <v>197</v>
      </c>
      <c r="G14" s="3" t="s">
        <v>197</v>
      </c>
      <c r="H14" s="3" t="s">
        <v>197</v>
      </c>
      <c r="I14" s="3" t="s">
        <v>197</v>
      </c>
      <c r="J14" s="3" t="s">
        <v>197</v>
      </c>
      <c r="K14" s="3" t="s">
        <v>197</v>
      </c>
      <c r="L14" s="3"/>
      <c r="M14" s="3"/>
      <c r="N14" s="3"/>
      <c r="P14" s="2">
        <v>45623</v>
      </c>
      <c r="Q14" s="31">
        <v>0.54166666666666663</v>
      </c>
      <c r="R14">
        <v>1</v>
      </c>
      <c r="S14" t="s">
        <v>49</v>
      </c>
      <c r="T14">
        <v>1</v>
      </c>
      <c r="V14" t="s">
        <v>23</v>
      </c>
      <c r="W14" t="s">
        <v>23</v>
      </c>
      <c r="X14">
        <v>0</v>
      </c>
      <c r="Y14">
        <v>7.1323999999999996</v>
      </c>
      <c r="Z14">
        <v>7.1452</v>
      </c>
      <c r="AA14">
        <v>8</v>
      </c>
      <c r="AB14">
        <f>Z14-Y14</f>
        <v>1.2800000000000367E-2</v>
      </c>
      <c r="AC14">
        <f>AB14/(AA14/1000)</f>
        <v>1.6000000000000458</v>
      </c>
      <c r="AD14" s="41"/>
      <c r="AF14" s="42" t="e">
        <f>AE14/AD14</f>
        <v>#DIV/0!</v>
      </c>
      <c r="AG14" s="41" t="e">
        <f>AF14*AC14</f>
        <v>#DIV/0!</v>
      </c>
      <c r="AH14" s="41"/>
      <c r="AI14" s="43">
        <f>$BF$14-BF14</f>
        <v>0</v>
      </c>
      <c r="AJ14" s="41">
        <f>BE14/R14</f>
        <v>0</v>
      </c>
      <c r="AK14" s="43" t="e">
        <f>BE14/AI14</f>
        <v>#DIV/0!</v>
      </c>
      <c r="AL14" s="44">
        <f>AC14/R14</f>
        <v>1.6000000000000458</v>
      </c>
      <c r="AM14" s="41" t="e">
        <f>AC14/AI14</f>
        <v>#DIV/0!</v>
      </c>
      <c r="AN14" s="41"/>
      <c r="AO14" s="43"/>
      <c r="AP14" s="41"/>
      <c r="AQ14" s="41"/>
      <c r="AR14" s="41"/>
      <c r="AS14" s="41"/>
      <c r="AT14" s="41"/>
      <c r="AU14" s="41"/>
      <c r="AV14" s="41"/>
      <c r="AW14" s="41"/>
      <c r="BD14" t="str">
        <f t="shared" ref="BD14:BO14" si="0">IF(ISNUMBER(C14),C14*1000/100,"")</f>
        <v/>
      </c>
      <c r="BE14">
        <f>IF(ISNUMBER(D14),D14*1000/100,0)</f>
        <v>0</v>
      </c>
      <c r="BF14">
        <f t="shared" si="0"/>
        <v>96.007300000000001</v>
      </c>
      <c r="BG14" t="str">
        <f t="shared" si="0"/>
        <v/>
      </c>
      <c r="BH14" t="str">
        <f t="shared" si="0"/>
        <v/>
      </c>
      <c r="BI14" t="str">
        <f t="shared" si="0"/>
        <v/>
      </c>
      <c r="BJ14" t="str">
        <f t="shared" si="0"/>
        <v/>
      </c>
      <c r="BK14" t="str">
        <f t="shared" si="0"/>
        <v/>
      </c>
      <c r="BL14" t="str">
        <f t="shared" si="0"/>
        <v/>
      </c>
      <c r="BM14" t="str">
        <f t="shared" si="0"/>
        <v/>
      </c>
      <c r="BN14" t="str">
        <f t="shared" si="0"/>
        <v/>
      </c>
      <c r="BO14" t="str">
        <f t="shared" si="0"/>
        <v/>
      </c>
      <c r="BP14" s="11"/>
      <c r="BQ14" s="11" t="str">
        <f>S14</f>
        <v>r1</v>
      </c>
      <c r="BR14" s="6"/>
      <c r="BS14" t="str">
        <f t="shared" ref="BS14:BS21" si="1">B14</f>
        <v>Jeff_SloHot50_Biostat 2L-26-1</v>
      </c>
      <c r="BU14" s="5"/>
      <c r="BW14" s="6"/>
      <c r="BX14" s="6"/>
      <c r="BY14" s="6">
        <f>$BF$14-BF14</f>
        <v>0</v>
      </c>
      <c r="BZ14" s="6"/>
      <c r="CA14" s="6">
        <f>BY14/R14</f>
        <v>0</v>
      </c>
      <c r="CB14" s="6"/>
      <c r="CC14" s="17"/>
      <c r="CD14" s="15"/>
      <c r="CE14" s="15"/>
      <c r="CG14" s="14"/>
      <c r="CH14" s="14"/>
    </row>
    <row r="15" spans="1:106" x14ac:dyDescent="0.25">
      <c r="A15" s="3"/>
      <c r="B15" s="3" t="s">
        <v>199</v>
      </c>
      <c r="C15" s="3" t="s">
        <v>197</v>
      </c>
      <c r="D15" s="3" t="s">
        <v>197</v>
      </c>
      <c r="E15" s="3">
        <v>9.5408299999999997</v>
      </c>
      <c r="F15" s="3" t="s">
        <v>197</v>
      </c>
      <c r="G15" s="3" t="s">
        <v>197</v>
      </c>
      <c r="H15" s="3" t="s">
        <v>197</v>
      </c>
      <c r="I15" s="3" t="s">
        <v>197</v>
      </c>
      <c r="J15" s="3" t="s">
        <v>197</v>
      </c>
      <c r="K15" s="3"/>
      <c r="L15" s="3"/>
      <c r="M15" s="3"/>
      <c r="N15" s="3"/>
      <c r="P15" s="2"/>
      <c r="Q15" s="31"/>
      <c r="R15">
        <v>1</v>
      </c>
      <c r="S15" t="s">
        <v>50</v>
      </c>
      <c r="T15">
        <v>2</v>
      </c>
      <c r="U15">
        <v>8</v>
      </c>
      <c r="V15" t="s">
        <v>23</v>
      </c>
      <c r="W15" t="s">
        <v>23</v>
      </c>
      <c r="X15">
        <v>0</v>
      </c>
      <c r="Y15">
        <v>7.1073000000000004</v>
      </c>
      <c r="Z15">
        <v>7.1222000000000003</v>
      </c>
      <c r="AA15">
        <v>8</v>
      </c>
      <c r="AB15">
        <f t="shared" ref="AB15:AB29" si="2">Z15-Y15</f>
        <v>1.4899999999999913E-2</v>
      </c>
      <c r="AC15">
        <f t="shared" ref="AC15:AC29" si="3">AB15/(AA15/1000)</f>
        <v>1.8624999999999892</v>
      </c>
      <c r="AD15" s="41"/>
      <c r="AF15" s="42" t="e">
        <f t="shared" ref="AF15:AF18" si="4">AE15/AD15</f>
        <v>#DIV/0!</v>
      </c>
      <c r="AG15" s="41" t="e">
        <f t="shared" ref="AG15:AG17" si="5">AF15*AC15</f>
        <v>#DIV/0!</v>
      </c>
      <c r="AH15" s="41"/>
      <c r="AI15" s="43">
        <f>$BF$15-BF15</f>
        <v>0</v>
      </c>
      <c r="AJ15" s="41">
        <f t="shared" ref="AJ15:AJ17" si="6">BE15/R15</f>
        <v>0</v>
      </c>
      <c r="AK15" s="43" t="e">
        <f t="shared" ref="AK15:AK17" si="7">BE15/AI15</f>
        <v>#DIV/0!</v>
      </c>
      <c r="AL15" s="44">
        <f t="shared" ref="AL15:AL17" si="8">AC15/R15</f>
        <v>1.8624999999999892</v>
      </c>
      <c r="AM15" s="41" t="e">
        <f>AC15/AI15</f>
        <v>#DIV/0!</v>
      </c>
      <c r="AN15" s="41"/>
      <c r="AO15" s="43"/>
      <c r="AP15" s="41"/>
      <c r="AQ15" s="41"/>
      <c r="AR15" s="41"/>
      <c r="AS15" s="41"/>
      <c r="AT15" s="41"/>
      <c r="AU15" s="41"/>
      <c r="AV15" s="41"/>
      <c r="AW15" s="41"/>
      <c r="BD15" t="str">
        <f t="shared" ref="BD15:BD29" si="9">IF(ISNUMBER(C15),C15*1000/100,"")</f>
        <v/>
      </c>
      <c r="BE15">
        <f t="shared" ref="BE15:BE28" si="10">IF(ISNUMBER(D15),D15*1000/100,0)</f>
        <v>0</v>
      </c>
      <c r="BF15">
        <f t="shared" ref="BF15:BF29" si="11">IF(ISNUMBER(E15),E15*1000/100,"")</f>
        <v>95.408299999999997</v>
      </c>
      <c r="BG15" t="str">
        <f t="shared" ref="BG15:BG29" si="12">IF(ISNUMBER(F15),F15*1000/100,"")</f>
        <v/>
      </c>
      <c r="BH15" t="str">
        <f t="shared" ref="BH15:BH29" si="13">IF(ISNUMBER(G15),G15*1000/100,"")</f>
        <v/>
      </c>
      <c r="BI15" t="str">
        <f t="shared" ref="BI15:BI29" si="14">IF(ISNUMBER(H15),H15*1000/100,"")</f>
        <v/>
      </c>
      <c r="BJ15" t="str">
        <f t="shared" ref="BJ15:BJ29" si="15">IF(ISNUMBER(I15),I15*1000/100,"")</f>
        <v/>
      </c>
      <c r="BK15" t="str">
        <f t="shared" ref="BK15:BK29" si="16">IF(ISNUMBER(J15),J15*1000/100,"")</f>
        <v/>
      </c>
      <c r="BL15" t="str">
        <f t="shared" ref="BL15:BL29" si="17">IF(ISNUMBER(K15),K15*1000/100,"")</f>
        <v/>
      </c>
      <c r="BM15" t="str">
        <f t="shared" ref="BM15:BM29" si="18">IF(ISNUMBER(L15),L15*1000/100,"")</f>
        <v/>
      </c>
      <c r="BN15" t="str">
        <f t="shared" ref="BN15:BN29" si="19">IF(ISNUMBER(M15),M15*1000/100,"")</f>
        <v/>
      </c>
      <c r="BO15" t="str">
        <f t="shared" ref="BO15:BO29" si="20">IF(ISNUMBER(N15),N15*1000/100,"")</f>
        <v/>
      </c>
      <c r="BP15" s="11"/>
      <c r="BQ15" s="11" t="str">
        <f>S15</f>
        <v>r2</v>
      </c>
      <c r="BR15" s="6"/>
      <c r="BS15" t="str">
        <f t="shared" si="1"/>
        <v>Jeff_SloHot50_Biostat 2L-26-2</v>
      </c>
      <c r="BT15" s="9"/>
      <c r="BU15" s="32"/>
      <c r="BW15" s="6"/>
      <c r="BX15" s="6"/>
      <c r="BY15" s="6">
        <f>$BF$15-BF15</f>
        <v>0</v>
      </c>
      <c r="BZ15" s="6"/>
      <c r="CA15" s="6">
        <f t="shared" ref="CA15:CA21" si="21">BY15/R15</f>
        <v>0</v>
      </c>
      <c r="CB15" s="6"/>
      <c r="CC15" s="17"/>
      <c r="CD15" s="15"/>
      <c r="CE15" s="15"/>
      <c r="CG15" s="14"/>
      <c r="CH15" s="14"/>
    </row>
    <row r="16" spans="1:106" x14ac:dyDescent="0.25">
      <c r="A16" s="3"/>
      <c r="B16" s="3" t="s">
        <v>200</v>
      </c>
      <c r="C16" s="3" t="s">
        <v>197</v>
      </c>
      <c r="D16" s="3" t="s">
        <v>197</v>
      </c>
      <c r="E16" s="3">
        <v>9.5364100000000001</v>
      </c>
      <c r="F16" s="3" t="s">
        <v>197</v>
      </c>
      <c r="G16" s="3" t="s">
        <v>197</v>
      </c>
      <c r="H16" s="3" t="s">
        <v>197</v>
      </c>
      <c r="I16" s="3" t="s">
        <v>197</v>
      </c>
      <c r="J16" s="3" t="s">
        <v>197</v>
      </c>
      <c r="K16" s="3"/>
      <c r="L16" s="3"/>
      <c r="M16" s="3"/>
      <c r="N16" s="3"/>
      <c r="P16" s="2"/>
      <c r="Q16" s="31">
        <v>0.64583333333333337</v>
      </c>
      <c r="R16">
        <f>R14+2.5</f>
        <v>3.5</v>
      </c>
      <c r="S16" t="s">
        <v>49</v>
      </c>
      <c r="T16">
        <v>3</v>
      </c>
      <c r="U16">
        <v>8</v>
      </c>
      <c r="V16" t="s">
        <v>23</v>
      </c>
      <c r="W16">
        <v>0.94</v>
      </c>
      <c r="X16">
        <v>0</v>
      </c>
      <c r="Y16">
        <v>7.1367000000000003</v>
      </c>
      <c r="Z16">
        <v>7.1524999999999999</v>
      </c>
      <c r="AA16">
        <v>8</v>
      </c>
      <c r="AB16">
        <f t="shared" si="2"/>
        <v>1.5799999999999592E-2</v>
      </c>
      <c r="AC16">
        <f t="shared" si="3"/>
        <v>1.974999999999949</v>
      </c>
      <c r="AD16" s="41"/>
      <c r="AF16" s="42" t="e">
        <f>AE16/AD16</f>
        <v>#DIV/0!</v>
      </c>
      <c r="AG16" s="41" t="e">
        <f t="shared" si="5"/>
        <v>#DIV/0!</v>
      </c>
      <c r="AH16" s="41"/>
      <c r="AI16" s="43">
        <f>$BF$14-BF16</f>
        <v>0.64320000000000732</v>
      </c>
      <c r="AJ16" s="41">
        <f t="shared" si="6"/>
        <v>0</v>
      </c>
      <c r="AK16" s="43">
        <f t="shared" si="7"/>
        <v>0</v>
      </c>
      <c r="AL16" s="44">
        <f t="shared" si="8"/>
        <v>0.56428571428569974</v>
      </c>
      <c r="AM16" s="44">
        <f>AC16/AI16</f>
        <v>3.0705845771143134</v>
      </c>
      <c r="AN16" s="41"/>
      <c r="AO16" s="43"/>
      <c r="AP16" s="41">
        <f t="shared" ref="AP16:AP17" si="22">BF14-BF16</f>
        <v>0.64320000000000732</v>
      </c>
      <c r="AQ16" s="44">
        <f>AP16/(R16-R14)</f>
        <v>0.25728000000000295</v>
      </c>
      <c r="AR16" s="44">
        <f>(AC16-AC14)/(AI16-AI14)</f>
        <v>0.58302238805954432</v>
      </c>
      <c r="AS16" s="43">
        <f>AR16/AQ16</f>
        <v>2.2661006998582773</v>
      </c>
      <c r="AT16" s="44">
        <f>(BE16-BE14)/(AI16-AI14)</f>
        <v>0</v>
      </c>
      <c r="AU16" s="45">
        <f>AT16/AP16</f>
        <v>0</v>
      </c>
      <c r="AV16" s="44"/>
      <c r="AW16" s="44">
        <f>AK16+AM16</f>
        <v>3.0705845771143134</v>
      </c>
      <c r="BD16" t="str">
        <f t="shared" si="9"/>
        <v/>
      </c>
      <c r="BE16">
        <f t="shared" si="10"/>
        <v>0</v>
      </c>
      <c r="BF16">
        <f t="shared" si="11"/>
        <v>95.364099999999993</v>
      </c>
      <c r="BG16" t="str">
        <f t="shared" si="12"/>
        <v/>
      </c>
      <c r="BH16" t="str">
        <f t="shared" si="13"/>
        <v/>
      </c>
      <c r="BI16" t="str">
        <f t="shared" si="14"/>
        <v/>
      </c>
      <c r="BJ16" t="str">
        <f t="shared" si="15"/>
        <v/>
      </c>
      <c r="BK16" t="str">
        <f t="shared" si="16"/>
        <v/>
      </c>
      <c r="BL16" t="str">
        <f t="shared" si="17"/>
        <v/>
      </c>
      <c r="BM16" t="str">
        <f t="shared" si="18"/>
        <v/>
      </c>
      <c r="BN16" t="str">
        <f t="shared" si="19"/>
        <v/>
      </c>
      <c r="BO16" t="str">
        <f t="shared" si="20"/>
        <v/>
      </c>
      <c r="BP16" s="11"/>
      <c r="BQ16" s="11" t="str">
        <f t="shared" ref="BQ16:BQ21" si="23">S16</f>
        <v>r1</v>
      </c>
      <c r="BR16" s="6"/>
      <c r="BS16" t="str">
        <f t="shared" si="1"/>
        <v>Jeff_SloHot50_Biostat 2L-26-3</v>
      </c>
      <c r="BT16" s="9"/>
      <c r="BU16" s="32"/>
      <c r="BV16" s="6"/>
      <c r="BW16" s="13"/>
      <c r="BX16" s="13"/>
      <c r="BY16" s="6">
        <f>$BF$14-BF16</f>
        <v>0.64320000000000732</v>
      </c>
      <c r="BZ16" s="6"/>
      <c r="CA16" s="6">
        <f>BY16/R16</f>
        <v>0.18377142857143067</v>
      </c>
      <c r="CB16" s="6">
        <f>BY16-BY14</f>
        <v>0.64320000000000732</v>
      </c>
      <c r="CC16" s="17">
        <f>CB16/(R16-R14)</f>
        <v>0.25728000000000295</v>
      </c>
      <c r="CD16" s="17">
        <f>AC16-AC14</f>
        <v>0.37499999999990319</v>
      </c>
      <c r="CE16" s="18">
        <f>CD16/CB16</f>
        <v>0.58302238805954432</v>
      </c>
      <c r="CF16" s="8"/>
      <c r="CG16" s="20"/>
      <c r="CH16" s="14"/>
      <c r="CI16" s="14"/>
      <c r="CN16" s="9"/>
      <c r="CO16" s="9"/>
      <c r="CP16" s="6"/>
      <c r="CQ16" s="6"/>
      <c r="CR16" s="6"/>
      <c r="CS16" s="9"/>
      <c r="CZ16" s="6"/>
      <c r="DA16" s="6"/>
      <c r="DB16" s="6"/>
    </row>
    <row r="17" spans="1:106" x14ac:dyDescent="0.25">
      <c r="A17" s="3"/>
      <c r="B17" s="3" t="s">
        <v>201</v>
      </c>
      <c r="C17" s="3" t="s">
        <v>197</v>
      </c>
      <c r="D17" s="3" t="s">
        <v>197</v>
      </c>
      <c r="E17" s="3">
        <v>9.4993499999999997</v>
      </c>
      <c r="F17" s="3" t="s">
        <v>197</v>
      </c>
      <c r="G17" s="3" t="s">
        <v>197</v>
      </c>
      <c r="H17" s="3" t="s">
        <v>197</v>
      </c>
      <c r="I17" s="3" t="s">
        <v>197</v>
      </c>
      <c r="J17" s="3" t="s">
        <v>197</v>
      </c>
      <c r="K17" s="3"/>
      <c r="L17" s="3"/>
      <c r="M17" s="3"/>
      <c r="N17" s="3"/>
      <c r="P17" s="2"/>
      <c r="Q17" s="31"/>
      <c r="R17">
        <f>R15+2.5</f>
        <v>3.5</v>
      </c>
      <c r="S17" t="s">
        <v>50</v>
      </c>
      <c r="T17">
        <v>4</v>
      </c>
      <c r="U17">
        <v>8</v>
      </c>
      <c r="V17" t="s">
        <v>23</v>
      </c>
      <c r="W17">
        <v>1.1000000000000001</v>
      </c>
      <c r="X17">
        <v>0</v>
      </c>
      <c r="Y17">
        <v>7.1390000000000002</v>
      </c>
      <c r="Z17">
        <v>7.1550000000000002</v>
      </c>
      <c r="AA17">
        <v>8</v>
      </c>
      <c r="AB17">
        <f t="shared" si="2"/>
        <v>1.6000000000000014E-2</v>
      </c>
      <c r="AC17">
        <f t="shared" si="3"/>
        <v>2.0000000000000018</v>
      </c>
      <c r="AD17" s="41"/>
      <c r="AF17" s="42" t="e">
        <f t="shared" si="4"/>
        <v>#DIV/0!</v>
      </c>
      <c r="AG17" s="41" t="e">
        <f t="shared" si="5"/>
        <v>#DIV/0!</v>
      </c>
      <c r="AH17" s="41"/>
      <c r="AI17" s="43">
        <f>$BF$15-BF17</f>
        <v>0.41479999999999961</v>
      </c>
      <c r="AJ17" s="41">
        <f t="shared" si="6"/>
        <v>0</v>
      </c>
      <c r="AK17" s="43">
        <f t="shared" si="7"/>
        <v>0</v>
      </c>
      <c r="AL17" s="44">
        <f t="shared" si="8"/>
        <v>0.57142857142857195</v>
      </c>
      <c r="AM17" s="44">
        <f t="shared" ref="AM17:AM18" si="24">AC17/AI17</f>
        <v>4.821600771456132</v>
      </c>
      <c r="AN17" s="41"/>
      <c r="AO17" s="43"/>
      <c r="AP17" s="41">
        <f t="shared" si="22"/>
        <v>0.41479999999999961</v>
      </c>
      <c r="AQ17" s="44">
        <f t="shared" ref="AQ17:AQ18" si="25">AP17/(R17-R15)</f>
        <v>0.16591999999999985</v>
      </c>
      <c r="AR17" s="44">
        <f t="shared" ref="AR17:AR18" si="26">(AC17-AC15)/(AI17-AI15)</f>
        <v>0.3314850530376392</v>
      </c>
      <c r="AS17" s="43">
        <f t="shared" ref="AS17:AS18" si="27">AR17/AQ17</f>
        <v>1.9978607343155708</v>
      </c>
      <c r="AT17" s="44">
        <f>(BE17-BE15)/(AI17-AI15)</f>
        <v>0</v>
      </c>
      <c r="AU17" s="45">
        <f t="shared" ref="AU17:AU18" si="28">AT17/AP17</f>
        <v>0</v>
      </c>
      <c r="AV17" s="44"/>
      <c r="AW17" s="44">
        <f t="shared" ref="AW17:AW18" si="29">AK17+AM17</f>
        <v>4.821600771456132</v>
      </c>
      <c r="BD17" t="str">
        <f t="shared" si="9"/>
        <v/>
      </c>
      <c r="BE17">
        <f t="shared" si="10"/>
        <v>0</v>
      </c>
      <c r="BF17">
        <f t="shared" si="11"/>
        <v>94.993499999999997</v>
      </c>
      <c r="BG17" t="str">
        <f t="shared" si="12"/>
        <v/>
      </c>
      <c r="BH17" t="str">
        <f t="shared" si="13"/>
        <v/>
      </c>
      <c r="BI17" t="str">
        <f t="shared" si="14"/>
        <v/>
      </c>
      <c r="BJ17" t="str">
        <f t="shared" si="15"/>
        <v/>
      </c>
      <c r="BK17" t="str">
        <f t="shared" si="16"/>
        <v/>
      </c>
      <c r="BL17" t="str">
        <f t="shared" si="17"/>
        <v/>
      </c>
      <c r="BM17" t="str">
        <f t="shared" si="18"/>
        <v/>
      </c>
      <c r="BN17" t="str">
        <f t="shared" si="19"/>
        <v/>
      </c>
      <c r="BO17" t="str">
        <f t="shared" si="20"/>
        <v/>
      </c>
      <c r="BP17" s="11"/>
      <c r="BQ17" s="11" t="str">
        <f t="shared" si="23"/>
        <v>r2</v>
      </c>
      <c r="BR17" s="6"/>
      <c r="BS17" t="str">
        <f t="shared" si="1"/>
        <v>Jeff_SloHot50_Biostat 2L-26-4</v>
      </c>
      <c r="BT17" s="9"/>
      <c r="BU17" s="32"/>
      <c r="BV17" s="6"/>
      <c r="BW17" s="13"/>
      <c r="BX17" s="13"/>
      <c r="BY17" s="6">
        <f>$BF$15-BF17</f>
        <v>0.41479999999999961</v>
      </c>
      <c r="BZ17" s="6"/>
      <c r="CA17" s="6">
        <f t="shared" si="21"/>
        <v>0.1185142857142856</v>
      </c>
      <c r="CB17" s="6">
        <f t="shared" ref="CB17:CB25" si="30">BY17-BY15</f>
        <v>0.41479999999999961</v>
      </c>
      <c r="CC17" s="17">
        <f t="shared" ref="CC17:CC21" si="31">CB17/(R17-R15)</f>
        <v>0.16591999999999985</v>
      </c>
      <c r="CD17" s="17">
        <f>AC17-AC15</f>
        <v>0.13750000000001261</v>
      </c>
      <c r="CE17" s="18">
        <f>CD17/CB17</f>
        <v>0.3314850530376392</v>
      </c>
      <c r="CF17" s="8"/>
      <c r="CG17" s="20"/>
      <c r="CH17" s="20"/>
      <c r="CI17" s="14"/>
      <c r="CN17" s="9"/>
      <c r="CO17" s="9"/>
      <c r="CP17" s="6"/>
      <c r="CQ17" s="6"/>
      <c r="CR17" s="6"/>
      <c r="CS17" s="9"/>
      <c r="CZ17" s="6"/>
      <c r="DA17" s="6"/>
      <c r="DB17" s="6"/>
    </row>
    <row r="18" spans="1:106" x14ac:dyDescent="0.25">
      <c r="A18" s="3"/>
      <c r="B18" s="3" t="s">
        <v>202</v>
      </c>
      <c r="C18" s="3">
        <v>1.29E-2</v>
      </c>
      <c r="D18" s="3" t="s">
        <v>197</v>
      </c>
      <c r="E18" s="3">
        <v>9.0107599999999994</v>
      </c>
      <c r="F18" s="3" t="s">
        <v>197</v>
      </c>
      <c r="G18" s="3" t="s">
        <v>197</v>
      </c>
      <c r="H18" s="3" t="s">
        <v>197</v>
      </c>
      <c r="I18" s="3" t="s">
        <v>197</v>
      </c>
      <c r="J18" s="3" t="s">
        <v>197</v>
      </c>
      <c r="K18" s="3"/>
      <c r="L18" s="3"/>
      <c r="M18" s="3"/>
      <c r="N18" s="3"/>
      <c r="P18" s="2">
        <v>45624</v>
      </c>
      <c r="Q18" s="31">
        <v>0.26041666666666669</v>
      </c>
      <c r="R18">
        <f>R16+2.75</f>
        <v>6.25</v>
      </c>
      <c r="S18" t="s">
        <v>49</v>
      </c>
      <c r="T18">
        <v>5</v>
      </c>
      <c r="U18">
        <v>8</v>
      </c>
      <c r="V18" t="s">
        <v>23</v>
      </c>
      <c r="W18">
        <v>8.08</v>
      </c>
      <c r="X18" t="s">
        <v>23</v>
      </c>
      <c r="Y18">
        <v>7.1245000000000003</v>
      </c>
      <c r="Z18">
        <v>7.1715999999999998</v>
      </c>
      <c r="AA18">
        <v>8</v>
      </c>
      <c r="AB18">
        <f t="shared" si="2"/>
        <v>4.7099999999999476E-2</v>
      </c>
      <c r="AC18">
        <f t="shared" si="3"/>
        <v>5.8874999999999345</v>
      </c>
      <c r="AF18" s="42" t="e">
        <f t="shared" si="4"/>
        <v>#DIV/0!</v>
      </c>
      <c r="AG18" s="41" t="e">
        <f t="shared" ref="AG18:AG29" si="32">AF18*AC18</f>
        <v>#DIV/0!</v>
      </c>
      <c r="AH18" s="41"/>
      <c r="AI18" s="43">
        <f t="shared" ref="AI18" si="33">$BF$14-BF18</f>
        <v>5.8996999999999957</v>
      </c>
      <c r="AJ18" s="41">
        <f t="shared" ref="AJ18:AJ29" si="34">BE18/R18</f>
        <v>0</v>
      </c>
      <c r="AK18" s="43">
        <f t="shared" ref="AK18:AK29" si="35">BE18/AI18</f>
        <v>0</v>
      </c>
      <c r="AL18" s="44">
        <f t="shared" ref="AL18:AL29" si="36">AC18/R18</f>
        <v>0.94199999999998951</v>
      </c>
      <c r="AM18" s="44">
        <f t="shared" si="24"/>
        <v>0.99793209824227314</v>
      </c>
      <c r="AN18" s="41"/>
      <c r="AO18" s="43"/>
      <c r="AP18" s="41">
        <f t="shared" ref="AP18:AP29" si="37">BF16-BF18</f>
        <v>5.2564999999999884</v>
      </c>
      <c r="AQ18" s="44">
        <f t="shared" si="25"/>
        <v>1.9114545454545413</v>
      </c>
      <c r="AR18" s="44">
        <f t="shared" si="26"/>
        <v>0.74431656044896677</v>
      </c>
      <c r="AS18" s="43">
        <f t="shared" si="27"/>
        <v>0.38939799129357233</v>
      </c>
      <c r="AT18" s="44">
        <f t="shared" ref="AT18:AT29" si="38">(BE18-BE16)/(AI18-AI16)</f>
        <v>0</v>
      </c>
      <c r="AU18" s="45">
        <f t="shared" si="28"/>
        <v>0</v>
      </c>
      <c r="AV18" s="44"/>
      <c r="AW18" s="44">
        <f t="shared" si="29"/>
        <v>0.99793209824227314</v>
      </c>
      <c r="BD18">
        <f t="shared" si="9"/>
        <v>0.129</v>
      </c>
      <c r="BE18">
        <f t="shared" si="10"/>
        <v>0</v>
      </c>
      <c r="BF18">
        <f t="shared" si="11"/>
        <v>90.107600000000005</v>
      </c>
      <c r="BG18" t="str">
        <f t="shared" si="12"/>
        <v/>
      </c>
      <c r="BH18" t="str">
        <f t="shared" si="13"/>
        <v/>
      </c>
      <c r="BI18" t="str">
        <f t="shared" si="14"/>
        <v/>
      </c>
      <c r="BJ18" t="str">
        <f t="shared" si="15"/>
        <v/>
      </c>
      <c r="BK18" t="str">
        <f t="shared" si="16"/>
        <v/>
      </c>
      <c r="BL18" t="str">
        <f t="shared" si="17"/>
        <v/>
      </c>
      <c r="BM18" t="str">
        <f t="shared" si="18"/>
        <v/>
      </c>
      <c r="BN18" t="str">
        <f t="shared" si="19"/>
        <v/>
      </c>
      <c r="BO18" t="str">
        <f t="shared" si="20"/>
        <v/>
      </c>
      <c r="BP18" s="11"/>
      <c r="BQ18" s="11" t="str">
        <f t="shared" si="23"/>
        <v>r1</v>
      </c>
      <c r="BR18" s="6"/>
      <c r="BS18" t="str">
        <f t="shared" si="1"/>
        <v>Jeff_SloHot50_Biostat 2L-26-5</v>
      </c>
      <c r="BT18" s="9"/>
      <c r="BU18" s="32"/>
      <c r="BV18" s="6"/>
      <c r="BW18" s="13"/>
      <c r="BX18" s="6"/>
      <c r="BY18" s="6">
        <f>$BF$14-BF18</f>
        <v>5.8996999999999957</v>
      </c>
      <c r="BZ18" s="6"/>
      <c r="CA18" s="6">
        <f t="shared" si="21"/>
        <v>0.94395199999999935</v>
      </c>
      <c r="CB18" s="6">
        <f t="shared" si="30"/>
        <v>5.2564999999999884</v>
      </c>
      <c r="CC18" s="17">
        <f t="shared" si="31"/>
        <v>1.9114545454545413</v>
      </c>
      <c r="CD18" s="17"/>
      <c r="CE18" s="18"/>
      <c r="CF18" s="8"/>
      <c r="CG18" s="20"/>
      <c r="CH18" s="20"/>
      <c r="CI18" s="8"/>
      <c r="CN18" s="9"/>
      <c r="CO18" s="9"/>
      <c r="CP18" s="6"/>
      <c r="CQ18" s="6"/>
      <c r="CR18" s="6"/>
      <c r="CS18" s="9"/>
      <c r="CT18" s="9"/>
      <c r="CU18" s="9"/>
      <c r="CZ18" s="6"/>
      <c r="DA18" s="6"/>
      <c r="DB18" s="6"/>
    </row>
    <row r="19" spans="1:106" x14ac:dyDescent="0.25">
      <c r="A19" s="3"/>
      <c r="B19" s="3" t="s">
        <v>203</v>
      </c>
      <c r="C19" s="3">
        <v>1.102E-2</v>
      </c>
      <c r="D19" s="3" t="s">
        <v>197</v>
      </c>
      <c r="E19" s="3">
        <v>8.4862000000000002</v>
      </c>
      <c r="F19" s="3" t="s">
        <v>197</v>
      </c>
      <c r="G19" s="3" t="s">
        <v>197</v>
      </c>
      <c r="H19" s="3" t="s">
        <v>197</v>
      </c>
      <c r="I19" s="3" t="s">
        <v>197</v>
      </c>
      <c r="J19" s="3" t="s">
        <v>197</v>
      </c>
      <c r="K19" s="3"/>
      <c r="L19" s="3"/>
      <c r="M19" s="3"/>
      <c r="N19" s="3"/>
      <c r="P19" s="2"/>
      <c r="Q19" s="31"/>
      <c r="R19">
        <f>R17+2.75</f>
        <v>6.25</v>
      </c>
      <c r="S19" t="s">
        <v>50</v>
      </c>
      <c r="T19">
        <v>6</v>
      </c>
      <c r="U19">
        <v>8</v>
      </c>
      <c r="V19" t="s">
        <v>23</v>
      </c>
      <c r="W19">
        <v>13.3</v>
      </c>
      <c r="X19" t="s">
        <v>23</v>
      </c>
      <c r="Y19">
        <v>7.1580000000000004</v>
      </c>
      <c r="Z19">
        <v>7.2358000000000002</v>
      </c>
      <c r="AA19">
        <v>8</v>
      </c>
      <c r="AB19">
        <f t="shared" si="2"/>
        <v>7.7799999999999869E-2</v>
      </c>
      <c r="AC19">
        <f t="shared" si="3"/>
        <v>9.7249999999999837</v>
      </c>
      <c r="AF19" s="42" t="e">
        <f t="shared" ref="AF19:AF29" si="39">AE19/AD19</f>
        <v>#DIV/0!</v>
      </c>
      <c r="AG19" s="41" t="e">
        <f t="shared" si="32"/>
        <v>#DIV/0!</v>
      </c>
      <c r="AH19" s="41"/>
      <c r="AI19" s="43">
        <f t="shared" ref="AI19" si="40">$BF$15-BF19</f>
        <v>10.546299999999988</v>
      </c>
      <c r="AJ19" s="41">
        <f t="shared" si="34"/>
        <v>0</v>
      </c>
      <c r="AK19" s="43">
        <f t="shared" si="35"/>
        <v>0</v>
      </c>
      <c r="AL19" s="44">
        <f t="shared" si="36"/>
        <v>1.5559999999999974</v>
      </c>
      <c r="AM19" s="44">
        <f t="shared" ref="AM19:AM29" si="41">AC19/AI19</f>
        <v>0.9221243469273579</v>
      </c>
      <c r="AN19" s="41"/>
      <c r="AO19" s="43"/>
      <c r="AP19" s="41">
        <f t="shared" si="37"/>
        <v>10.131499999999988</v>
      </c>
      <c r="AQ19" s="44">
        <f t="shared" ref="AQ19:AQ29" si="42">AP19/(R19-R17)</f>
        <v>3.684181818181814</v>
      </c>
      <c r="AR19" s="44">
        <f t="shared" ref="AR19:AR29" si="43">(AC19-AC17)/(AI19-AI17)</f>
        <v>0.76247347381927555</v>
      </c>
      <c r="AS19" s="43">
        <f t="shared" ref="AS19:AS29" si="44">AR19/AQ19</f>
        <v>0.20695869841612891</v>
      </c>
      <c r="AT19" s="44">
        <f t="shared" si="38"/>
        <v>0</v>
      </c>
      <c r="AU19" s="45">
        <f t="shared" ref="AU19:AU29" si="45">AT19/AP19</f>
        <v>0</v>
      </c>
      <c r="AV19" s="44"/>
      <c r="AW19" s="44">
        <f t="shared" ref="AW19:AW29" si="46">AK19+AM19</f>
        <v>0.9221243469273579</v>
      </c>
      <c r="BD19">
        <f t="shared" si="9"/>
        <v>0.11019999999999999</v>
      </c>
      <c r="BE19">
        <f t="shared" si="10"/>
        <v>0</v>
      </c>
      <c r="BF19">
        <f t="shared" si="11"/>
        <v>84.862000000000009</v>
      </c>
      <c r="BG19" t="str">
        <f t="shared" si="12"/>
        <v/>
      </c>
      <c r="BH19" t="str">
        <f t="shared" si="13"/>
        <v/>
      </c>
      <c r="BI19" t="str">
        <f t="shared" si="14"/>
        <v/>
      </c>
      <c r="BJ19" t="str">
        <f t="shared" si="15"/>
        <v/>
      </c>
      <c r="BK19" t="str">
        <f t="shared" si="16"/>
        <v/>
      </c>
      <c r="BL19" t="str">
        <f t="shared" si="17"/>
        <v/>
      </c>
      <c r="BM19" t="str">
        <f t="shared" si="18"/>
        <v/>
      </c>
      <c r="BN19" t="str">
        <f t="shared" si="19"/>
        <v/>
      </c>
      <c r="BO19" t="str">
        <f t="shared" si="20"/>
        <v/>
      </c>
      <c r="BP19" s="11"/>
      <c r="BQ19" s="11" t="str">
        <f t="shared" si="23"/>
        <v>r2</v>
      </c>
      <c r="BR19" s="6"/>
      <c r="BS19" t="str">
        <f t="shared" si="1"/>
        <v>Jeff_SloHot50_Biostat 2L-26-6</v>
      </c>
      <c r="BT19" s="9"/>
      <c r="BU19" s="32"/>
      <c r="BV19" s="6"/>
      <c r="BW19" s="13"/>
      <c r="BX19" s="6"/>
      <c r="BY19" s="6">
        <f>$BF$15-BF19</f>
        <v>10.546299999999988</v>
      </c>
      <c r="BZ19" s="6"/>
      <c r="CA19" s="6">
        <f t="shared" si="21"/>
        <v>1.687407999999998</v>
      </c>
      <c r="CB19" s="6">
        <f t="shared" si="30"/>
        <v>10.131499999999988</v>
      </c>
      <c r="CC19" s="17">
        <f t="shared" si="31"/>
        <v>3.684181818181814</v>
      </c>
      <c r="CD19" s="17"/>
      <c r="CE19" s="18"/>
      <c r="CF19" s="8"/>
      <c r="CG19" s="20"/>
      <c r="CH19" s="20"/>
      <c r="CI19" s="8"/>
      <c r="CN19" s="9"/>
      <c r="CO19" s="9"/>
      <c r="CP19" s="6"/>
      <c r="CQ19" s="6"/>
      <c r="CR19" s="6"/>
      <c r="CS19" s="9"/>
      <c r="CT19" s="9"/>
      <c r="CU19" s="9"/>
      <c r="CZ19" s="6"/>
      <c r="DA19" s="6"/>
      <c r="DB19" s="6"/>
    </row>
    <row r="20" spans="1:106" x14ac:dyDescent="0.25">
      <c r="B20" s="3" t="s">
        <v>204</v>
      </c>
      <c r="C20" s="3">
        <v>1.431E-2</v>
      </c>
      <c r="D20" s="3" t="s">
        <v>197</v>
      </c>
      <c r="E20" s="3">
        <v>8.5308700000000002</v>
      </c>
      <c r="F20" s="3" t="s">
        <v>197</v>
      </c>
      <c r="G20" s="3" t="s">
        <v>197</v>
      </c>
      <c r="H20" s="3" t="s">
        <v>197</v>
      </c>
      <c r="I20" s="3" t="s">
        <v>197</v>
      </c>
      <c r="J20" s="3" t="s">
        <v>197</v>
      </c>
      <c r="K20" s="3"/>
      <c r="L20" s="3"/>
      <c r="M20" s="3"/>
      <c r="N20" s="3"/>
      <c r="P20" s="2"/>
      <c r="Q20" s="31">
        <v>0.83333333333333337</v>
      </c>
      <c r="R20">
        <f>R18+12+1.75</f>
        <v>20</v>
      </c>
      <c r="S20" t="s">
        <v>49</v>
      </c>
      <c r="T20">
        <v>7</v>
      </c>
      <c r="U20">
        <v>8</v>
      </c>
      <c r="V20" t="s">
        <v>23</v>
      </c>
      <c r="W20">
        <v>13.48</v>
      </c>
      <c r="X20">
        <v>27</v>
      </c>
      <c r="Y20">
        <v>7.1576000000000004</v>
      </c>
      <c r="Z20">
        <v>7.2363</v>
      </c>
      <c r="AA20">
        <v>8</v>
      </c>
      <c r="AB20">
        <f t="shared" si="2"/>
        <v>7.8699999999999548E-2</v>
      </c>
      <c r="AC20">
        <f t="shared" si="3"/>
        <v>9.8374999999999435</v>
      </c>
      <c r="AF20" s="42" t="e">
        <f t="shared" si="39"/>
        <v>#DIV/0!</v>
      </c>
      <c r="AG20" s="41" t="e">
        <f t="shared" si="32"/>
        <v>#DIV/0!</v>
      </c>
      <c r="AH20" s="41"/>
      <c r="AI20" s="43">
        <f t="shared" ref="AI20" si="47">$BF$14-BF20</f>
        <v>10.698599999999999</v>
      </c>
      <c r="AJ20" s="41">
        <f t="shared" si="34"/>
        <v>0</v>
      </c>
      <c r="AK20" s="43">
        <f t="shared" si="35"/>
        <v>0</v>
      </c>
      <c r="AL20" s="44">
        <f t="shared" si="36"/>
        <v>0.49187499999999718</v>
      </c>
      <c r="AM20" s="44">
        <f t="shared" si="41"/>
        <v>0.91951283345483936</v>
      </c>
      <c r="AN20" s="41"/>
      <c r="AO20" s="43"/>
      <c r="AP20" s="41">
        <f t="shared" si="37"/>
        <v>4.7989000000000033</v>
      </c>
      <c r="AQ20" s="44">
        <f t="shared" si="42"/>
        <v>0.34901090909090932</v>
      </c>
      <c r="AR20" s="44">
        <f t="shared" si="43"/>
        <v>0.82310529496343043</v>
      </c>
      <c r="AS20" s="43">
        <f t="shared" si="44"/>
        <v>2.358394174862398</v>
      </c>
      <c r="AT20" s="44">
        <f t="shared" si="38"/>
        <v>0</v>
      </c>
      <c r="AU20" s="45">
        <f t="shared" si="45"/>
        <v>0</v>
      </c>
      <c r="AV20" s="44"/>
      <c r="AW20" s="44">
        <f t="shared" si="46"/>
        <v>0.91951283345483936</v>
      </c>
      <c r="BD20">
        <f t="shared" si="9"/>
        <v>0.1431</v>
      </c>
      <c r="BE20">
        <f t="shared" si="10"/>
        <v>0</v>
      </c>
      <c r="BF20">
        <f t="shared" si="11"/>
        <v>85.308700000000002</v>
      </c>
      <c r="BG20" t="str">
        <f t="shared" si="12"/>
        <v/>
      </c>
      <c r="BH20" t="str">
        <f t="shared" si="13"/>
        <v/>
      </c>
      <c r="BI20" t="str">
        <f t="shared" si="14"/>
        <v/>
      </c>
      <c r="BJ20" t="str">
        <f t="shared" si="15"/>
        <v/>
      </c>
      <c r="BK20" t="str">
        <f t="shared" si="16"/>
        <v/>
      </c>
      <c r="BL20" t="str">
        <f t="shared" si="17"/>
        <v/>
      </c>
      <c r="BM20" t="str">
        <f t="shared" si="18"/>
        <v/>
      </c>
      <c r="BN20" t="str">
        <f t="shared" si="19"/>
        <v/>
      </c>
      <c r="BO20" t="str">
        <f t="shared" si="20"/>
        <v/>
      </c>
      <c r="BP20" s="11"/>
      <c r="BQ20" s="11" t="str">
        <f t="shared" si="23"/>
        <v>r1</v>
      </c>
      <c r="BR20" s="6"/>
      <c r="BS20" t="str">
        <f t="shared" si="1"/>
        <v>Jeff_SloHot50_Biostat 2L-26-7</v>
      </c>
      <c r="BT20" s="9"/>
      <c r="BU20" s="32"/>
      <c r="BV20" s="6"/>
      <c r="BW20" s="13"/>
      <c r="BX20" s="6"/>
      <c r="BY20" s="6">
        <f>$BF$14-BF20</f>
        <v>10.698599999999999</v>
      </c>
      <c r="BZ20" s="6"/>
      <c r="CA20" s="6">
        <f t="shared" si="21"/>
        <v>0.53492999999999991</v>
      </c>
      <c r="CB20" s="6">
        <f t="shared" si="30"/>
        <v>4.7989000000000033</v>
      </c>
      <c r="CC20" s="17">
        <f t="shared" si="31"/>
        <v>0.34901090909090932</v>
      </c>
      <c r="CD20" s="17"/>
      <c r="CE20" s="18"/>
      <c r="CF20" s="8"/>
      <c r="CG20" s="20"/>
      <c r="CH20" s="20"/>
      <c r="CI20" s="8"/>
      <c r="CN20" s="8"/>
      <c r="CO20" s="9"/>
      <c r="CP20" s="6"/>
      <c r="CQ20" s="6"/>
      <c r="CR20" s="6"/>
      <c r="CS20" s="9"/>
      <c r="CT20" s="9"/>
      <c r="CU20" s="9"/>
      <c r="CZ20" s="6"/>
      <c r="DA20" s="6"/>
      <c r="DB20" s="6"/>
    </row>
    <row r="21" spans="1:106" x14ac:dyDescent="0.25">
      <c r="B21" s="3" t="s">
        <v>205</v>
      </c>
      <c r="C21" s="3">
        <v>1.5310000000000001E-2</v>
      </c>
      <c r="D21" s="3">
        <v>0.45443</v>
      </c>
      <c r="E21" s="3">
        <v>7.07437</v>
      </c>
      <c r="F21" s="3" t="s">
        <v>197</v>
      </c>
      <c r="G21" s="3" t="s">
        <v>197</v>
      </c>
      <c r="H21" s="3" t="s">
        <v>197</v>
      </c>
      <c r="I21" s="3" t="s">
        <v>197</v>
      </c>
      <c r="J21" s="3" t="s">
        <v>197</v>
      </c>
      <c r="K21" s="3"/>
      <c r="L21" s="3"/>
      <c r="M21" s="3"/>
      <c r="N21" s="3"/>
      <c r="P21" s="2"/>
      <c r="Q21" s="31"/>
      <c r="R21">
        <f>R19+12+1.75</f>
        <v>20</v>
      </c>
      <c r="S21" t="s">
        <v>50</v>
      </c>
      <c r="T21">
        <v>8</v>
      </c>
      <c r="U21">
        <v>8</v>
      </c>
      <c r="V21" t="s">
        <v>23</v>
      </c>
      <c r="W21">
        <v>21.16</v>
      </c>
      <c r="X21">
        <v>91</v>
      </c>
      <c r="Y21">
        <v>7.1277999999999997</v>
      </c>
      <c r="Z21">
        <v>7.2225000000000001</v>
      </c>
      <c r="AA21">
        <v>8</v>
      </c>
      <c r="AB21">
        <f t="shared" si="2"/>
        <v>9.470000000000045E-2</v>
      </c>
      <c r="AC21">
        <f t="shared" si="3"/>
        <v>11.837500000000055</v>
      </c>
      <c r="AF21" s="42" t="e">
        <f t="shared" si="39"/>
        <v>#DIV/0!</v>
      </c>
      <c r="AG21" s="41" t="e">
        <f t="shared" si="32"/>
        <v>#DIV/0!</v>
      </c>
      <c r="AH21" s="41"/>
      <c r="AI21" s="43">
        <f t="shared" ref="AI21" si="48">$BF$15-BF21</f>
        <v>24.664599999999993</v>
      </c>
      <c r="AJ21" s="41">
        <f t="shared" si="34"/>
        <v>0.227215</v>
      </c>
      <c r="AK21" s="43">
        <f t="shared" si="35"/>
        <v>0.18424381502233975</v>
      </c>
      <c r="AL21" s="44">
        <f t="shared" si="36"/>
        <v>0.59187500000000282</v>
      </c>
      <c r="AM21" s="44">
        <f t="shared" si="41"/>
        <v>0.4799388597423051</v>
      </c>
      <c r="AN21" s="41"/>
      <c r="AO21" s="43"/>
      <c r="AP21" s="41">
        <f t="shared" si="37"/>
        <v>14.118300000000005</v>
      </c>
      <c r="AQ21" s="44">
        <f t="shared" si="42"/>
        <v>1.0267854545454549</v>
      </c>
      <c r="AR21" s="44">
        <f t="shared" si="43"/>
        <v>0.14962849634871556</v>
      </c>
      <c r="AS21" s="43">
        <f t="shared" si="44"/>
        <v>0.14572518113334029</v>
      </c>
      <c r="AT21" s="44">
        <f t="shared" si="38"/>
        <v>0.32187303003902723</v>
      </c>
      <c r="AU21" s="45">
        <f t="shared" si="45"/>
        <v>2.2798285207073592E-2</v>
      </c>
      <c r="AV21" s="44"/>
      <c r="AW21" s="44">
        <f t="shared" si="46"/>
        <v>0.66418267476464488</v>
      </c>
      <c r="BD21">
        <f t="shared" si="9"/>
        <v>0.15310000000000001</v>
      </c>
      <c r="BE21">
        <f t="shared" si="10"/>
        <v>4.5442999999999998</v>
      </c>
      <c r="BF21">
        <f t="shared" si="11"/>
        <v>70.743700000000004</v>
      </c>
      <c r="BG21" t="str">
        <f t="shared" si="12"/>
        <v/>
      </c>
      <c r="BH21" t="str">
        <f t="shared" si="13"/>
        <v/>
      </c>
      <c r="BI21" t="str">
        <f t="shared" si="14"/>
        <v/>
      </c>
      <c r="BJ21" t="str">
        <f t="shared" si="15"/>
        <v/>
      </c>
      <c r="BK21" t="str">
        <f t="shared" si="16"/>
        <v/>
      </c>
      <c r="BL21" t="str">
        <f t="shared" si="17"/>
        <v/>
      </c>
      <c r="BM21" t="str">
        <f t="shared" si="18"/>
        <v/>
      </c>
      <c r="BN21" t="str">
        <f t="shared" si="19"/>
        <v/>
      </c>
      <c r="BO21" t="str">
        <f t="shared" si="20"/>
        <v/>
      </c>
      <c r="BP21" s="11"/>
      <c r="BQ21" s="11" t="str">
        <f t="shared" si="23"/>
        <v>r2</v>
      </c>
      <c r="BR21" s="6"/>
      <c r="BS21" t="str">
        <f t="shared" si="1"/>
        <v>Jeff_SloHot50_Biostat 2L-26-8</v>
      </c>
      <c r="BT21" s="9"/>
      <c r="BU21" s="32"/>
      <c r="BV21" s="6"/>
      <c r="BW21" s="13"/>
      <c r="BX21" s="6"/>
      <c r="BY21" s="6">
        <f>$BF$15-BF21</f>
        <v>24.664599999999993</v>
      </c>
      <c r="BZ21" s="6"/>
      <c r="CA21" s="6">
        <f t="shared" si="21"/>
        <v>1.2332299999999996</v>
      </c>
      <c r="CB21" s="6">
        <f t="shared" si="30"/>
        <v>14.118300000000005</v>
      </c>
      <c r="CC21" s="17">
        <f t="shared" si="31"/>
        <v>1.0267854545454549</v>
      </c>
      <c r="CD21" s="17"/>
      <c r="CE21" s="18"/>
      <c r="CF21" s="8"/>
      <c r="CG21" s="20"/>
      <c r="CH21" s="20"/>
      <c r="CI21" s="8"/>
      <c r="CN21" s="8"/>
      <c r="CO21" s="9"/>
      <c r="CP21" s="6"/>
      <c r="CQ21" s="6"/>
      <c r="CR21" s="6"/>
      <c r="CS21" s="9"/>
      <c r="CT21" s="9"/>
      <c r="CU21" s="9"/>
      <c r="CZ21" s="6"/>
      <c r="DA21" s="6"/>
      <c r="DB21" s="6"/>
    </row>
    <row r="22" spans="1:106" x14ac:dyDescent="0.25">
      <c r="B22" s="3" t="s">
        <v>206</v>
      </c>
      <c r="C22" s="3">
        <v>1.2970000000000001E-2</v>
      </c>
      <c r="D22" s="3" t="s">
        <v>197</v>
      </c>
      <c r="E22" s="3">
        <v>8.1290200000000006</v>
      </c>
      <c r="F22" s="3" t="s">
        <v>197</v>
      </c>
      <c r="G22" s="3" t="s">
        <v>197</v>
      </c>
      <c r="H22" s="3" t="s">
        <v>197</v>
      </c>
      <c r="I22" s="3" t="s">
        <v>197</v>
      </c>
      <c r="J22" s="3" t="s">
        <v>197</v>
      </c>
      <c r="K22" s="3" t="s">
        <v>197</v>
      </c>
      <c r="L22" s="3"/>
      <c r="M22" s="3"/>
      <c r="N22" s="3"/>
      <c r="P22" s="2">
        <v>45625</v>
      </c>
      <c r="Q22" s="31">
        <v>0.25</v>
      </c>
      <c r="R22">
        <f>R20+10</f>
        <v>30</v>
      </c>
      <c r="S22" t="s">
        <v>49</v>
      </c>
      <c r="T22">
        <v>9</v>
      </c>
      <c r="U22">
        <v>8</v>
      </c>
      <c r="V22" t="s">
        <v>23</v>
      </c>
      <c r="W22">
        <v>17.52</v>
      </c>
      <c r="X22">
        <v>35</v>
      </c>
      <c r="Y22">
        <v>7.1675000000000004</v>
      </c>
      <c r="Z22">
        <v>7.2602000000000002</v>
      </c>
      <c r="AA22">
        <v>8</v>
      </c>
      <c r="AB22">
        <f t="shared" si="2"/>
        <v>9.2699999999999783E-2</v>
      </c>
      <c r="AC22">
        <f t="shared" si="3"/>
        <v>11.587499999999972</v>
      </c>
      <c r="AF22" s="42" t="e">
        <f t="shared" si="39"/>
        <v>#DIV/0!</v>
      </c>
      <c r="AG22" s="41" t="e">
        <f t="shared" si="32"/>
        <v>#DIV/0!</v>
      </c>
      <c r="AH22" s="41"/>
      <c r="AI22" s="43">
        <f t="shared" ref="AI22" si="49">$BF$14-BF22</f>
        <v>14.717100000000002</v>
      </c>
      <c r="AJ22" s="41">
        <f t="shared" si="34"/>
        <v>0</v>
      </c>
      <c r="AK22" s="43">
        <f t="shared" si="35"/>
        <v>0</v>
      </c>
      <c r="AL22" s="44">
        <f t="shared" si="36"/>
        <v>0.38624999999999904</v>
      </c>
      <c r="AM22" s="44">
        <f t="shared" si="41"/>
        <v>0.78734940987014901</v>
      </c>
      <c r="AN22" s="41"/>
      <c r="AO22" s="43"/>
      <c r="AP22" s="41">
        <f t="shared" si="37"/>
        <v>4.0185000000000031</v>
      </c>
      <c r="AQ22" s="44">
        <f t="shared" si="42"/>
        <v>0.40185000000000032</v>
      </c>
      <c r="AR22" s="44">
        <f t="shared" si="43"/>
        <v>0.43548587781511189</v>
      </c>
      <c r="AS22" s="43">
        <f t="shared" si="44"/>
        <v>1.0837025701508312</v>
      </c>
      <c r="AT22" s="44">
        <f t="shared" si="38"/>
        <v>0</v>
      </c>
      <c r="AU22" s="45">
        <f t="shared" si="45"/>
        <v>0</v>
      </c>
      <c r="AV22" s="44"/>
      <c r="AW22" s="44">
        <f t="shared" si="46"/>
        <v>0.78734940987014901</v>
      </c>
      <c r="BD22">
        <f t="shared" si="9"/>
        <v>0.12970000000000001</v>
      </c>
      <c r="BE22">
        <f t="shared" si="10"/>
        <v>0</v>
      </c>
      <c r="BF22">
        <f t="shared" si="11"/>
        <v>81.290199999999999</v>
      </c>
      <c r="BG22" t="str">
        <f t="shared" si="12"/>
        <v/>
      </c>
      <c r="BH22" t="str">
        <f t="shared" si="13"/>
        <v/>
      </c>
      <c r="BI22" t="str">
        <f t="shared" si="14"/>
        <v/>
      </c>
      <c r="BJ22" t="str">
        <f t="shared" si="15"/>
        <v/>
      </c>
      <c r="BK22" t="str">
        <f t="shared" si="16"/>
        <v/>
      </c>
      <c r="BL22" t="str">
        <f t="shared" si="17"/>
        <v/>
      </c>
      <c r="BM22" t="str">
        <f t="shared" si="18"/>
        <v/>
      </c>
      <c r="BN22" t="str">
        <f t="shared" si="19"/>
        <v/>
      </c>
      <c r="BO22" t="str">
        <f t="shared" si="20"/>
        <v/>
      </c>
      <c r="BP22" s="11"/>
      <c r="BQ22" s="11" t="str">
        <f t="shared" ref="BQ22:BQ29" si="50">S24</f>
        <v>r1</v>
      </c>
      <c r="BR22" s="6"/>
      <c r="BS22" t="e">
        <f>#REF!</f>
        <v>#REF!</v>
      </c>
      <c r="BT22" s="9"/>
      <c r="BU22" s="32"/>
      <c r="BV22" s="6"/>
      <c r="BW22" s="6"/>
      <c r="BX22" s="6"/>
      <c r="BY22" s="6">
        <f>$BF$14-BF22</f>
        <v>14.717100000000002</v>
      </c>
      <c r="BZ22" s="6"/>
      <c r="CA22" s="6">
        <f t="shared" ref="CA22:CA29" si="51">BY22/R24</f>
        <v>0.36792750000000007</v>
      </c>
      <c r="CB22" s="6">
        <f t="shared" si="30"/>
        <v>4.0185000000000031</v>
      </c>
      <c r="CC22" s="17">
        <f>CB22/(R24-R20)</f>
        <v>0.20092500000000016</v>
      </c>
      <c r="CD22" s="17">
        <f>AC22-AC16</f>
        <v>9.612500000000022</v>
      </c>
      <c r="CE22" s="18">
        <f>CD22/CB22</f>
        <v>2.3920617145701168</v>
      </c>
      <c r="CF22" s="8"/>
      <c r="CG22" s="20"/>
      <c r="CH22" s="20"/>
      <c r="CI22" s="8"/>
      <c r="CN22" s="8"/>
      <c r="CO22" s="9"/>
      <c r="CP22" s="6"/>
      <c r="CQ22" s="6"/>
      <c r="CR22" s="6"/>
      <c r="CS22" s="9"/>
      <c r="CT22" s="9"/>
      <c r="CU22" s="9"/>
      <c r="CZ22" s="6"/>
      <c r="DA22" s="8"/>
      <c r="DB22" s="6"/>
    </row>
    <row r="23" spans="1:106" x14ac:dyDescent="0.25">
      <c r="B23" s="3" t="s">
        <v>207</v>
      </c>
      <c r="C23" s="3">
        <v>1.959E-2</v>
      </c>
      <c r="D23" s="3">
        <v>0.96979000000000004</v>
      </c>
      <c r="E23" s="3">
        <v>6.0758099999999997</v>
      </c>
      <c r="F23" s="3" t="s">
        <v>197</v>
      </c>
      <c r="G23" s="3" t="s">
        <v>197</v>
      </c>
      <c r="H23" s="3" t="s">
        <v>197</v>
      </c>
      <c r="I23" s="3" t="s">
        <v>197</v>
      </c>
      <c r="J23" s="3" t="s">
        <v>197</v>
      </c>
      <c r="K23" s="3" t="s">
        <v>197</v>
      </c>
      <c r="L23" s="3"/>
      <c r="M23" s="3"/>
      <c r="N23" s="3"/>
      <c r="P23" s="2"/>
      <c r="Q23" s="31"/>
      <c r="R23">
        <f>R21+10</f>
        <v>30</v>
      </c>
      <c r="S23" t="s">
        <v>50</v>
      </c>
      <c r="T23">
        <v>10</v>
      </c>
      <c r="U23">
        <v>8</v>
      </c>
      <c r="V23" t="s">
        <v>23</v>
      </c>
      <c r="W23">
        <v>24.16</v>
      </c>
      <c r="X23">
        <v>155</v>
      </c>
      <c r="Y23">
        <v>7.1185</v>
      </c>
      <c r="Z23">
        <v>7.2248999999999999</v>
      </c>
      <c r="AA23">
        <v>8</v>
      </c>
      <c r="AB23">
        <f t="shared" si="2"/>
        <v>0.10639999999999983</v>
      </c>
      <c r="AC23">
        <f t="shared" si="3"/>
        <v>13.299999999999978</v>
      </c>
      <c r="AF23" s="42" t="e">
        <f t="shared" si="39"/>
        <v>#DIV/0!</v>
      </c>
      <c r="AG23" s="41" t="e">
        <f t="shared" si="32"/>
        <v>#DIV/0!</v>
      </c>
      <c r="AH23" s="41"/>
      <c r="AI23" s="43">
        <f t="shared" ref="AI23" si="52">$BF$15-BF23</f>
        <v>34.650200000000005</v>
      </c>
      <c r="AJ23" s="41">
        <f t="shared" si="34"/>
        <v>0.32326333333333335</v>
      </c>
      <c r="AK23" s="43">
        <f t="shared" si="35"/>
        <v>0.27988005841236124</v>
      </c>
      <c r="AL23" s="44">
        <f t="shared" si="36"/>
        <v>0.44333333333333258</v>
      </c>
      <c r="AM23" s="44">
        <f t="shared" si="41"/>
        <v>0.38383616833380402</v>
      </c>
      <c r="AN23" s="41"/>
      <c r="AO23" s="43"/>
      <c r="AP23" s="41">
        <f t="shared" si="37"/>
        <v>9.9856000000000122</v>
      </c>
      <c r="AQ23" s="44">
        <f t="shared" si="42"/>
        <v>0.99856000000000122</v>
      </c>
      <c r="AR23" s="44">
        <f t="shared" si="43"/>
        <v>0.14646090370132195</v>
      </c>
      <c r="AS23" s="43">
        <f t="shared" si="44"/>
        <v>0.14667211154194215</v>
      </c>
      <c r="AT23" s="44">
        <f t="shared" si="38"/>
        <v>0.51610318859157134</v>
      </c>
      <c r="AU23" s="45">
        <f t="shared" si="45"/>
        <v>5.1684744891801263E-2</v>
      </c>
      <c r="AV23" s="44"/>
      <c r="AW23" s="44">
        <f t="shared" si="46"/>
        <v>0.66371622674616526</v>
      </c>
      <c r="BD23">
        <f t="shared" si="9"/>
        <v>0.19589999999999999</v>
      </c>
      <c r="BE23">
        <f t="shared" si="10"/>
        <v>9.6979000000000006</v>
      </c>
      <c r="BF23">
        <f t="shared" si="11"/>
        <v>60.758099999999992</v>
      </c>
      <c r="BG23" t="str">
        <f t="shared" si="12"/>
        <v/>
      </c>
      <c r="BH23" t="str">
        <f t="shared" si="13"/>
        <v/>
      </c>
      <c r="BI23" t="str">
        <f t="shared" si="14"/>
        <v/>
      </c>
      <c r="BJ23" t="str">
        <f t="shared" si="15"/>
        <v/>
      </c>
      <c r="BK23" t="str">
        <f t="shared" si="16"/>
        <v/>
      </c>
      <c r="BL23" t="str">
        <f t="shared" si="17"/>
        <v/>
      </c>
      <c r="BM23" t="str">
        <f t="shared" si="18"/>
        <v/>
      </c>
      <c r="BN23" t="str">
        <f t="shared" si="19"/>
        <v/>
      </c>
      <c r="BO23" t="str">
        <f t="shared" si="20"/>
        <v/>
      </c>
      <c r="BP23" s="11"/>
      <c r="BQ23" s="11" t="str">
        <f t="shared" si="50"/>
        <v>r2</v>
      </c>
      <c r="BR23" s="6"/>
      <c r="BS23" t="e">
        <f>#REF!</f>
        <v>#REF!</v>
      </c>
      <c r="BT23" s="9"/>
      <c r="BU23" s="32"/>
      <c r="BV23" s="6"/>
      <c r="BW23" s="6"/>
      <c r="BX23" s="6"/>
      <c r="BY23" s="6">
        <f>$BF$15-BF23</f>
        <v>34.650200000000005</v>
      </c>
      <c r="BZ23" s="6"/>
      <c r="CA23" s="6">
        <f t="shared" si="51"/>
        <v>0.86625500000000011</v>
      </c>
      <c r="CB23" s="6">
        <f t="shared" si="30"/>
        <v>9.9856000000000122</v>
      </c>
      <c r="CC23" s="17">
        <f>CB23/(R25-R21)</f>
        <v>0.49928000000000061</v>
      </c>
      <c r="CD23" s="17">
        <f>AC23-AC17</f>
        <v>11.299999999999976</v>
      </c>
      <c r="CE23" s="18">
        <f>CD23/CB23</f>
        <v>1.1316295465470239</v>
      </c>
      <c r="CF23" s="8"/>
      <c r="CG23" s="20"/>
      <c r="CH23" s="20"/>
      <c r="CI23" s="8"/>
      <c r="CN23" s="8"/>
      <c r="CO23" s="9"/>
      <c r="CP23" s="6"/>
      <c r="CQ23" s="6"/>
      <c r="CR23" s="6"/>
      <c r="CS23" s="9"/>
      <c r="CT23" s="9"/>
      <c r="CU23" s="9"/>
      <c r="CZ23" s="6"/>
      <c r="DA23" s="8"/>
      <c r="DB23" s="6"/>
    </row>
    <row r="24" spans="1:106" x14ac:dyDescent="0.25">
      <c r="A24" s="3"/>
      <c r="B24" s="3" t="s">
        <v>208</v>
      </c>
      <c r="C24" s="3">
        <v>2.0830000000000001E-2</v>
      </c>
      <c r="D24" s="3">
        <v>6.5689999999999998E-2</v>
      </c>
      <c r="E24" s="3">
        <v>7.6542300000000001</v>
      </c>
      <c r="F24" s="3"/>
      <c r="G24" s="3"/>
      <c r="H24" s="3" t="s">
        <v>197</v>
      </c>
      <c r="I24" s="3" t="s">
        <v>197</v>
      </c>
      <c r="J24" s="3" t="s">
        <v>197</v>
      </c>
      <c r="K24" s="3" t="s">
        <v>197</v>
      </c>
      <c r="L24" s="3"/>
      <c r="M24" s="3"/>
      <c r="N24" s="3"/>
      <c r="P24" s="2"/>
      <c r="Q24" s="31">
        <v>0.66666666666666663</v>
      </c>
      <c r="R24">
        <f>R22+10</f>
        <v>40</v>
      </c>
      <c r="S24" t="s">
        <v>49</v>
      </c>
      <c r="T24">
        <v>11</v>
      </c>
      <c r="U24">
        <v>8</v>
      </c>
      <c r="V24" t="s">
        <v>23</v>
      </c>
      <c r="W24">
        <v>21.6</v>
      </c>
      <c r="X24">
        <v>50</v>
      </c>
      <c r="Y24">
        <v>7.1532</v>
      </c>
      <c r="Z24">
        <v>7.2587000000000002</v>
      </c>
      <c r="AA24">
        <v>8</v>
      </c>
      <c r="AB24">
        <f t="shared" si="2"/>
        <v>0.10550000000000015</v>
      </c>
      <c r="AC24">
        <f t="shared" si="3"/>
        <v>13.187500000000018</v>
      </c>
      <c r="AF24" s="42" t="e">
        <f t="shared" si="39"/>
        <v>#DIV/0!</v>
      </c>
      <c r="AG24" s="41" t="e">
        <f t="shared" si="32"/>
        <v>#DIV/0!</v>
      </c>
      <c r="AH24" s="41"/>
      <c r="AI24" s="43">
        <f t="shared" ref="AI24" si="53">$BF$14-BF24</f>
        <v>19.464999999999989</v>
      </c>
      <c r="AJ24" s="41">
        <f t="shared" si="34"/>
        <v>1.64225E-2</v>
      </c>
      <c r="AK24" s="43">
        <f t="shared" si="35"/>
        <v>3.3747752376059606E-2</v>
      </c>
      <c r="AL24" s="44">
        <f t="shared" si="36"/>
        <v>0.32968750000000047</v>
      </c>
      <c r="AM24" s="44">
        <f t="shared" si="41"/>
        <v>0.67749807346519519</v>
      </c>
      <c r="AN24" s="41"/>
      <c r="AO24" s="43"/>
      <c r="AP24" s="41">
        <f t="shared" si="37"/>
        <v>4.7478999999999871</v>
      </c>
      <c r="AQ24" s="44">
        <f t="shared" si="42"/>
        <v>0.47478999999999871</v>
      </c>
      <c r="AR24" s="44">
        <f t="shared" si="43"/>
        <v>0.33699109079804757</v>
      </c>
      <c r="AS24" s="43">
        <f t="shared" si="44"/>
        <v>0.7097687204828419</v>
      </c>
      <c r="AT24" s="44">
        <f t="shared" si="38"/>
        <v>0.13835590471576945</v>
      </c>
      <c r="AU24" s="45">
        <f t="shared" si="45"/>
        <v>2.914044203032284E-2</v>
      </c>
      <c r="AV24" s="44"/>
      <c r="AW24" s="44">
        <f t="shared" si="46"/>
        <v>0.71124582584125484</v>
      </c>
      <c r="BD24">
        <f t="shared" si="9"/>
        <v>0.20830000000000001</v>
      </c>
      <c r="BE24">
        <f t="shared" si="10"/>
        <v>0.65689999999999993</v>
      </c>
      <c r="BF24">
        <f t="shared" si="11"/>
        <v>76.542300000000012</v>
      </c>
      <c r="BG24" t="str">
        <f t="shared" si="12"/>
        <v/>
      </c>
      <c r="BH24" t="str">
        <f t="shared" si="13"/>
        <v/>
      </c>
      <c r="BI24" t="str">
        <f t="shared" si="14"/>
        <v/>
      </c>
      <c r="BJ24" t="str">
        <f t="shared" si="15"/>
        <v/>
      </c>
      <c r="BK24" t="str">
        <f t="shared" si="16"/>
        <v/>
      </c>
      <c r="BL24" t="str">
        <f t="shared" si="17"/>
        <v/>
      </c>
      <c r="BM24" t="str">
        <f t="shared" si="18"/>
        <v/>
      </c>
      <c r="BN24" t="str">
        <f t="shared" si="19"/>
        <v/>
      </c>
      <c r="BO24" t="str">
        <f t="shared" si="20"/>
        <v/>
      </c>
      <c r="BP24" s="11"/>
      <c r="BQ24" s="11" t="str">
        <f t="shared" si="50"/>
        <v>r1</v>
      </c>
      <c r="BR24" s="6"/>
      <c r="BS24" t="str">
        <f t="shared" ref="BS24:BS31" si="54">B22</f>
        <v>Jeff_SloHot50_Biostat 2L-26-9</v>
      </c>
      <c r="BT24" s="9"/>
      <c r="BU24" s="32"/>
      <c r="BV24" s="6"/>
      <c r="BW24" s="6"/>
      <c r="BX24" s="6"/>
      <c r="BY24" s="6">
        <f>$BF$14-BF24</f>
        <v>19.464999999999989</v>
      </c>
      <c r="BZ24" s="6"/>
      <c r="CA24" s="6">
        <f t="shared" si="51"/>
        <v>0.32852320675105467</v>
      </c>
      <c r="CB24" s="6">
        <f t="shared" si="30"/>
        <v>4.7478999999999871</v>
      </c>
      <c r="CC24" s="17">
        <f t="shared" ref="CC24:CC29" si="55">CB24/(R26-R24)</f>
        <v>0.24664415584415517</v>
      </c>
      <c r="CD24" s="17"/>
      <c r="CE24" s="18"/>
      <c r="CF24" s="8"/>
      <c r="CG24" s="20"/>
      <c r="CH24" s="20"/>
      <c r="CI24" s="8"/>
      <c r="CN24" s="8"/>
      <c r="CO24" s="9"/>
      <c r="CP24" s="6"/>
      <c r="CQ24" s="6"/>
      <c r="CR24" s="6"/>
      <c r="CS24" s="9"/>
      <c r="CT24" s="9"/>
      <c r="CU24" s="9"/>
      <c r="CZ24" s="6"/>
      <c r="DA24" s="8"/>
      <c r="DB24" s="6"/>
    </row>
    <row r="25" spans="1:106" x14ac:dyDescent="0.25">
      <c r="A25" s="5"/>
      <c r="B25" s="3" t="s">
        <v>209</v>
      </c>
      <c r="C25" s="3">
        <v>2.5180000000000001E-2</v>
      </c>
      <c r="D25" s="3">
        <v>1.49455</v>
      </c>
      <c r="E25" s="3">
        <v>5.0678400000000003</v>
      </c>
      <c r="F25" s="3"/>
      <c r="G25" s="3"/>
      <c r="H25" s="3" t="s">
        <v>197</v>
      </c>
      <c r="I25" s="3" t="s">
        <v>197</v>
      </c>
      <c r="J25" s="3" t="s">
        <v>197</v>
      </c>
      <c r="K25" s="3" t="s">
        <v>197</v>
      </c>
      <c r="L25" s="3"/>
      <c r="M25" s="3"/>
      <c r="N25" s="3"/>
      <c r="P25" s="2"/>
      <c r="Q25" s="31"/>
      <c r="R25">
        <f>R23+10</f>
        <v>40</v>
      </c>
      <c r="S25" t="s">
        <v>50</v>
      </c>
      <c r="T25">
        <v>12</v>
      </c>
      <c r="U25">
        <v>8</v>
      </c>
      <c r="V25" t="s">
        <v>23</v>
      </c>
      <c r="W25">
        <v>25.8</v>
      </c>
      <c r="X25">
        <v>223</v>
      </c>
      <c r="Y25">
        <v>7.1207000000000003</v>
      </c>
      <c r="Z25">
        <v>7.2247000000000003</v>
      </c>
      <c r="AA25">
        <v>8</v>
      </c>
      <c r="AB25">
        <f t="shared" si="2"/>
        <v>0.10400000000000009</v>
      </c>
      <c r="AC25">
        <f t="shared" si="3"/>
        <v>13.000000000000011</v>
      </c>
      <c r="AF25" s="42" t="e">
        <f t="shared" si="39"/>
        <v>#DIV/0!</v>
      </c>
      <c r="AG25" s="41" t="e">
        <f t="shared" si="32"/>
        <v>#DIV/0!</v>
      </c>
      <c r="AH25" s="41"/>
      <c r="AI25" s="43">
        <f t="shared" ref="AI25" si="56">$BF$15-BF25</f>
        <v>44.729899999999994</v>
      </c>
      <c r="AJ25" s="41">
        <f t="shared" si="34"/>
        <v>0.37363749999999996</v>
      </c>
      <c r="AK25" s="43">
        <f t="shared" si="35"/>
        <v>0.33412773111498129</v>
      </c>
      <c r="AL25" s="44">
        <f t="shared" si="36"/>
        <v>0.32500000000000029</v>
      </c>
      <c r="AM25" s="44">
        <f t="shared" si="41"/>
        <v>0.29063333474923958</v>
      </c>
      <c r="AN25" s="41"/>
      <c r="AO25" s="43"/>
      <c r="AP25" s="41">
        <f t="shared" si="37"/>
        <v>10.079699999999988</v>
      </c>
      <c r="AQ25" s="44">
        <f t="shared" si="42"/>
        <v>1.0079699999999989</v>
      </c>
      <c r="AR25" s="44">
        <f t="shared" si="43"/>
        <v>-2.9762790559239589E-2</v>
      </c>
      <c r="AS25" s="43">
        <f t="shared" si="44"/>
        <v>-2.9527456729108625E-2</v>
      </c>
      <c r="AT25" s="44">
        <f t="shared" si="38"/>
        <v>0.52061073246227607</v>
      </c>
      <c r="AU25" s="45">
        <f t="shared" si="45"/>
        <v>5.1649427310562483E-2</v>
      </c>
      <c r="AV25" s="44"/>
      <c r="AW25" s="44">
        <f t="shared" si="46"/>
        <v>0.62476106586422087</v>
      </c>
      <c r="BD25">
        <f t="shared" si="9"/>
        <v>0.25180000000000002</v>
      </c>
      <c r="BE25">
        <f t="shared" si="10"/>
        <v>14.945499999999999</v>
      </c>
      <c r="BF25">
        <f t="shared" si="11"/>
        <v>50.678400000000003</v>
      </c>
      <c r="BG25" t="str">
        <f t="shared" si="12"/>
        <v/>
      </c>
      <c r="BH25" t="str">
        <f t="shared" si="13"/>
        <v/>
      </c>
      <c r="BI25" t="str">
        <f t="shared" si="14"/>
        <v/>
      </c>
      <c r="BJ25" t="str">
        <f t="shared" si="15"/>
        <v/>
      </c>
      <c r="BK25" t="str">
        <f t="shared" si="16"/>
        <v/>
      </c>
      <c r="BL25" t="str">
        <f t="shared" si="17"/>
        <v/>
      </c>
      <c r="BM25" t="str">
        <f t="shared" si="18"/>
        <v/>
      </c>
      <c r="BN25" t="str">
        <f t="shared" si="19"/>
        <v/>
      </c>
      <c r="BO25" t="str">
        <f t="shared" si="20"/>
        <v/>
      </c>
      <c r="BP25" s="11"/>
      <c r="BQ25" s="11" t="str">
        <f t="shared" si="50"/>
        <v>r2</v>
      </c>
      <c r="BR25" s="6"/>
      <c r="BS25" t="str">
        <f t="shared" si="54"/>
        <v>Jeff_SloHot50_Biostat 2L-26-10</v>
      </c>
      <c r="BT25" s="6"/>
      <c r="BU25" s="32"/>
      <c r="BV25" s="6"/>
      <c r="BW25" s="6"/>
      <c r="BX25" s="6"/>
      <c r="BY25" s="6">
        <f>$BF$15-BF25</f>
        <v>44.729899999999994</v>
      </c>
      <c r="BZ25" s="6"/>
      <c r="CA25" s="6">
        <f t="shared" si="51"/>
        <v>0.75493502109704635</v>
      </c>
      <c r="CB25" s="6">
        <f t="shared" si="30"/>
        <v>10.079699999999988</v>
      </c>
      <c r="CC25" s="17">
        <f t="shared" si="55"/>
        <v>0.52362077922077865</v>
      </c>
      <c r="CD25" s="17"/>
      <c r="CE25" s="18"/>
      <c r="CF25" s="8"/>
      <c r="CG25" s="20"/>
      <c r="CH25" s="20"/>
      <c r="CI25" s="8"/>
      <c r="CN25" s="8"/>
      <c r="CO25" s="9"/>
      <c r="CP25" s="6"/>
      <c r="CQ25" s="6"/>
      <c r="CR25" s="6"/>
      <c r="CS25" s="9"/>
      <c r="CT25" s="9"/>
      <c r="CU25" s="9"/>
      <c r="CZ25" s="6"/>
      <c r="DA25" s="8"/>
      <c r="DB25" s="6"/>
    </row>
    <row r="26" spans="1:106" x14ac:dyDescent="0.25">
      <c r="B26" s="3" t="s">
        <v>210</v>
      </c>
      <c r="C26" s="3">
        <v>2.7400000000000001E-2</v>
      </c>
      <c r="D26" s="3">
        <v>0.30468000000000001</v>
      </c>
      <c r="E26" s="3">
        <v>7.04216</v>
      </c>
      <c r="F26" s="3"/>
      <c r="G26" s="3"/>
      <c r="H26" s="3" t="s">
        <v>197</v>
      </c>
      <c r="I26" s="3" t="s">
        <v>197</v>
      </c>
      <c r="J26" s="3" t="s">
        <v>197</v>
      </c>
      <c r="K26" s="3" t="s">
        <v>197</v>
      </c>
      <c r="L26" s="3"/>
      <c r="M26" s="3"/>
      <c r="N26" s="3"/>
      <c r="P26" s="2">
        <v>45626</v>
      </c>
      <c r="Q26" s="31">
        <v>0.46875</v>
      </c>
      <c r="R26">
        <f>R24+12+7.25</f>
        <v>59.25</v>
      </c>
      <c r="S26" t="s">
        <v>49</v>
      </c>
      <c r="T26">
        <v>13</v>
      </c>
      <c r="U26">
        <v>8</v>
      </c>
      <c r="V26" t="s">
        <v>23</v>
      </c>
      <c r="W26">
        <v>25.08</v>
      </c>
      <c r="X26">
        <v>85</v>
      </c>
      <c r="Y26">
        <v>7.1731999999999996</v>
      </c>
      <c r="Z26">
        <v>7.3010999999999999</v>
      </c>
      <c r="AA26">
        <v>8</v>
      </c>
      <c r="AB26">
        <f t="shared" si="2"/>
        <v>0.12790000000000035</v>
      </c>
      <c r="AC26">
        <f t="shared" si="3"/>
        <v>15.987500000000043</v>
      </c>
      <c r="AF26" s="42" t="e">
        <f t="shared" si="39"/>
        <v>#DIV/0!</v>
      </c>
      <c r="AG26" s="41" t="e">
        <f t="shared" si="32"/>
        <v>#DIV/0!</v>
      </c>
      <c r="AH26" s="41"/>
      <c r="AI26" s="43">
        <f t="shared" ref="AI26" si="57">$BF$14-BF26</f>
        <v>25.585700000000003</v>
      </c>
      <c r="AJ26" s="41">
        <f t="shared" si="34"/>
        <v>5.1422784810126583E-2</v>
      </c>
      <c r="AK26" s="43">
        <f t="shared" si="35"/>
        <v>0.11908214354111867</v>
      </c>
      <c r="AL26" s="44">
        <f t="shared" si="36"/>
        <v>0.26983122362869272</v>
      </c>
      <c r="AM26" s="44">
        <f t="shared" si="41"/>
        <v>0.62486076206631214</v>
      </c>
      <c r="AN26" s="41"/>
      <c r="AO26" s="43"/>
      <c r="AP26" s="41">
        <f t="shared" si="37"/>
        <v>6.1207000000000136</v>
      </c>
      <c r="AQ26" s="44">
        <f t="shared" si="42"/>
        <v>0.31795844155844227</v>
      </c>
      <c r="AR26" s="44">
        <f t="shared" si="43"/>
        <v>0.45746401555377969</v>
      </c>
      <c r="AS26" s="43">
        <f t="shared" si="44"/>
        <v>1.4387541129952848</v>
      </c>
      <c r="AT26" s="44">
        <f t="shared" si="38"/>
        <v>0.39046187527570297</v>
      </c>
      <c r="AU26" s="45">
        <f t="shared" si="45"/>
        <v>6.3793663351528765E-2</v>
      </c>
      <c r="AV26" s="44"/>
      <c r="AW26" s="44">
        <f t="shared" si="46"/>
        <v>0.74394290560743082</v>
      </c>
      <c r="BD26">
        <f t="shared" si="9"/>
        <v>0.27400000000000002</v>
      </c>
      <c r="BE26">
        <f t="shared" si="10"/>
        <v>3.0468000000000002</v>
      </c>
      <c r="BF26">
        <f t="shared" si="11"/>
        <v>70.421599999999998</v>
      </c>
      <c r="BG26" t="str">
        <f t="shared" si="12"/>
        <v/>
      </c>
      <c r="BH26" t="str">
        <f t="shared" si="13"/>
        <v/>
      </c>
      <c r="BI26" t="str">
        <f t="shared" si="14"/>
        <v/>
      </c>
      <c r="BJ26" t="str">
        <f t="shared" si="15"/>
        <v/>
      </c>
      <c r="BK26" t="str">
        <f t="shared" si="16"/>
        <v/>
      </c>
      <c r="BL26" t="str">
        <f t="shared" si="17"/>
        <v/>
      </c>
      <c r="BM26" t="str">
        <f t="shared" si="18"/>
        <v/>
      </c>
      <c r="BN26" t="str">
        <f t="shared" si="19"/>
        <v/>
      </c>
      <c r="BO26" t="str">
        <f t="shared" si="20"/>
        <v/>
      </c>
      <c r="BP26" s="11"/>
      <c r="BQ26" s="11" t="str">
        <f t="shared" si="50"/>
        <v>r1</v>
      </c>
      <c r="BR26" s="6"/>
      <c r="BS26" t="str">
        <f t="shared" si="54"/>
        <v>Jeff_SloHot50_Biostat 2L-26-11</v>
      </c>
      <c r="BT26" s="6"/>
      <c r="BU26" s="32"/>
      <c r="BV26" s="6"/>
      <c r="BW26" s="6"/>
      <c r="BX26" s="6"/>
      <c r="BY26" s="6">
        <f t="shared" ref="BY26:BY29" si="58">$BF$15-BF26</f>
        <v>24.986699999999999</v>
      </c>
      <c r="BZ26" s="6"/>
      <c r="CA26" s="6">
        <f t="shared" si="51"/>
        <v>0.30658527607361963</v>
      </c>
      <c r="CB26" s="6">
        <f t="shared" ref="CB26:CB29" si="59">BY26-BY24</f>
        <v>5.5217000000000098</v>
      </c>
      <c r="CC26" s="17">
        <f t="shared" si="55"/>
        <v>0.24816629213483191</v>
      </c>
      <c r="CD26" s="17"/>
      <c r="CE26" s="18"/>
      <c r="CF26" s="8"/>
      <c r="CG26" s="20"/>
      <c r="CH26" s="20"/>
      <c r="CI26" s="8"/>
      <c r="CN26" s="8"/>
      <c r="CO26" s="9"/>
      <c r="CP26" s="6"/>
      <c r="CQ26" s="6"/>
      <c r="CR26" s="6"/>
      <c r="CS26" s="9"/>
      <c r="CT26" s="9"/>
      <c r="CU26" s="9"/>
      <c r="CY26" s="12"/>
      <c r="CZ26" s="6"/>
      <c r="DA26" s="8"/>
      <c r="DB26" s="6"/>
    </row>
    <row r="27" spans="1:106" x14ac:dyDescent="0.25">
      <c r="B27" s="3" t="s">
        <v>211</v>
      </c>
      <c r="C27" s="3">
        <v>2.7689999999999999E-2</v>
      </c>
      <c r="D27" s="3">
        <v>2.31237</v>
      </c>
      <c r="E27" s="3">
        <v>3.65429</v>
      </c>
      <c r="F27" s="3"/>
      <c r="G27" s="3"/>
      <c r="H27" s="3" t="s">
        <v>197</v>
      </c>
      <c r="I27" s="3" t="s">
        <v>197</v>
      </c>
      <c r="J27" s="3" t="s">
        <v>197</v>
      </c>
      <c r="K27" s="3" t="s">
        <v>197</v>
      </c>
      <c r="L27" s="3"/>
      <c r="M27" s="3"/>
      <c r="N27" s="3"/>
      <c r="P27" s="2"/>
      <c r="Q27" s="31"/>
      <c r="R27">
        <f>R25+12+7.25</f>
        <v>59.25</v>
      </c>
      <c r="S27" t="s">
        <v>50</v>
      </c>
      <c r="T27">
        <v>14</v>
      </c>
      <c r="U27">
        <v>8</v>
      </c>
      <c r="V27" t="s">
        <v>23</v>
      </c>
      <c r="W27">
        <v>25.28</v>
      </c>
      <c r="X27">
        <v>340</v>
      </c>
      <c r="Y27">
        <v>7.2430000000000003</v>
      </c>
      <c r="Z27">
        <v>7.3452999999999999</v>
      </c>
      <c r="AA27">
        <v>8</v>
      </c>
      <c r="AB27">
        <f t="shared" si="2"/>
        <v>0.10229999999999961</v>
      </c>
      <c r="AC27">
        <f t="shared" si="3"/>
        <v>12.787499999999952</v>
      </c>
      <c r="AF27" s="42" t="e">
        <f t="shared" si="39"/>
        <v>#DIV/0!</v>
      </c>
      <c r="AG27" s="41" t="e">
        <f t="shared" si="32"/>
        <v>#DIV/0!</v>
      </c>
      <c r="AH27" s="41"/>
      <c r="AI27" s="43">
        <f t="shared" ref="AI27" si="60">$BF$15-BF27</f>
        <v>58.865399999999994</v>
      </c>
      <c r="AJ27" s="41">
        <f t="shared" si="34"/>
        <v>0.39027341772151897</v>
      </c>
      <c r="AK27" s="43">
        <f t="shared" si="35"/>
        <v>0.39282328838332881</v>
      </c>
      <c r="AL27" s="44">
        <f t="shared" si="36"/>
        <v>0.21582278481012576</v>
      </c>
      <c r="AM27" s="44">
        <f t="shared" si="41"/>
        <v>0.21723287364054186</v>
      </c>
      <c r="AN27" s="41"/>
      <c r="AO27" s="43"/>
      <c r="AP27" s="41">
        <f t="shared" si="37"/>
        <v>14.1355</v>
      </c>
      <c r="AQ27" s="44">
        <f t="shared" si="42"/>
        <v>0.73431168831168836</v>
      </c>
      <c r="AR27" s="44">
        <f t="shared" si="43"/>
        <v>-1.503307276007633E-2</v>
      </c>
      <c r="AS27" s="43">
        <f t="shared" si="44"/>
        <v>-2.047233211640687E-2</v>
      </c>
      <c r="AT27" s="44">
        <f t="shared" si="38"/>
        <v>0.57855753245375119</v>
      </c>
      <c r="AU27" s="45">
        <f t="shared" si="45"/>
        <v>4.0929399911835536E-2</v>
      </c>
      <c r="AV27" s="44"/>
      <c r="AW27" s="44">
        <f t="shared" si="46"/>
        <v>0.6100561620238707</v>
      </c>
      <c r="BD27">
        <f t="shared" si="9"/>
        <v>0.27689999999999998</v>
      </c>
      <c r="BE27">
        <f t="shared" si="10"/>
        <v>23.123699999999999</v>
      </c>
      <c r="BF27">
        <f t="shared" si="11"/>
        <v>36.542900000000003</v>
      </c>
      <c r="BG27" t="str">
        <f t="shared" si="12"/>
        <v/>
      </c>
      <c r="BH27" t="str">
        <f t="shared" si="13"/>
        <v/>
      </c>
      <c r="BI27" t="str">
        <f t="shared" si="14"/>
        <v/>
      </c>
      <c r="BJ27" t="str">
        <f t="shared" si="15"/>
        <v/>
      </c>
      <c r="BK27" t="str">
        <f t="shared" si="16"/>
        <v/>
      </c>
      <c r="BL27" t="str">
        <f t="shared" si="17"/>
        <v/>
      </c>
      <c r="BM27" t="str">
        <f t="shared" si="18"/>
        <v/>
      </c>
      <c r="BN27" t="str">
        <f t="shared" si="19"/>
        <v/>
      </c>
      <c r="BO27" t="str">
        <f t="shared" si="20"/>
        <v/>
      </c>
      <c r="BP27" s="11"/>
      <c r="BQ27" s="11" t="str">
        <f t="shared" si="50"/>
        <v>r2</v>
      </c>
      <c r="BR27" s="6"/>
      <c r="BS27" t="str">
        <f t="shared" si="54"/>
        <v>Jeff_SloHot50_Biostat 2L-26-12</v>
      </c>
      <c r="BT27" s="6"/>
      <c r="BU27" s="32"/>
      <c r="BV27" s="6"/>
      <c r="BW27" s="6"/>
      <c r="BX27" s="6"/>
      <c r="BY27" s="6">
        <f t="shared" si="58"/>
        <v>58.865399999999994</v>
      </c>
      <c r="BZ27" s="6"/>
      <c r="CA27" s="6">
        <f t="shared" si="51"/>
        <v>0.7222748466257668</v>
      </c>
      <c r="CB27" s="6">
        <f t="shared" si="59"/>
        <v>14.1355</v>
      </c>
      <c r="CC27" s="17">
        <f t="shared" si="55"/>
        <v>0.63530337078651689</v>
      </c>
      <c r="CD27" s="17"/>
      <c r="CE27" s="18"/>
      <c r="CF27" s="8"/>
      <c r="CG27" s="20"/>
      <c r="CH27" s="20"/>
      <c r="CI27" s="8"/>
      <c r="CN27" s="8"/>
      <c r="CO27" s="9"/>
      <c r="CP27" s="6"/>
      <c r="CQ27" s="6"/>
      <c r="CR27" s="6"/>
      <c r="CS27" s="9"/>
      <c r="CT27" s="9"/>
      <c r="CU27" s="9"/>
      <c r="CZ27" s="6"/>
      <c r="DA27" s="8"/>
      <c r="DB27" s="6"/>
    </row>
    <row r="28" spans="1:106" x14ac:dyDescent="0.25">
      <c r="B28" s="3" t="s">
        <v>212</v>
      </c>
      <c r="C28" s="3">
        <v>3.2710000000000003E-2</v>
      </c>
      <c r="D28" s="3">
        <v>0.64715</v>
      </c>
      <c r="E28" s="3">
        <v>6.0611699999999997</v>
      </c>
      <c r="F28" s="3"/>
      <c r="G28" s="3"/>
      <c r="H28" s="3"/>
      <c r="I28" s="3"/>
      <c r="J28" s="3"/>
      <c r="K28" s="3"/>
      <c r="L28" s="3"/>
      <c r="M28" s="3"/>
      <c r="N28" s="3"/>
      <c r="P28" s="2">
        <v>45627</v>
      </c>
      <c r="Q28" s="31">
        <v>0.39583333333333331</v>
      </c>
      <c r="R28">
        <f>R26+12+10.25</f>
        <v>81.5</v>
      </c>
      <c r="S28" t="s">
        <v>49</v>
      </c>
      <c r="T28">
        <v>15</v>
      </c>
      <c r="U28">
        <v>8</v>
      </c>
      <c r="W28">
        <v>26.08</v>
      </c>
      <c r="X28">
        <v>133</v>
      </c>
      <c r="Y28">
        <v>7.1471999999999998</v>
      </c>
      <c r="Z28">
        <v>7.2735000000000003</v>
      </c>
      <c r="AA28">
        <v>8</v>
      </c>
      <c r="AB28">
        <f t="shared" si="2"/>
        <v>0.12630000000000052</v>
      </c>
      <c r="AC28">
        <f t="shared" si="3"/>
        <v>15.787500000000065</v>
      </c>
      <c r="AF28" s="42" t="e">
        <f t="shared" si="39"/>
        <v>#DIV/0!</v>
      </c>
      <c r="AG28" s="41" t="e">
        <f t="shared" si="32"/>
        <v>#DIV/0!</v>
      </c>
      <c r="AH28" s="41"/>
      <c r="AI28" s="43">
        <f t="shared" ref="AI28" si="61">$BF$14-BF28</f>
        <v>35.395600000000002</v>
      </c>
      <c r="AJ28" s="41">
        <f t="shared" si="34"/>
        <v>7.9404907975460126E-2</v>
      </c>
      <c r="AK28" s="43">
        <f t="shared" si="35"/>
        <v>0.18283345952604277</v>
      </c>
      <c r="AL28" s="44">
        <f t="shared" si="36"/>
        <v>0.19371165644171859</v>
      </c>
      <c r="AM28" s="44">
        <f t="shared" si="41"/>
        <v>0.44603001503011858</v>
      </c>
      <c r="AN28" s="41"/>
      <c r="AO28" s="43"/>
      <c r="AP28" s="41">
        <f t="shared" si="37"/>
        <v>9.809899999999999</v>
      </c>
      <c r="AQ28" s="44">
        <f t="shared" si="42"/>
        <v>0.44089438202247189</v>
      </c>
      <c r="AR28" s="44">
        <f t="shared" si="43"/>
        <v>-2.0387567661237931E-2</v>
      </c>
      <c r="AS28" s="43">
        <f t="shared" si="44"/>
        <v>-4.624138680950305E-2</v>
      </c>
      <c r="AT28" s="44">
        <f t="shared" si="38"/>
        <v>0.34910651484724614</v>
      </c>
      <c r="AU28" s="45">
        <f t="shared" si="45"/>
        <v>3.5587163462139894E-2</v>
      </c>
      <c r="AV28" s="44"/>
      <c r="AW28" s="44">
        <f t="shared" si="46"/>
        <v>0.62886347455616132</v>
      </c>
      <c r="BD28">
        <f t="shared" si="9"/>
        <v>0.3271</v>
      </c>
      <c r="BE28">
        <f t="shared" si="10"/>
        <v>6.4714999999999998</v>
      </c>
      <c r="BF28">
        <f t="shared" si="11"/>
        <v>60.611699999999999</v>
      </c>
      <c r="BG28" t="str">
        <f t="shared" si="12"/>
        <v/>
      </c>
      <c r="BH28" t="str">
        <f t="shared" si="13"/>
        <v/>
      </c>
      <c r="BI28" t="str">
        <f t="shared" si="14"/>
        <v/>
      </c>
      <c r="BJ28" t="str">
        <f t="shared" si="15"/>
        <v/>
      </c>
      <c r="BK28" t="str">
        <f t="shared" si="16"/>
        <v/>
      </c>
      <c r="BL28" t="str">
        <f t="shared" si="17"/>
        <v/>
      </c>
      <c r="BM28" t="str">
        <f t="shared" si="18"/>
        <v/>
      </c>
      <c r="BN28" t="str">
        <f t="shared" si="19"/>
        <v/>
      </c>
      <c r="BO28" t="str">
        <f t="shared" si="20"/>
        <v/>
      </c>
      <c r="BP28" s="11"/>
      <c r="BQ28" s="11">
        <f t="shared" si="50"/>
        <v>0</v>
      </c>
      <c r="BR28" s="6"/>
      <c r="BS28" t="str">
        <f t="shared" si="54"/>
        <v>Jeff_SloHot50_Biostat 2L-26-13</v>
      </c>
      <c r="BT28" s="6"/>
      <c r="BU28" s="32"/>
      <c r="BV28" s="6"/>
      <c r="BW28" s="6"/>
      <c r="BX28" s="6"/>
      <c r="BY28" s="6">
        <f t="shared" si="58"/>
        <v>34.796599999999998</v>
      </c>
      <c r="BZ28" s="6"/>
      <c r="CA28" s="6" t="e">
        <f t="shared" si="51"/>
        <v>#DIV/0!</v>
      </c>
      <c r="CB28" s="6">
        <f t="shared" si="59"/>
        <v>9.809899999999999</v>
      </c>
      <c r="CC28" s="17">
        <f t="shared" si="55"/>
        <v>-0.12036687116564417</v>
      </c>
      <c r="CD28" s="17"/>
      <c r="CE28" s="18"/>
      <c r="CF28" s="8"/>
      <c r="CG28" s="20"/>
      <c r="CH28" s="20"/>
      <c r="CI28" s="8"/>
      <c r="CN28" s="8"/>
      <c r="CO28" s="9"/>
      <c r="CP28" s="6"/>
      <c r="CQ28" s="6"/>
      <c r="CR28" s="6"/>
      <c r="CS28" s="9"/>
      <c r="CT28" s="9"/>
      <c r="CU28" s="9"/>
      <c r="DA28" s="8"/>
      <c r="DB28" s="6"/>
    </row>
    <row r="29" spans="1:106" x14ac:dyDescent="0.25">
      <c r="B29" s="3" t="s">
        <v>231</v>
      </c>
      <c r="C29" s="3">
        <v>3.0249999999999999E-2</v>
      </c>
      <c r="D29" s="3">
        <v>3.00888</v>
      </c>
      <c r="E29" s="3">
        <v>2.4607600000000001</v>
      </c>
      <c r="F29" s="3"/>
      <c r="G29" s="3"/>
      <c r="H29" s="3"/>
      <c r="I29" s="3"/>
      <c r="J29" s="3"/>
      <c r="K29" s="3"/>
      <c r="L29" s="3"/>
      <c r="M29" s="3"/>
      <c r="N29" s="3"/>
      <c r="P29" s="2"/>
      <c r="Q29" s="31"/>
      <c r="R29">
        <f>R27+12+10.25</f>
        <v>81.5</v>
      </c>
      <c r="S29" t="s">
        <v>50</v>
      </c>
      <c r="T29">
        <v>16</v>
      </c>
      <c r="U29">
        <v>8</v>
      </c>
      <c r="W29">
        <v>24.64</v>
      </c>
      <c r="X29">
        <v>452</v>
      </c>
      <c r="Y29">
        <v>7.1741000000000001</v>
      </c>
      <c r="Z29">
        <v>7.2647000000000004</v>
      </c>
      <c r="AA29">
        <v>8</v>
      </c>
      <c r="AB29">
        <f t="shared" si="2"/>
        <v>9.0600000000000236E-2</v>
      </c>
      <c r="AC29">
        <f t="shared" si="3"/>
        <v>11.325000000000029</v>
      </c>
      <c r="AF29" s="42" t="e">
        <f t="shared" si="39"/>
        <v>#DIV/0!</v>
      </c>
      <c r="AG29" s="41" t="e">
        <f t="shared" si="32"/>
        <v>#DIV/0!</v>
      </c>
      <c r="AH29" s="41"/>
      <c r="AI29" s="43">
        <f t="shared" ref="AI29" si="62">$BF$15-BF29</f>
        <v>70.800699999999992</v>
      </c>
      <c r="AJ29" s="41">
        <f t="shared" si="34"/>
        <v>0.36918773006134975</v>
      </c>
      <c r="AK29" s="43">
        <f t="shared" si="35"/>
        <v>0.42497884907917588</v>
      </c>
      <c r="AL29" s="44">
        <f t="shared" si="36"/>
        <v>0.13895705521472429</v>
      </c>
      <c r="AM29" s="44">
        <f t="shared" si="41"/>
        <v>0.15995604563231763</v>
      </c>
      <c r="AN29" s="41"/>
      <c r="AO29" s="43"/>
      <c r="AP29" s="41">
        <f t="shared" si="37"/>
        <v>11.935300000000002</v>
      </c>
      <c r="AQ29" s="44">
        <f t="shared" si="42"/>
        <v>0.53641797752808995</v>
      </c>
      <c r="AR29" s="44">
        <f t="shared" si="43"/>
        <v>-0.1225356714954733</v>
      </c>
      <c r="AS29" s="43">
        <f t="shared" si="44"/>
        <v>-0.22843319319784844</v>
      </c>
      <c r="AT29" s="44">
        <f t="shared" si="38"/>
        <v>0.58357142258678074</v>
      </c>
      <c r="AU29" s="45">
        <f t="shared" si="45"/>
        <v>4.8894575133158001E-2</v>
      </c>
      <c r="AV29" s="44"/>
      <c r="AW29" s="44">
        <f t="shared" si="46"/>
        <v>0.58493489471149351</v>
      </c>
      <c r="BD29">
        <f t="shared" si="9"/>
        <v>0.30249999999999999</v>
      </c>
      <c r="BE29">
        <f t="shared" ref="BE29" si="63">IF(ISNUMBER(D29),D29*1000/100,"")</f>
        <v>30.088800000000003</v>
      </c>
      <c r="BF29">
        <f t="shared" si="11"/>
        <v>24.607600000000001</v>
      </c>
      <c r="BG29" t="str">
        <f t="shared" si="12"/>
        <v/>
      </c>
      <c r="BH29" t="str">
        <f t="shared" si="13"/>
        <v/>
      </c>
      <c r="BI29" t="str">
        <f t="shared" si="14"/>
        <v/>
      </c>
      <c r="BJ29" t="str">
        <f t="shared" si="15"/>
        <v/>
      </c>
      <c r="BK29" t="str">
        <f t="shared" si="16"/>
        <v/>
      </c>
      <c r="BL29" t="str">
        <f t="shared" si="17"/>
        <v/>
      </c>
      <c r="BM29" t="str">
        <f t="shared" si="18"/>
        <v/>
      </c>
      <c r="BN29" t="str">
        <f t="shared" si="19"/>
        <v/>
      </c>
      <c r="BO29" t="str">
        <f t="shared" si="20"/>
        <v/>
      </c>
      <c r="BP29" s="11"/>
      <c r="BQ29" s="11">
        <f t="shared" si="50"/>
        <v>0</v>
      </c>
      <c r="BR29" s="6"/>
      <c r="BS29" t="str">
        <f t="shared" si="54"/>
        <v>Jeff_SloHot50_Biostat 2L-26-14</v>
      </c>
      <c r="BT29" s="6"/>
      <c r="BU29" s="32"/>
      <c r="BV29" s="6"/>
      <c r="BW29" s="6"/>
      <c r="BX29" s="6"/>
      <c r="BY29" s="6">
        <f t="shared" si="58"/>
        <v>70.800699999999992</v>
      </c>
      <c r="BZ29" s="6"/>
      <c r="CA29" s="6" t="e">
        <f t="shared" si="51"/>
        <v>#DIV/0!</v>
      </c>
      <c r="CB29" s="6">
        <f t="shared" si="59"/>
        <v>11.935299999999998</v>
      </c>
      <c r="CC29" s="17">
        <f t="shared" si="55"/>
        <v>-0.14644539877300611</v>
      </c>
      <c r="CD29" s="17"/>
      <c r="CE29" s="18"/>
      <c r="CF29" s="8"/>
      <c r="CG29" s="20"/>
      <c r="CH29" s="20"/>
      <c r="CI29" s="8"/>
      <c r="CN29" s="8"/>
      <c r="CO29" s="9"/>
      <c r="CP29" s="6"/>
      <c r="CQ29" s="6"/>
      <c r="CR29" s="6"/>
      <c r="CS29" s="9"/>
      <c r="CT29" s="9"/>
      <c r="CU29" s="9"/>
      <c r="CZ29" s="6"/>
      <c r="DA29" s="8"/>
      <c r="DB29" s="6"/>
    </row>
    <row r="30" spans="1:106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2"/>
      <c r="Q30" s="31"/>
      <c r="BD30" t="str">
        <f t="shared" ref="BD30:BO30" si="64">IF(ISNUMBER(C30),C30*1000/100,"")</f>
        <v/>
      </c>
      <c r="BE30" t="str">
        <f t="shared" si="64"/>
        <v/>
      </c>
      <c r="BF30" t="str">
        <f t="shared" si="64"/>
        <v/>
      </c>
      <c r="BG30" t="str">
        <f t="shared" si="64"/>
        <v/>
      </c>
      <c r="BH30" t="str">
        <f t="shared" si="64"/>
        <v/>
      </c>
      <c r="BI30" t="str">
        <f t="shared" si="64"/>
        <v/>
      </c>
      <c r="BJ30" t="str">
        <f t="shared" si="64"/>
        <v/>
      </c>
      <c r="BK30" t="str">
        <f t="shared" si="64"/>
        <v/>
      </c>
      <c r="BL30" t="str">
        <f t="shared" si="64"/>
        <v/>
      </c>
      <c r="BM30" t="str">
        <f t="shared" si="64"/>
        <v/>
      </c>
      <c r="BN30" t="str">
        <f t="shared" si="64"/>
        <v/>
      </c>
      <c r="BO30" t="str">
        <f t="shared" si="64"/>
        <v/>
      </c>
      <c r="BP30" s="11"/>
      <c r="BQ30" s="11"/>
      <c r="BR30" s="6"/>
      <c r="BS30" t="str">
        <f t="shared" si="54"/>
        <v>Jeff_SloHot50_Biostat 2L-26-15</v>
      </c>
      <c r="BT30" s="6"/>
      <c r="BU30" s="32"/>
      <c r="BV30" s="6"/>
      <c r="BW30" s="6"/>
      <c r="BX30" s="6"/>
      <c r="BY30" s="6"/>
      <c r="BZ30" s="6"/>
      <c r="CA30" s="6"/>
      <c r="CB30" s="6"/>
      <c r="CC30" s="17"/>
      <c r="CD30" s="17"/>
      <c r="CE30" s="18"/>
      <c r="CF30" s="8"/>
      <c r="CG30" s="20"/>
      <c r="CH30" s="20"/>
      <c r="CI30" s="8"/>
      <c r="CN30" s="8"/>
      <c r="CO30" s="9"/>
      <c r="CP30" s="6"/>
      <c r="CQ30" s="6"/>
      <c r="CR30" s="6"/>
      <c r="CS30" s="9"/>
      <c r="CT30" s="9"/>
      <c r="CU30" s="9"/>
      <c r="CZ30" s="6"/>
      <c r="DA30" s="8"/>
      <c r="DB30" s="6"/>
    </row>
    <row r="31" spans="1:106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P31" s="2"/>
      <c r="Q31" s="31"/>
      <c r="BD31" t="str">
        <f t="shared" ref="BD31:BD37" si="65">IF(ISNUMBER(C31),C31*1000/100,"")</f>
        <v/>
      </c>
      <c r="BE31" t="str">
        <f t="shared" ref="BE31:BE37" si="66">IF(ISNUMBER(D31),D31*1000/100,"")</f>
        <v/>
      </c>
      <c r="BF31" t="str">
        <f t="shared" ref="BF31:BF37" si="67">IF(ISNUMBER(E31),E31*1000/100,"")</f>
        <v/>
      </c>
      <c r="BG31" t="str">
        <f t="shared" ref="BG31:BG37" si="68">IF(ISNUMBER(F31),F31*1000/100,"")</f>
        <v/>
      </c>
      <c r="BH31" t="str">
        <f t="shared" ref="BH31:BH37" si="69">IF(ISNUMBER(G31),G31*1000/100,"")</f>
        <v/>
      </c>
      <c r="BI31" t="str">
        <f t="shared" ref="BI31:BI37" si="70">IF(ISNUMBER(H31),H31*1000/100,"")</f>
        <v/>
      </c>
      <c r="BJ31" t="str">
        <f t="shared" ref="BJ31:BJ37" si="71">IF(ISNUMBER(I31),I31*1000/100,"")</f>
        <v/>
      </c>
      <c r="BK31" t="str">
        <f t="shared" ref="BK31:BK37" si="72">IF(ISNUMBER(J31),J31*1000/100,"")</f>
        <v/>
      </c>
      <c r="BL31" t="str">
        <f t="shared" ref="BL31:BL37" si="73">IF(ISNUMBER(K31),K31*1000/100,"")</f>
        <v/>
      </c>
      <c r="BM31" t="str">
        <f t="shared" ref="BM31:BM37" si="74">IF(ISNUMBER(L31),L31*1000/100,"")</f>
        <v/>
      </c>
      <c r="BN31" t="str">
        <f t="shared" ref="BN31:BN37" si="75">IF(ISNUMBER(M31),M31*1000/100,"")</f>
        <v/>
      </c>
      <c r="BO31" t="str">
        <f t="shared" ref="BO31:BO37" si="76">IF(ISNUMBER(N31),N31*1000/100,"")</f>
        <v/>
      </c>
      <c r="BP31" s="11"/>
      <c r="BQ31" s="11"/>
      <c r="BR31" s="6"/>
      <c r="BS31" t="str">
        <f t="shared" si="54"/>
        <v>Jeff_SloHot50_Biostat 2L-26-16</v>
      </c>
      <c r="BT31" s="4"/>
      <c r="BU31" s="32"/>
      <c r="BV31" s="6"/>
      <c r="BW31" s="6"/>
      <c r="BX31" s="6"/>
      <c r="BY31" s="6"/>
      <c r="BZ31" s="6"/>
      <c r="CA31" s="6"/>
      <c r="CB31" s="6"/>
      <c r="CC31" s="17"/>
      <c r="CD31" s="17"/>
      <c r="CE31" s="18"/>
      <c r="CF31" s="8"/>
      <c r="CG31" s="20"/>
      <c r="CH31" s="20"/>
      <c r="CI31" s="8"/>
      <c r="CN31" s="8"/>
      <c r="CO31" s="9"/>
      <c r="CP31" s="6"/>
      <c r="CQ31" s="6"/>
      <c r="CR31" s="6"/>
      <c r="CS31" s="9"/>
      <c r="CT31" s="9"/>
      <c r="CU31" s="9"/>
      <c r="CZ31" s="6"/>
      <c r="DA31" s="8"/>
      <c r="DB31" s="6"/>
    </row>
    <row r="32" spans="1:106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2"/>
      <c r="Q32" s="31"/>
      <c r="BD32" t="str">
        <f t="shared" si="65"/>
        <v/>
      </c>
      <c r="BE32" t="str">
        <f t="shared" si="66"/>
        <v/>
      </c>
      <c r="BF32" t="str">
        <f t="shared" si="67"/>
        <v/>
      </c>
      <c r="BG32" t="str">
        <f t="shared" si="68"/>
        <v/>
      </c>
      <c r="BH32" t="str">
        <f t="shared" si="69"/>
        <v/>
      </c>
      <c r="BI32" t="str">
        <f t="shared" si="70"/>
        <v/>
      </c>
      <c r="BJ32" t="str">
        <f t="shared" si="71"/>
        <v/>
      </c>
      <c r="BK32" t="str">
        <f t="shared" si="72"/>
        <v/>
      </c>
      <c r="BL32" t="str">
        <f t="shared" si="73"/>
        <v/>
      </c>
      <c r="BM32" t="str">
        <f t="shared" si="74"/>
        <v/>
      </c>
      <c r="BN32" t="str">
        <f t="shared" si="75"/>
        <v/>
      </c>
      <c r="BO32" t="str">
        <f t="shared" si="76"/>
        <v/>
      </c>
      <c r="BP32" s="11"/>
      <c r="BQ32" s="11"/>
      <c r="BR32" s="6"/>
      <c r="BT32" s="4"/>
      <c r="BU32" s="32"/>
      <c r="BV32" s="6"/>
      <c r="BW32" s="6"/>
      <c r="BX32" s="6"/>
      <c r="BY32" s="6"/>
      <c r="BZ32" s="6"/>
      <c r="CA32" s="6"/>
      <c r="CB32" s="6"/>
      <c r="CC32" s="17"/>
      <c r="CD32" s="17"/>
      <c r="CE32" s="18"/>
      <c r="CF32" s="8"/>
      <c r="CG32" s="20"/>
      <c r="CH32" s="20"/>
      <c r="CI32" s="8"/>
      <c r="CN32" s="8"/>
      <c r="CO32" s="9"/>
      <c r="CP32" s="6"/>
      <c r="CQ32" s="6"/>
      <c r="CR32" s="6"/>
      <c r="CS32" s="9"/>
      <c r="CT32" s="9"/>
      <c r="CU32" s="9"/>
      <c r="CZ32" s="6"/>
      <c r="DA32" s="8"/>
      <c r="DB32" s="6"/>
    </row>
    <row r="33" spans="2:105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2"/>
      <c r="Q33" s="31"/>
      <c r="BD33" t="str">
        <f t="shared" si="65"/>
        <v/>
      </c>
      <c r="BE33" t="str">
        <f t="shared" si="66"/>
        <v/>
      </c>
      <c r="BF33" t="str">
        <f t="shared" si="67"/>
        <v/>
      </c>
      <c r="BG33" t="str">
        <f t="shared" si="68"/>
        <v/>
      </c>
      <c r="BH33" t="str">
        <f t="shared" si="69"/>
        <v/>
      </c>
      <c r="BI33" t="str">
        <f t="shared" si="70"/>
        <v/>
      </c>
      <c r="BJ33" t="str">
        <f t="shared" si="71"/>
        <v/>
      </c>
      <c r="BK33" t="str">
        <f t="shared" si="72"/>
        <v/>
      </c>
      <c r="BL33" t="str">
        <f t="shared" si="73"/>
        <v/>
      </c>
      <c r="BM33" t="str">
        <f t="shared" si="74"/>
        <v/>
      </c>
      <c r="BN33" t="str">
        <f t="shared" si="75"/>
        <v/>
      </c>
      <c r="BO33" t="str">
        <f t="shared" si="76"/>
        <v/>
      </c>
      <c r="BP33" s="11"/>
      <c r="BQ33" s="11"/>
      <c r="BR33" s="6"/>
      <c r="BU33" s="32"/>
      <c r="BV33" s="6"/>
      <c r="BW33" s="6"/>
      <c r="BX33" s="6"/>
      <c r="BY33" s="6"/>
      <c r="BZ33" s="6"/>
      <c r="CA33" s="6"/>
      <c r="CB33" s="6"/>
      <c r="CC33" s="17"/>
      <c r="CD33" s="17"/>
      <c r="CE33" s="18"/>
      <c r="CF33" s="8"/>
      <c r="CG33" s="20"/>
      <c r="CH33" s="20"/>
      <c r="CI33" s="8"/>
      <c r="CN33" s="8"/>
      <c r="CO33" s="9"/>
      <c r="CP33" s="6"/>
      <c r="CQ33" s="6"/>
      <c r="CR33" s="6"/>
      <c r="CS33" s="22"/>
      <c r="CT33" s="9"/>
      <c r="CU33" s="9"/>
      <c r="CZ33" s="6"/>
      <c r="DA33" s="8"/>
    </row>
    <row r="34" spans="2:105" s="23" customFormat="1" ht="16.5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/>
      <c r="P34" s="2"/>
      <c r="Q34" s="31"/>
      <c r="R34"/>
      <c r="S34"/>
      <c r="T34"/>
      <c r="U34"/>
      <c r="V34"/>
      <c r="W34" s="12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 t="str">
        <f t="shared" si="65"/>
        <v/>
      </c>
      <c r="BE34" t="str">
        <f t="shared" si="66"/>
        <v/>
      </c>
      <c r="BF34" t="str">
        <f t="shared" si="67"/>
        <v/>
      </c>
      <c r="BG34" t="str">
        <f t="shared" si="68"/>
        <v/>
      </c>
      <c r="BH34" t="str">
        <f t="shared" si="69"/>
        <v/>
      </c>
      <c r="BI34" t="str">
        <f t="shared" si="70"/>
        <v/>
      </c>
      <c r="BJ34" t="str">
        <f t="shared" si="71"/>
        <v/>
      </c>
      <c r="BK34" t="str">
        <f t="shared" si="72"/>
        <v/>
      </c>
      <c r="BL34" t="str">
        <f t="shared" si="73"/>
        <v/>
      </c>
      <c r="BM34" t="str">
        <f t="shared" si="74"/>
        <v/>
      </c>
      <c r="BN34" t="str">
        <f t="shared" si="75"/>
        <v/>
      </c>
      <c r="BO34" t="str">
        <f t="shared" si="76"/>
        <v/>
      </c>
      <c r="BP34" s="11"/>
      <c r="BQ34" s="11"/>
      <c r="BR34" s="6"/>
      <c r="BS34"/>
      <c r="BT34"/>
      <c r="BU34" s="32"/>
      <c r="BV34" s="6"/>
      <c r="BW34" s="6"/>
      <c r="BX34" s="6"/>
      <c r="BY34" s="6"/>
      <c r="BZ34" s="6"/>
      <c r="CA34" s="6"/>
      <c r="CB34" s="6"/>
      <c r="CC34" s="17"/>
      <c r="CD34" s="17"/>
      <c r="CE34" s="18"/>
      <c r="CF34" s="8"/>
      <c r="CG34" s="20"/>
      <c r="CH34" s="20"/>
      <c r="CI34" s="8"/>
      <c r="CJ34"/>
      <c r="CL34"/>
      <c r="CM34"/>
      <c r="CN34" s="8"/>
      <c r="CO34" s="9"/>
      <c r="CP34" s="6"/>
      <c r="CQ34" s="6"/>
      <c r="CR34" s="6"/>
      <c r="CS34" s="24"/>
      <c r="CT34" s="9"/>
      <c r="CU34" s="9"/>
      <c r="CX34"/>
      <c r="CY34"/>
      <c r="CZ34" s="6"/>
      <c r="DA34" s="8"/>
    </row>
    <row r="35" spans="2:105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P35" s="2"/>
      <c r="Q35" s="31"/>
      <c r="W35" s="12"/>
      <c r="BD35" t="str">
        <f t="shared" si="65"/>
        <v/>
      </c>
      <c r="BE35" t="str">
        <f t="shared" si="66"/>
        <v/>
      </c>
      <c r="BF35" t="str">
        <f t="shared" si="67"/>
        <v/>
      </c>
      <c r="BG35" t="str">
        <f t="shared" si="68"/>
        <v/>
      </c>
      <c r="BH35" t="str">
        <f t="shared" si="69"/>
        <v/>
      </c>
      <c r="BI35" t="str">
        <f t="shared" si="70"/>
        <v/>
      </c>
      <c r="BJ35" t="str">
        <f t="shared" si="71"/>
        <v/>
      </c>
      <c r="BK35" t="str">
        <f t="shared" si="72"/>
        <v/>
      </c>
      <c r="BL35" t="str">
        <f t="shared" si="73"/>
        <v/>
      </c>
      <c r="BM35" t="str">
        <f t="shared" si="74"/>
        <v/>
      </c>
      <c r="BN35" t="str">
        <f t="shared" si="75"/>
        <v/>
      </c>
      <c r="BO35" t="str">
        <f t="shared" si="76"/>
        <v/>
      </c>
      <c r="BP35" s="11"/>
      <c r="BQ35" s="11"/>
      <c r="BR35" s="6"/>
      <c r="BT35" s="6"/>
      <c r="BU35" s="32"/>
      <c r="BV35" s="6"/>
      <c r="BW35" s="6"/>
      <c r="BX35" s="6"/>
      <c r="BY35" s="6"/>
      <c r="BZ35" s="6"/>
      <c r="CA35" s="6"/>
      <c r="CB35" s="6"/>
      <c r="CC35" s="17"/>
      <c r="CD35" s="17"/>
      <c r="CE35" s="18"/>
      <c r="CF35" s="8"/>
      <c r="CG35" s="20"/>
      <c r="CH35" s="20"/>
      <c r="CI35" s="8"/>
      <c r="CN35" s="8"/>
      <c r="CO35" s="9"/>
      <c r="CP35" s="6"/>
      <c r="CQ35" s="6"/>
      <c r="CR35" s="6"/>
      <c r="CS35" s="9"/>
      <c r="CT35" s="9"/>
      <c r="CU35" s="9"/>
      <c r="CZ35" s="6"/>
      <c r="DA35" s="8"/>
    </row>
    <row r="36" spans="2:105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P36" s="2"/>
      <c r="Q36" s="31"/>
      <c r="BD36" t="str">
        <f t="shared" si="65"/>
        <v/>
      </c>
      <c r="BE36" t="str">
        <f t="shared" si="66"/>
        <v/>
      </c>
      <c r="BF36" t="str">
        <f t="shared" si="67"/>
        <v/>
      </c>
      <c r="BG36" t="str">
        <f t="shared" si="68"/>
        <v/>
      </c>
      <c r="BH36" t="str">
        <f t="shared" si="69"/>
        <v/>
      </c>
      <c r="BI36" t="str">
        <f t="shared" si="70"/>
        <v/>
      </c>
      <c r="BJ36" t="str">
        <f t="shared" si="71"/>
        <v/>
      </c>
      <c r="BK36" t="str">
        <f t="shared" si="72"/>
        <v/>
      </c>
      <c r="BL36" t="str">
        <f t="shared" si="73"/>
        <v/>
      </c>
      <c r="BM36" t="str">
        <f t="shared" si="74"/>
        <v/>
      </c>
      <c r="BN36" t="str">
        <f t="shared" si="75"/>
        <v/>
      </c>
      <c r="BO36" t="str">
        <f t="shared" si="76"/>
        <v/>
      </c>
      <c r="BP36" s="11"/>
      <c r="BR36"/>
      <c r="BZ36"/>
      <c r="CA36"/>
    </row>
    <row r="37" spans="2:105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P37" s="2"/>
      <c r="Q37" s="31"/>
      <c r="BD37" t="str">
        <f t="shared" si="65"/>
        <v/>
      </c>
      <c r="BE37" t="str">
        <f t="shared" si="66"/>
        <v/>
      </c>
      <c r="BF37" t="str">
        <f t="shared" si="67"/>
        <v/>
      </c>
      <c r="BG37" t="str">
        <f t="shared" si="68"/>
        <v/>
      </c>
      <c r="BH37" t="str">
        <f t="shared" si="69"/>
        <v/>
      </c>
      <c r="BI37" t="str">
        <f t="shared" si="70"/>
        <v/>
      </c>
      <c r="BJ37" t="str">
        <f t="shared" si="71"/>
        <v/>
      </c>
      <c r="BK37" t="str">
        <f t="shared" si="72"/>
        <v/>
      </c>
      <c r="BL37" t="str">
        <f t="shared" si="73"/>
        <v/>
      </c>
      <c r="BM37" t="str">
        <f t="shared" si="74"/>
        <v/>
      </c>
      <c r="BN37" t="str">
        <f t="shared" si="75"/>
        <v/>
      </c>
      <c r="BO37" t="str">
        <f t="shared" si="76"/>
        <v/>
      </c>
      <c r="BP37" s="11"/>
      <c r="BR37"/>
      <c r="BZ37"/>
      <c r="CA37"/>
    </row>
    <row r="38" spans="2:105" x14ac:dyDescent="0.25">
      <c r="L38" s="3"/>
      <c r="M38" s="3"/>
      <c r="BP38" s="11"/>
      <c r="BR38"/>
      <c r="BZ38"/>
      <c r="CA38"/>
    </row>
    <row r="39" spans="2:105" x14ac:dyDescent="0.25">
      <c r="L39" s="3"/>
      <c r="M39" s="3"/>
      <c r="BP39" s="11"/>
      <c r="BR39"/>
      <c r="BZ39"/>
      <c r="CA39"/>
    </row>
    <row r="40" spans="2:105" x14ac:dyDescent="0.25">
      <c r="BP40" s="11"/>
      <c r="BR40"/>
      <c r="BZ40"/>
      <c r="CA40"/>
    </row>
    <row r="41" spans="2:105" x14ac:dyDescent="0.25">
      <c r="BP41" s="11"/>
      <c r="BR41"/>
      <c r="BZ41"/>
      <c r="CA41"/>
    </row>
    <row r="42" spans="2:105" x14ac:dyDescent="0.25">
      <c r="BP42" s="11"/>
      <c r="BR42"/>
      <c r="BZ42"/>
      <c r="CA42"/>
    </row>
    <row r="43" spans="2:105" x14ac:dyDescent="0.25">
      <c r="BP43" s="11"/>
      <c r="BR43"/>
      <c r="BZ43"/>
      <c r="CA43"/>
    </row>
    <row r="44" spans="2:105" x14ac:dyDescent="0.25">
      <c r="BP44" s="11"/>
      <c r="BR44"/>
      <c r="BZ44"/>
      <c r="CA44"/>
    </row>
    <row r="45" spans="2:105" x14ac:dyDescent="0.25">
      <c r="BP45" s="11"/>
      <c r="BR45"/>
      <c r="BZ45"/>
      <c r="CA45"/>
    </row>
    <row r="46" spans="2:105" x14ac:dyDescent="0.25">
      <c r="BP46" s="11"/>
      <c r="BR46"/>
      <c r="BZ46"/>
      <c r="CA46"/>
    </row>
    <row r="47" spans="2:105" x14ac:dyDescent="0.25">
      <c r="BP47" s="11"/>
      <c r="BR47"/>
      <c r="BZ47"/>
      <c r="CA47"/>
    </row>
    <row r="48" spans="2:105" x14ac:dyDescent="0.25">
      <c r="BP48" s="11"/>
      <c r="BR48"/>
      <c r="BZ48"/>
      <c r="CA48"/>
    </row>
    <row r="49" spans="68:79" x14ac:dyDescent="0.25">
      <c r="BP49" s="11"/>
      <c r="BR49"/>
      <c r="BZ49"/>
      <c r="CA49"/>
    </row>
    <row r="50" spans="68:79" x14ac:dyDescent="0.25">
      <c r="BP50" s="11"/>
      <c r="BR50"/>
      <c r="BZ50"/>
      <c r="CA50"/>
    </row>
    <row r="51" spans="68:79" x14ac:dyDescent="0.25">
      <c r="BP51" s="11"/>
      <c r="BR51"/>
      <c r="BZ51"/>
      <c r="CA51"/>
    </row>
    <row r="52" spans="68:79" x14ac:dyDescent="0.25">
      <c r="BP52" s="11"/>
      <c r="BR52"/>
      <c r="BZ52"/>
      <c r="CA52"/>
    </row>
    <row r="53" spans="68:79" x14ac:dyDescent="0.25">
      <c r="BP53" s="11"/>
      <c r="BR53"/>
      <c r="BZ53"/>
      <c r="CA53"/>
    </row>
    <row r="54" spans="68:79" x14ac:dyDescent="0.25">
      <c r="BP54" s="11"/>
      <c r="BR54"/>
      <c r="BZ54"/>
      <c r="CA54"/>
    </row>
    <row r="55" spans="68:79" x14ac:dyDescent="0.25">
      <c r="BP55" s="11"/>
      <c r="BR55"/>
      <c r="BZ55"/>
      <c r="CA55"/>
    </row>
    <row r="56" spans="68:79" x14ac:dyDescent="0.25">
      <c r="BP56" s="11"/>
      <c r="BR56"/>
      <c r="BZ56"/>
      <c r="CA56"/>
    </row>
    <row r="57" spans="68:79" x14ac:dyDescent="0.25">
      <c r="BP57" s="11"/>
      <c r="BR57"/>
      <c r="BZ57"/>
      <c r="CA57"/>
    </row>
    <row r="58" spans="68:79" x14ac:dyDescent="0.25">
      <c r="BP58" s="11"/>
      <c r="BR58"/>
      <c r="BZ58"/>
      <c r="CA58"/>
    </row>
    <row r="59" spans="68:79" x14ac:dyDescent="0.25">
      <c r="BP59" s="11"/>
      <c r="BR59"/>
      <c r="BZ59"/>
      <c r="CA59"/>
    </row>
    <row r="60" spans="68:79" x14ac:dyDescent="0.25">
      <c r="BP60" s="11"/>
      <c r="BR60"/>
      <c r="BZ60"/>
      <c r="CA60"/>
    </row>
    <row r="61" spans="68:79" x14ac:dyDescent="0.25">
      <c r="BP61" s="11"/>
      <c r="BR61"/>
      <c r="BZ61"/>
      <c r="CA61"/>
    </row>
    <row r="62" spans="68:79" x14ac:dyDescent="0.25">
      <c r="BP62" s="11"/>
      <c r="BR62"/>
      <c r="BZ62"/>
      <c r="CA62"/>
    </row>
    <row r="63" spans="68:79" x14ac:dyDescent="0.25">
      <c r="BP63" s="11"/>
      <c r="BR63"/>
      <c r="BZ63"/>
      <c r="CA63"/>
    </row>
    <row r="64" spans="68:79" x14ac:dyDescent="0.25">
      <c r="BP64" s="11"/>
      <c r="BR64"/>
      <c r="BZ64"/>
      <c r="CA64"/>
    </row>
    <row r="65" spans="21:105" x14ac:dyDescent="0.25">
      <c r="BP65" s="11"/>
      <c r="BR65"/>
      <c r="BZ65"/>
      <c r="CA65"/>
    </row>
    <row r="66" spans="21:105" x14ac:dyDescent="0.25">
      <c r="BP66" s="11"/>
      <c r="BR66"/>
      <c r="BZ66"/>
      <c r="CA66"/>
    </row>
    <row r="67" spans="21:105" x14ac:dyDescent="0.25">
      <c r="BP67" s="11"/>
      <c r="BR67"/>
      <c r="BZ67"/>
      <c r="CA67"/>
      <c r="CB67" s="6"/>
      <c r="CC67" s="18"/>
      <c r="CD67" s="29"/>
      <c r="CH67" s="20"/>
      <c r="CI67" s="8"/>
      <c r="CN67" s="9"/>
      <c r="CO67" s="9"/>
      <c r="CP67" s="6"/>
      <c r="CQ67" s="6"/>
      <c r="CR67" s="6"/>
      <c r="CS67" s="9"/>
      <c r="CT67" s="9"/>
      <c r="CU67" s="9"/>
      <c r="CZ67" s="6"/>
      <c r="DA67" s="6"/>
    </row>
    <row r="68" spans="21:105" x14ac:dyDescent="0.25">
      <c r="BR68"/>
      <c r="BU68" s="5"/>
      <c r="BZ68"/>
      <c r="CA68"/>
      <c r="CC68" s="15"/>
      <c r="CD68" s="27"/>
    </row>
    <row r="71" spans="21:105" x14ac:dyDescent="0.25">
      <c r="U71">
        <f>390/24</f>
        <v>16.25</v>
      </c>
    </row>
    <row r="76" spans="21:105" x14ac:dyDescent="0.25">
      <c r="BP76" s="8"/>
    </row>
  </sheetData>
  <autoFilter ref="A13:CL67" xr:uid="{B3D1077A-180E-2048-ACB0-3483679027C1}"/>
  <mergeCells count="2">
    <mergeCell ref="BD12:BN12"/>
    <mergeCell ref="BQ12:CW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6144-421C-CD41-9C30-40191333DCAB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defaultColWidth="11" defaultRowHeight="15.7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Alvarez, Jasmin</cp:lastModifiedBy>
  <dcterms:created xsi:type="dcterms:W3CDTF">2023-07-31T14:31:14Z</dcterms:created>
  <dcterms:modified xsi:type="dcterms:W3CDTF">2024-12-11T18:38:19Z</dcterms:modified>
</cp:coreProperties>
</file>