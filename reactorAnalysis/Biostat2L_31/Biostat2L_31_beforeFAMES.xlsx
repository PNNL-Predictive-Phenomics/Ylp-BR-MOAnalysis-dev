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1/"/>
    </mc:Choice>
  </mc:AlternateContent>
  <xr:revisionPtr revIDLastSave="0" documentId="14_{CBF5CCE5-37E8-174D-A189-273E99FC0328}" xr6:coauthVersionLast="47" xr6:coauthVersionMax="47" xr10:uidLastSave="{00000000-0000-0000-0000-000000000000}"/>
  <bookViews>
    <workbookView xWindow="0" yWindow="760" windowWidth="30240" windowHeight="17380" activeTab="5" xr2:uid="{2CB98866-BA1A-4BB1-80DB-042985E94662}"/>
  </bookViews>
  <sheets>
    <sheet name="info" sheetId="2" r:id="rId1"/>
    <sheet name="medium" sheetId="3" r:id="rId2"/>
    <sheet name="vessel setup" sheetId="4" r:id="rId3"/>
    <sheet name="history_" sheetId="5" r:id="rId4"/>
    <sheet name="metadata" sheetId="6" r:id="rId5"/>
    <sheet name="data" sheetId="7" r:id="rId6"/>
    <sheet name="FAMES" sheetId="8" r:id="rId7"/>
    <sheet name="questions" sheetId="9" r:id="rId8"/>
    <sheet name="seedCultureNotes" sheetId="10" r:id="rId9"/>
  </sheets>
  <definedNames>
    <definedName name="_xlnm._FilterDatabase" localSheetId="5" hidden="1">data!$A$13:$CL$58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" i="7" l="1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14" i="7"/>
  <c r="AF14" i="7"/>
  <c r="AE31" i="7"/>
  <c r="K32" i="8"/>
  <c r="L32" i="8" s="1"/>
  <c r="AW31" i="7" l="1"/>
  <c r="AT31" i="7"/>
  <c r="AU31" i="7" s="1"/>
  <c r="AR31" i="7"/>
  <c r="AS31" i="7" s="1"/>
  <c r="AQ31" i="7"/>
  <c r="AP31" i="7"/>
  <c r="AW30" i="7"/>
  <c r="AT30" i="7"/>
  <c r="AU30" i="7" s="1"/>
  <c r="AR30" i="7"/>
  <c r="AP30" i="7"/>
  <c r="AQ30" i="7" s="1"/>
  <c r="AW29" i="7"/>
  <c r="AU29" i="7"/>
  <c r="AT29" i="7"/>
  <c r="AR29" i="7"/>
  <c r="AP29" i="7"/>
  <c r="AQ29" i="7" s="1"/>
  <c r="AW28" i="7"/>
  <c r="AT28" i="7"/>
  <c r="AU28" i="7" s="1"/>
  <c r="AR28" i="7"/>
  <c r="AP28" i="7"/>
  <c r="AQ28" i="7" s="1"/>
  <c r="AW27" i="7"/>
  <c r="AT27" i="7"/>
  <c r="AU27" i="7" s="1"/>
  <c r="AR27" i="7"/>
  <c r="AP27" i="7"/>
  <c r="AQ27" i="7" s="1"/>
  <c r="AW26" i="7"/>
  <c r="AT26" i="7"/>
  <c r="AU26" i="7" s="1"/>
  <c r="AR26" i="7"/>
  <c r="AP26" i="7"/>
  <c r="AQ26" i="7" s="1"/>
  <c r="AW25" i="7"/>
  <c r="AT25" i="7"/>
  <c r="AU25" i="7" s="1"/>
  <c r="AR25" i="7"/>
  <c r="AP25" i="7"/>
  <c r="AQ25" i="7" s="1"/>
  <c r="AS25" i="7" s="1"/>
  <c r="AW24" i="7"/>
  <c r="AT24" i="7"/>
  <c r="AU24" i="7" s="1"/>
  <c r="AR24" i="7"/>
  <c r="AP24" i="7"/>
  <c r="AQ24" i="7" s="1"/>
  <c r="AW23" i="7"/>
  <c r="AT23" i="7"/>
  <c r="AU23" i="7" s="1"/>
  <c r="AR23" i="7"/>
  <c r="AP23" i="7"/>
  <c r="AQ23" i="7" s="1"/>
  <c r="AW22" i="7"/>
  <c r="AT22" i="7"/>
  <c r="AU22" i="7" s="1"/>
  <c r="AR22" i="7"/>
  <c r="AP22" i="7"/>
  <c r="AQ22" i="7" s="1"/>
  <c r="AW21" i="7"/>
  <c r="AT21" i="7"/>
  <c r="AU21" i="7" s="1"/>
  <c r="AR21" i="7"/>
  <c r="AS21" i="7" s="1"/>
  <c r="AQ21" i="7"/>
  <c r="AP21" i="7"/>
  <c r="AW20" i="7"/>
  <c r="AT20" i="7"/>
  <c r="AU20" i="7" s="1"/>
  <c r="AR20" i="7"/>
  <c r="AP20" i="7"/>
  <c r="AQ20" i="7" s="1"/>
  <c r="AW19" i="7"/>
  <c r="AU19" i="7"/>
  <c r="AT19" i="7"/>
  <c r="AR19" i="7"/>
  <c r="AP19" i="7"/>
  <c r="AQ19" i="7" s="1"/>
  <c r="AW18" i="7"/>
  <c r="AT18" i="7"/>
  <c r="AU18" i="7" s="1"/>
  <c r="AR18" i="7"/>
  <c r="AP18" i="7"/>
  <c r="AQ18" i="7" s="1"/>
  <c r="AW17" i="7"/>
  <c r="AT17" i="7"/>
  <c r="AU17" i="7" s="1"/>
  <c r="AR17" i="7"/>
  <c r="AP17" i="7"/>
  <c r="AQ17" i="7" s="1"/>
  <c r="AW16" i="7"/>
  <c r="AT16" i="7"/>
  <c r="AU16" i="7" s="1"/>
  <c r="AR16" i="7"/>
  <c r="AP16" i="7"/>
  <c r="AQ16" i="7" s="1"/>
  <c r="AL31" i="7"/>
  <c r="AJ31" i="7"/>
  <c r="AI31" i="7"/>
  <c r="AM31" i="7" s="1"/>
  <c r="AL30" i="7"/>
  <c r="AJ30" i="7"/>
  <c r="AI30" i="7"/>
  <c r="AM30" i="7" s="1"/>
  <c r="AL29" i="7"/>
  <c r="AJ29" i="7"/>
  <c r="AI29" i="7"/>
  <c r="AM29" i="7" s="1"/>
  <c r="AL28" i="7"/>
  <c r="AJ28" i="7"/>
  <c r="AI28" i="7"/>
  <c r="AM28" i="7" s="1"/>
  <c r="AL27" i="7"/>
  <c r="AJ27" i="7"/>
  <c r="AI27" i="7"/>
  <c r="AM27" i="7" s="1"/>
  <c r="AL26" i="7"/>
  <c r="AJ26" i="7"/>
  <c r="AI26" i="7"/>
  <c r="AM26" i="7" s="1"/>
  <c r="AL25" i="7"/>
  <c r="AJ25" i="7"/>
  <c r="AI25" i="7"/>
  <c r="AM25" i="7" s="1"/>
  <c r="AL24" i="7"/>
  <c r="AJ24" i="7"/>
  <c r="AI24" i="7"/>
  <c r="AM24" i="7" s="1"/>
  <c r="AL23" i="7"/>
  <c r="AJ23" i="7"/>
  <c r="AI23" i="7"/>
  <c r="AM23" i="7" s="1"/>
  <c r="AL22" i="7"/>
  <c r="AJ22" i="7"/>
  <c r="AI22" i="7"/>
  <c r="AM22" i="7" s="1"/>
  <c r="AL21" i="7"/>
  <c r="AJ21" i="7"/>
  <c r="AI21" i="7"/>
  <c r="AM21" i="7" s="1"/>
  <c r="AL20" i="7"/>
  <c r="AJ20" i="7"/>
  <c r="AI20" i="7"/>
  <c r="AM20" i="7" s="1"/>
  <c r="AL19" i="7"/>
  <c r="AJ19" i="7"/>
  <c r="AI19" i="7"/>
  <c r="AM19" i="7" s="1"/>
  <c r="AL18" i="7"/>
  <c r="AJ18" i="7"/>
  <c r="AI18" i="7"/>
  <c r="AM18" i="7" s="1"/>
  <c r="AL17" i="7"/>
  <c r="AJ17" i="7"/>
  <c r="AI17" i="7"/>
  <c r="AM17" i="7" s="1"/>
  <c r="AL16" i="7"/>
  <c r="AJ16" i="7"/>
  <c r="AI16" i="7"/>
  <c r="AM16" i="7" s="1"/>
  <c r="AL15" i="7"/>
  <c r="AJ15" i="7"/>
  <c r="AI15" i="7"/>
  <c r="AM15" i="7" s="1"/>
  <c r="AL14" i="7"/>
  <c r="AJ14" i="7"/>
  <c r="AI14" i="7"/>
  <c r="AM14" i="7" s="1"/>
  <c r="AS27" i="7" l="1"/>
  <c r="AS20" i="7"/>
  <c r="AS16" i="7"/>
  <c r="AS28" i="7"/>
  <c r="AS19" i="7"/>
  <c r="AS26" i="7"/>
  <c r="AS22" i="7"/>
  <c r="AS18" i="7"/>
  <c r="AS30" i="7"/>
  <c r="AS23" i="7"/>
  <c r="AS17" i="7"/>
  <c r="AS24" i="7"/>
  <c r="AS29" i="7"/>
  <c r="AK14" i="7"/>
  <c r="AK16" i="7"/>
  <c r="AK18" i="7"/>
  <c r="AK20" i="7"/>
  <c r="AK22" i="7"/>
  <c r="AK24" i="7"/>
  <c r="AK26" i="7"/>
  <c r="AK28" i="7"/>
  <c r="AK30" i="7"/>
  <c r="AK15" i="7"/>
  <c r="AK17" i="7"/>
  <c r="AK19" i="7"/>
  <c r="AK21" i="7"/>
  <c r="AK23" i="7"/>
  <c r="AK25" i="7"/>
  <c r="AK27" i="7"/>
  <c r="AK29" i="7"/>
  <c r="AK31" i="7"/>
  <c r="BD31" i="7" l="1"/>
  <c r="BE31" i="7"/>
  <c r="BF31" i="7"/>
  <c r="AF30" i="7"/>
  <c r="AF26" i="7"/>
  <c r="AF31" i="7"/>
  <c r="AF29" i="7"/>
  <c r="AF28" i="7"/>
  <c r="AF27" i="7"/>
  <c r="AF25" i="7"/>
  <c r="AF24" i="7"/>
  <c r="K17" i="8" l="1"/>
  <c r="L17" i="8" s="1"/>
  <c r="K18" i="8"/>
  <c r="L18" i="8" s="1"/>
  <c r="K19" i="8"/>
  <c r="L19" i="8" s="1"/>
  <c r="K20" i="8"/>
  <c r="L20" i="8"/>
  <c r="K21" i="8"/>
  <c r="L21" i="8"/>
  <c r="K22" i="8"/>
  <c r="L22" i="8"/>
  <c r="K23" i="8"/>
  <c r="L23" i="8"/>
  <c r="K24" i="8"/>
  <c r="L24" i="8"/>
  <c r="K25" i="8"/>
  <c r="L25" i="8"/>
  <c r="BD26" i="7" l="1"/>
  <c r="BE26" i="7"/>
  <c r="BF26" i="7"/>
  <c r="BD27" i="7"/>
  <c r="BE27" i="7"/>
  <c r="BF27" i="7"/>
  <c r="BD28" i="7"/>
  <c r="BE28" i="7"/>
  <c r="BF28" i="7"/>
  <c r="BD29" i="7"/>
  <c r="BE29" i="7"/>
  <c r="BF29" i="7"/>
  <c r="BD30" i="7"/>
  <c r="BE30" i="7"/>
  <c r="BF30" i="7"/>
  <c r="BD15" i="7"/>
  <c r="BE15" i="7"/>
  <c r="BF15" i="7"/>
  <c r="BD16" i="7"/>
  <c r="BE16" i="7"/>
  <c r="BF16" i="7"/>
  <c r="BD17" i="7"/>
  <c r="BE17" i="7"/>
  <c r="BF17" i="7"/>
  <c r="BD18" i="7"/>
  <c r="BE18" i="7"/>
  <c r="BF18" i="7"/>
  <c r="BD19" i="7"/>
  <c r="BE19" i="7"/>
  <c r="BF19" i="7"/>
  <c r="BD20" i="7"/>
  <c r="BE20" i="7"/>
  <c r="BF20" i="7"/>
  <c r="BD21" i="7"/>
  <c r="BE21" i="7"/>
  <c r="BF21" i="7"/>
  <c r="BD22" i="7"/>
  <c r="BE22" i="7"/>
  <c r="BF22" i="7"/>
  <c r="BD23" i="7"/>
  <c r="BE23" i="7"/>
  <c r="BF23" i="7"/>
  <c r="BD24" i="7"/>
  <c r="BE24" i="7"/>
  <c r="BF24" i="7"/>
  <c r="BD25" i="7"/>
  <c r="BE25" i="7"/>
  <c r="BF25" i="7"/>
  <c r="AF15" i="7"/>
  <c r="AF16" i="7"/>
  <c r="AF17" i="7"/>
  <c r="AF18" i="7"/>
  <c r="AF19" i="7"/>
  <c r="AF20" i="7"/>
  <c r="AF21" i="7"/>
  <c r="AF22" i="7"/>
  <c r="AF23" i="7"/>
  <c r="AB31" i="7" l="1"/>
  <c r="AC31" i="7" s="1"/>
  <c r="AB30" i="7"/>
  <c r="AC30" i="7" s="1"/>
  <c r="AB29" i="7"/>
  <c r="AC29" i="7" s="1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R25" i="7"/>
  <c r="R24" i="7"/>
  <c r="R29" i="7"/>
  <c r="R28" i="7"/>
  <c r="K31" i="8"/>
  <c r="L31" i="8" s="1"/>
  <c r="K30" i="8"/>
  <c r="L30" i="8" s="1"/>
  <c r="K29" i="8"/>
  <c r="L29" i="8" s="1"/>
  <c r="K28" i="8"/>
  <c r="L28" i="8" s="1"/>
  <c r="K27" i="8"/>
  <c r="L27" i="8" s="1"/>
  <c r="K26" i="8"/>
  <c r="L26" i="8" s="1"/>
  <c r="K16" i="8"/>
  <c r="L16" i="8" s="1"/>
  <c r="K15" i="8"/>
  <c r="L15" i="8" s="1"/>
  <c r="U61" i="7"/>
  <c r="BO29" i="7"/>
  <c r="BN29" i="7"/>
  <c r="BM29" i="7"/>
  <c r="BL29" i="7"/>
  <c r="BK29" i="7"/>
  <c r="BJ29" i="7"/>
  <c r="BI29" i="7"/>
  <c r="BH29" i="7"/>
  <c r="BG29" i="7"/>
  <c r="BO28" i="7"/>
  <c r="BN28" i="7"/>
  <c r="BM28" i="7"/>
  <c r="BL28" i="7"/>
  <c r="BK28" i="7"/>
  <c r="BJ28" i="7"/>
  <c r="BI28" i="7"/>
  <c r="BH28" i="7"/>
  <c r="BG28" i="7"/>
  <c r="BO27" i="7"/>
  <c r="BN27" i="7"/>
  <c r="BM27" i="7"/>
  <c r="BL27" i="7"/>
  <c r="BK27" i="7"/>
  <c r="BJ27" i="7"/>
  <c r="BI27" i="7"/>
  <c r="BH27" i="7"/>
  <c r="BG27" i="7"/>
  <c r="BO26" i="7"/>
  <c r="BN26" i="7"/>
  <c r="BM26" i="7"/>
  <c r="BL26" i="7"/>
  <c r="BK26" i="7"/>
  <c r="BJ26" i="7"/>
  <c r="BI26" i="7"/>
  <c r="BH26" i="7"/>
  <c r="BG26" i="7"/>
  <c r="BO25" i="7"/>
  <c r="BN25" i="7"/>
  <c r="BM25" i="7"/>
  <c r="BL25" i="7"/>
  <c r="BK25" i="7"/>
  <c r="BJ25" i="7"/>
  <c r="BI25" i="7"/>
  <c r="BH25" i="7"/>
  <c r="BG25" i="7"/>
  <c r="BO24" i="7"/>
  <c r="BN24" i="7"/>
  <c r="BM24" i="7"/>
  <c r="BL24" i="7"/>
  <c r="BK24" i="7"/>
  <c r="BJ24" i="7"/>
  <c r="BI24" i="7"/>
  <c r="BH24" i="7"/>
  <c r="BG24" i="7"/>
  <c r="BS23" i="7"/>
  <c r="BO23" i="7"/>
  <c r="BN23" i="7"/>
  <c r="BM23" i="7"/>
  <c r="BL23" i="7"/>
  <c r="BK23" i="7"/>
  <c r="BJ23" i="7"/>
  <c r="BI23" i="7"/>
  <c r="BH23" i="7"/>
  <c r="BG23" i="7"/>
  <c r="AB22" i="7"/>
  <c r="AC22" i="7" s="1"/>
  <c r="BS22" i="7"/>
  <c r="BO22" i="7"/>
  <c r="BN22" i="7"/>
  <c r="BM22" i="7"/>
  <c r="BL22" i="7"/>
  <c r="BK22" i="7"/>
  <c r="BJ22" i="7"/>
  <c r="BI22" i="7"/>
  <c r="BH22" i="7"/>
  <c r="BG22" i="7"/>
  <c r="BS21" i="7"/>
  <c r="BQ21" i="7"/>
  <c r="BO21" i="7"/>
  <c r="BN21" i="7"/>
  <c r="BM21" i="7"/>
  <c r="BL21" i="7"/>
  <c r="BK21" i="7"/>
  <c r="BJ21" i="7"/>
  <c r="BI21" i="7"/>
  <c r="BH21" i="7"/>
  <c r="BG21" i="7"/>
  <c r="AB21" i="7"/>
  <c r="AC21" i="7" s="1"/>
  <c r="BS20" i="7"/>
  <c r="BQ20" i="7"/>
  <c r="BO20" i="7"/>
  <c r="BN20" i="7"/>
  <c r="BM20" i="7"/>
  <c r="BL20" i="7"/>
  <c r="BK20" i="7"/>
  <c r="BJ20" i="7"/>
  <c r="BI20" i="7"/>
  <c r="BH20" i="7"/>
  <c r="BG20" i="7"/>
  <c r="AB20" i="7"/>
  <c r="AC20" i="7" s="1"/>
  <c r="BS19" i="7"/>
  <c r="BQ19" i="7"/>
  <c r="BO19" i="7"/>
  <c r="BN19" i="7"/>
  <c r="BM19" i="7"/>
  <c r="BL19" i="7"/>
  <c r="BK19" i="7"/>
  <c r="BJ19" i="7"/>
  <c r="BI19" i="7"/>
  <c r="BH19" i="7"/>
  <c r="BG19" i="7"/>
  <c r="AB19" i="7"/>
  <c r="AC19" i="7" s="1"/>
  <c r="BS18" i="7"/>
  <c r="BQ18" i="7"/>
  <c r="BO18" i="7"/>
  <c r="BN18" i="7"/>
  <c r="BM18" i="7"/>
  <c r="BL18" i="7"/>
  <c r="BK18" i="7"/>
  <c r="BJ18" i="7"/>
  <c r="BI18" i="7"/>
  <c r="BH18" i="7"/>
  <c r="BG18" i="7"/>
  <c r="AB18" i="7"/>
  <c r="AC18" i="7" s="1"/>
  <c r="BS17" i="7"/>
  <c r="BQ17" i="7"/>
  <c r="BO17" i="7"/>
  <c r="BN17" i="7"/>
  <c r="BM17" i="7"/>
  <c r="BL17" i="7"/>
  <c r="BK17" i="7"/>
  <c r="BJ17" i="7"/>
  <c r="BI17" i="7"/>
  <c r="BH17" i="7"/>
  <c r="BG17" i="7"/>
  <c r="AB17" i="7"/>
  <c r="AC17" i="7" s="1"/>
  <c r="BS16" i="7"/>
  <c r="BQ16" i="7"/>
  <c r="BO16" i="7"/>
  <c r="BN16" i="7"/>
  <c r="BM16" i="7"/>
  <c r="BL16" i="7"/>
  <c r="BK16" i="7"/>
  <c r="BJ16" i="7"/>
  <c r="BI16" i="7"/>
  <c r="BH16" i="7"/>
  <c r="BG16" i="7"/>
  <c r="AB16" i="7"/>
  <c r="AC16" i="7" s="1"/>
  <c r="BS15" i="7"/>
  <c r="BQ15" i="7"/>
  <c r="BO15" i="7"/>
  <c r="BN15" i="7"/>
  <c r="BM15" i="7"/>
  <c r="BL15" i="7"/>
  <c r="BK15" i="7"/>
  <c r="BJ15" i="7"/>
  <c r="BI15" i="7"/>
  <c r="BH15" i="7"/>
  <c r="BG15" i="7"/>
  <c r="AB15" i="7"/>
  <c r="AC15" i="7" s="1"/>
  <c r="BS14" i="7"/>
  <c r="BQ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AB14" i="7"/>
  <c r="AC14" i="7" s="1"/>
  <c r="D19" i="6"/>
  <c r="D16" i="6"/>
  <c r="D13" i="6"/>
  <c r="L61" i="3"/>
  <c r="K61" i="3"/>
  <c r="I61" i="3" s="1"/>
  <c r="J61" i="3"/>
  <c r="H61" i="3" s="1"/>
  <c r="L55" i="3"/>
  <c r="K55" i="3"/>
  <c r="J55" i="3"/>
  <c r="H55" i="3" s="1"/>
  <c r="I55" i="3"/>
  <c r="P52" i="3"/>
  <c r="P51" i="3"/>
  <c r="P50" i="3"/>
  <c r="P49" i="3"/>
  <c r="N49" i="3"/>
  <c r="I49" i="3" s="1"/>
  <c r="M49" i="3"/>
  <c r="H49" i="3" s="1"/>
  <c r="L49" i="3"/>
  <c r="J49" i="3" s="1"/>
  <c r="K49" i="3"/>
  <c r="G49" i="3"/>
  <c r="T35" i="3"/>
  <c r="X24" i="3"/>
  <c r="T21" i="3"/>
  <c r="E16" i="3"/>
  <c r="C16" i="3"/>
  <c r="C13" i="3"/>
  <c r="D13" i="3" s="1"/>
  <c r="B13" i="3"/>
  <c r="T11" i="3"/>
  <c r="D7" i="3"/>
  <c r="L6" i="3" s="1"/>
  <c r="G6" i="3" s="1"/>
  <c r="M6" i="3"/>
  <c r="J6" i="3"/>
  <c r="H6" i="3" s="1"/>
  <c r="D6" i="3"/>
  <c r="AB4" i="3"/>
  <c r="AB3" i="3"/>
  <c r="BY19" i="7" l="1"/>
  <c r="CA19" i="7" s="1"/>
  <c r="BY17" i="7"/>
  <c r="CA17" i="7" s="1"/>
  <c r="CD18" i="7"/>
  <c r="CD15" i="7"/>
  <c r="BY15" i="7"/>
  <c r="BY18" i="7"/>
  <c r="BY21" i="7"/>
  <c r="G61" i="3"/>
  <c r="BY20" i="7"/>
  <c r="K6" i="3"/>
  <c r="BY14" i="7"/>
  <c r="CA14" i="7" s="1"/>
  <c r="G55" i="3"/>
  <c r="BY16" i="7"/>
  <c r="CB19" i="7" l="1"/>
  <c r="CC19" i="7" s="1"/>
  <c r="CA16" i="7"/>
  <c r="CB16" i="7"/>
  <c r="CC16" i="7" s="1"/>
  <c r="CB20" i="7"/>
  <c r="CC20" i="7" s="1"/>
  <c r="CA20" i="7"/>
  <c r="CB21" i="7"/>
  <c r="CC21" i="7" s="1"/>
  <c r="CA21" i="7"/>
  <c r="CB15" i="7"/>
  <c r="CC15" i="7" s="1"/>
  <c r="CA15" i="7"/>
  <c r="F6" i="3"/>
  <c r="I6" i="3"/>
  <c r="CB18" i="7"/>
  <c r="CC18" i="7" s="1"/>
  <c r="CA18" i="7"/>
  <c r="CB17" i="7"/>
  <c r="CC17" i="7" s="1"/>
  <c r="CE18" i="7" l="1"/>
  <c r="CE15" i="7"/>
</calcChain>
</file>

<file path=xl/sharedStrings.xml><?xml version="1.0" encoding="utf-8"?>
<sst xmlns="http://schemas.openxmlformats.org/spreadsheetml/2006/main" count="512" uniqueCount="259">
  <si>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</si>
  <si>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</si>
  <si>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</si>
  <si>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</si>
  <si>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</si>
  <si>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</si>
  <si>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</si>
  <si>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</si>
  <si>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</si>
  <si>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</si>
  <si>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</si>
  <si>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</si>
  <si>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</si>
  <si>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</si>
  <si>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</si>
  <si>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</si>
  <si>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</si>
  <si>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</si>
  <si>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</si>
  <si>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</si>
  <si>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</si>
  <si>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</si>
  <si>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</si>
  <si>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</si>
  <si>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</si>
  <si>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</si>
  <si>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</si>
  <si>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</si>
  <si>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</si>
  <si>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</si>
  <si>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</si>
  <si>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</si>
  <si>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</si>
  <si>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</si>
  <si>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</si>
  <si>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</si>
  <si>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</si>
  <si>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</si>
  <si>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</si>
  <si>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</si>
  <si>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</si>
  <si>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</si>
  <si>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</si>
  <si>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</si>
  <si>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</si>
  <si>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</si>
  <si>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</si>
  <si>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</si>
  <si>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</si>
  <si>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</si>
  <si>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</si>
  <si>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</si>
  <si>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</si>
  <si>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</si>
  <si>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</si>
  <si>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</si>
  <si>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</si>
  <si>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</si>
  <si>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</si>
  <si>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</si>
  <si>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</si>
  <si>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</si>
  <si>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</si>
  <si>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</si>
  <si>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</si>
  <si>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</si>
  <si>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</si>
  <si>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</si>
  <si>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</si>
  <si>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</si>
  <si>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</si>
  <si>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</si>
  <si>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</si>
  <si>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</si>
  <si>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</si>
  <si>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</si>
  <si>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</si>
  <si>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</si>
  <si>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</si>
  <si>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</si>
  <si>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</si>
  <si>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</si>
  <si>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</si>
  <si>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</si>
  <si>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</si>
  <si>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</si>
  <si>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</si>
  <si>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</si>
  <si>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</si>
  <si>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</si>
  <si>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</si>
  <si>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</si>
  <si>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</si>
  <si>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</si>
  <si>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</si>
  <si>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</si>
  <si>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</si>
  <si>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</si>
  <si>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</si>
  <si>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</si>
  <si>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</si>
  <si>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</si>
  <si>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</si>
  <si>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</si>
  <si>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</si>
  <si>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</si>
  <si>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</si>
  <si>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</si>
  <si>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</si>
  <si>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</si>
  <si>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</si>
  <si>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</si>
  <si>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</si>
  <si>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</si>
  <si>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</si>
  <si>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</si>
  <si>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</si>
  <si>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</si>
  <si>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</si>
  <si>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</si>
  <si>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</si>
  <si>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</si>
  <si>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</si>
  <si>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</si>
  <si>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</si>
  <si>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</si>
  <si>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</si>
  <si>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</si>
  <si>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</si>
  <si>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</si>
  <si>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</si>
  <si>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</si>
  <si>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</si>
  <si>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</si>
  <si>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</si>
  <si>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</si>
  <si>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</si>
  <si>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</si>
  <si>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</si>
  <si>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</si>
  <si>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</si>
  <si>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</si>
  <si>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</si>
  <si>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</si>
  <si>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</si>
  <si>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</si>
  <si>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</si>
  <si>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</si>
  <si>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</si>
  <si>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</si>
  <si>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</si>
  <si>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</si>
  <si>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</si>
  <si>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</si>
  <si>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</si>
  <si>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</si>
  <si>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</si>
  <si>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</si>
  <si>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</si>
  <si>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</si>
  <si>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</si>
  <si>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</si>
  <si>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</si>
  <si>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</si>
  <si>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</si>
  <si>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</si>
  <si>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</si>
  <si>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</si>
  <si>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</si>
  <si>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</si>
  <si>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</si>
  <si>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</si>
  <si>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</si>
  <si>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</si>
  <si>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</si>
  <si>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</si>
  <si>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</si>
  <si>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</si>
  <si>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</si>
  <si>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</si>
  <si>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</si>
  <si>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</si>
  <si>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</si>
  <si>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</si>
  <si>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</si>
  <si>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</si>
  <si>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</si>
  <si>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</si>
  <si>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</si>
  <si>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</si>
  <si>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</si>
  <si>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</si>
  <si>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</si>
  <si>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</si>
  <si>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</si>
  <si>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</si>
  <si>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</si>
  <si>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</si>
  <si>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</si>
  <si>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</si>
  <si>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</si>
  <si>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</si>
  <si>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</si>
  <si>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</si>
  <si>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</si>
  <si>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</si>
  <si>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</si>
  <si>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</si>
  <si>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</si>
  <si>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</si>
  <si>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</si>
  <si>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</si>
  <si>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</si>
  <si>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</si>
  <si>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</si>
  <si>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</si>
  <si>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</si>
  <si>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</si>
  <si>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</si>
  <si>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</si>
  <si>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</si>
  <si>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</si>
  <si>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</si>
  <si>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</si>
  <si>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</si>
  <si>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</si>
  <si>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</si>
  <si>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</si>
  <si>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</si>
  <si>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</si>
  <si>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</si>
  <si>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</si>
  <si>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</si>
  <si>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</si>
  <si>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</si>
  <si>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</si>
  <si>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</si>
  <si>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</si>
  <si>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</si>
  <si>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</si>
  <si>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</si>
  <si>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 31-1</t>
  </si>
  <si>
    <t>Jeff_SloHot50_BioStat 31-2</t>
  </si>
  <si>
    <t>Jeff_SloHot50_BioStat 31-3</t>
  </si>
  <si>
    <t>Jeff_SloHot50_BioStat 31-4</t>
  </si>
  <si>
    <t>Jeff_SloHot50_BioStat 31-5</t>
  </si>
  <si>
    <t>Jeff_SloHot50_BioStat 31-6</t>
  </si>
  <si>
    <t>Jeff_SloHot50_BioStat 31-7</t>
  </si>
  <si>
    <t>Jeff_SloHot50_BioStat 31-8</t>
  </si>
  <si>
    <t>Jeff_SloHot50_BioStat 31-9</t>
  </si>
  <si>
    <t>Jeff_SloHot50_BioStat 31-10</t>
  </si>
  <si>
    <t>Jeff_SloHot50_BioStat 31-11</t>
  </si>
  <si>
    <t>Jeff_SloHot50_BioStat 31-12</t>
  </si>
  <si>
    <t>Jeff_SloHot50_BioStat 31-13</t>
  </si>
  <si>
    <t>Jeff_SloHot50_BioStat 31-14</t>
  </si>
  <si>
    <t>Jeff_SloHot50_BioStat 31-15</t>
  </si>
  <si>
    <t>Jeff_SloHot50_BioStat 31-16</t>
  </si>
  <si>
    <t>Jeff_SloHot50_BioStat 31-17</t>
  </si>
  <si>
    <t>Jeff_SloHot50_BioStat 31-18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</si>
</sst>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1"/>
    <xf numFmtId="14" fontId="3" fillId="0" borderId="0" xfId="1" applyNumberFormat="1"/>
    <xf numFmtId="18" fontId="3" fillId="0" borderId="0" xfId="1" applyNumberFormat="1"/>
    <xf numFmtId="0" fontId="4" fillId="0" borderId="0" xfId="1" applyFont="1"/>
    <xf numFmtId="0" fontId="5" fillId="0" borderId="0" xfId="1" applyFont="1"/>
    <xf numFmtId="46" fontId="3" fillId="0" borderId="0" xfId="1" applyNumberFormat="1"/>
    <xf numFmtId="164" fontId="3" fillId="0" borderId="0" xfId="1" applyNumberFormat="1"/>
    <xf numFmtId="165" fontId="3" fillId="0" borderId="0" xfId="1" applyNumberFormat="1"/>
    <xf numFmtId="3" fontId="3" fillId="0" borderId="0" xfId="1" applyNumberFormat="1"/>
    <xf numFmtId="0" fontId="3" fillId="4" borderId="0" xfId="1" applyFill="1"/>
    <xf numFmtId="0" fontId="3" fillId="5" borderId="0" xfId="1" applyFill="1"/>
    <xf numFmtId="0" fontId="3" fillId="6" borderId="0" xfId="1" applyFill="1"/>
    <xf numFmtId="0" fontId="3" fillId="7" borderId="0" xfId="1" applyFill="1"/>
    <xf numFmtId="0" fontId="6" fillId="0" borderId="0" xfId="1" applyFont="1"/>
    <xf numFmtId="0" fontId="7" fillId="2" borderId="0" xfId="2" applyBorder="1" applyAlignment="1">
      <alignment horizontal="center"/>
    </xf>
    <xf numFmtId="0" fontId="8" fillId="3" borderId="0" xfId="3" applyBorder="1" applyAlignment="1">
      <alignment horizontal="center"/>
    </xf>
    <xf numFmtId="0" fontId="3" fillId="0" borderId="4" xfId="1" applyBorder="1"/>
    <xf numFmtId="0" fontId="3" fillId="0" borderId="5" xfId="1" applyBorder="1"/>
    <xf numFmtId="0" fontId="3" fillId="0" borderId="0" xfId="1" applyAlignment="1">
      <alignment wrapText="1"/>
    </xf>
    <xf numFmtId="16" fontId="3" fillId="0" borderId="0" xfId="1" applyNumberFormat="1"/>
    <xf numFmtId="0" fontId="3" fillId="0" borderId="6" xfId="1" applyBorder="1"/>
    <xf numFmtId="0" fontId="3" fillId="0" borderId="0" xfId="1" applyAlignment="1">
      <alignment horizontal="center" wrapText="1"/>
    </xf>
    <xf numFmtId="0" fontId="3" fillId="0" borderId="7" xfId="1" applyBorder="1" applyAlignment="1">
      <alignment horizontal="center" wrapText="1"/>
    </xf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9" xfId="1" applyBorder="1" applyAlignment="1">
      <alignment horizontal="center" wrapText="1"/>
    </xf>
    <xf numFmtId="0" fontId="0" fillId="0" borderId="4" xfId="0" applyBorder="1"/>
    <xf numFmtId="2" fontId="3" fillId="0" borderId="0" xfId="1" applyNumberFormat="1"/>
    <xf numFmtId="164" fontId="3" fillId="0" borderId="10" xfId="1" applyNumberFormat="1" applyBorder="1"/>
    <xf numFmtId="0" fontId="3" fillId="0" borderId="10" xfId="1" applyBorder="1"/>
    <xf numFmtId="0" fontId="3" fillId="0" borderId="11" xfId="1" applyBorder="1"/>
    <xf numFmtId="2" fontId="3" fillId="0" borderId="5" xfId="1" applyNumberFormat="1" applyBorder="1"/>
    <xf numFmtId="165" fontId="9" fillId="0" borderId="0" xfId="1" applyNumberFormat="1" applyFont="1"/>
    <xf numFmtId="164" fontId="5" fillId="0" borderId="0" xfId="1" applyNumberFormat="1" applyFont="1"/>
    <xf numFmtId="165" fontId="3" fillId="0" borderId="10" xfId="1" applyNumberFormat="1" applyBorder="1"/>
    <xf numFmtId="165" fontId="3" fillId="0" borderId="11" xfId="1" applyNumberFormat="1" applyBorder="1"/>
    <xf numFmtId="1" fontId="3" fillId="0" borderId="0" xfId="1" applyNumberFormat="1"/>
    <xf numFmtId="165" fontId="3" fillId="0" borderId="11" xfId="1" quotePrefix="1" applyNumberFormat="1" applyBorder="1"/>
    <xf numFmtId="0" fontId="3" fillId="0" borderId="12" xfId="1" applyBorder="1"/>
    <xf numFmtId="2" fontId="3" fillId="0" borderId="12" xfId="1" applyNumberFormat="1" applyBorder="1"/>
    <xf numFmtId="0" fontId="3" fillId="0" borderId="13" xfId="1" applyBorder="1"/>
    <xf numFmtId="0" fontId="3" fillId="0" borderId="14" xfId="1" applyBorder="1"/>
    <xf numFmtId="0" fontId="2" fillId="0" borderId="0" xfId="1" applyFont="1" applyAlignment="1">
      <alignment horizontal="center"/>
    </xf>
    <xf numFmtId="0" fontId="1" fillId="0" borderId="0" xfId="1" applyFont="1"/>
    <xf numFmtId="18" fontId="1" fillId="0" borderId="0" xfId="1" applyNumberFormat="1" applyFont="1"/>
    <xf numFmtId="0" fontId="7" fillId="2" borderId="2" xfId="2" applyBorder="1" applyAlignment="1">
      <alignment horizontal="center"/>
    </xf>
    <xf numFmtId="0" fontId="8" fillId="3" borderId="3" xfId="3" applyBorder="1" applyAlignment="1">
      <alignment horizontal="center"/>
    </xf>
    <xf numFmtId="0" fontId="8" fillId="3" borderId="0" xfId="3" applyBorder="1" applyAlignment="1">
      <alignment horizontal="center"/>
    </xf>
    <xf numFmtId="9" fontId="3" fillId="0" borderId="0" xfId="5" applyFont="1"/>
  </cellXfs>
  <cellStyles count="6">
    <cellStyle name="Calculation 2" xfId="3" xr:uid="{73C2334D-C347-4703-B23A-F15344A9C96F}"/>
    <cellStyle name="Good 2" xfId="2" xr:uid="{FF31C2F4-969E-4C9A-A0FC-7BC99E516F29}"/>
    <cellStyle name="Normal" xfId="0" builtinId="0"/>
    <cellStyle name="Normal 2" xfId="1" xr:uid="{F30D8408-982F-49DE-BEA8-240FF0F5EEA9}"/>
    <cellStyle name="Percent" xfId="5" builtinId="5"/>
    <cellStyle name="Percent 2" xfId="4" xr:uid="{6B3341E2-790D-405B-9AC9-7808EC54B6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94E5-31ED-4D87-8922-E74F54F7BF1B}">
  <dimension ref="A3:R31"/>
  <sheetViews>
    <sheetView topLeftCell="XEJ1" workbookViewId="0">
      <selection activeCell="XEL34" sqref="XEL34"/>
    </sheetView>
  </sheetViews>
  <sheetFormatPr baseColWidth="10" defaultColWidth="12.5" defaultRowHeight="16" x14ac:dyDescent="0.2"/>
  <cols>
    <col min="1" max="2" width="12.5" style="1"/>
    <col min="3" max="3" width="28.1640625" style="1" customWidth="1"/>
    <col min="4" max="16384" width="12.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578C-E19E-48F0-A2A5-8CCCE0C799A1}">
  <dimension ref="A1:AB84"/>
  <sheetViews>
    <sheetView topLeftCell="A44" workbookViewId="0">
      <selection activeCell="XEL34" sqref="XEL34"/>
    </sheetView>
  </sheetViews>
  <sheetFormatPr baseColWidth="10" defaultColWidth="12.5" defaultRowHeight="16" x14ac:dyDescent="0.2"/>
  <cols>
    <col min="1" max="4" width="12.5" style="1"/>
    <col min="5" max="5" width="14.6640625" style="1" customWidth="1"/>
    <col min="6" max="16384" width="12.5" style="1"/>
  </cols>
  <sheetData>
    <row r="1" spans="1:28" x14ac:dyDescent="0.2">
      <c r="A1" s="1" t="s">
        <v>22</v>
      </c>
      <c r="AA1" s="1" t="s">
        <v>55</v>
      </c>
    </row>
    <row r="2" spans="1:28" x14ac:dyDescent="0.2">
      <c r="B2" s="5" t="s">
        <v>56</v>
      </c>
      <c r="AA2" s="6">
        <v>4.4277893518518523</v>
      </c>
      <c r="AB2" s="1" t="s">
        <v>57</v>
      </c>
    </row>
    <row r="3" spans="1:28" x14ac:dyDescent="0.2">
      <c r="AA3" s="1" t="s">
        <v>58</v>
      </c>
      <c r="AB3" s="1">
        <f>106/16</f>
        <v>6.625</v>
      </c>
    </row>
    <row r="4" spans="1:28" x14ac:dyDescent="0.2">
      <c r="C4" s="1" t="s">
        <v>59</v>
      </c>
      <c r="P4" s="1" t="s">
        <v>60</v>
      </c>
      <c r="S4" s="5" t="s">
        <v>61</v>
      </c>
      <c r="AA4" s="1" t="s">
        <v>62</v>
      </c>
      <c r="AB4" s="1">
        <f>106</f>
        <v>106</v>
      </c>
    </row>
    <row r="5" spans="1:28" x14ac:dyDescent="0.2">
      <c r="B5" s="1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O5" s="1" t="s">
        <v>74</v>
      </c>
      <c r="P5" s="1">
        <v>136.08600000000001</v>
      </c>
      <c r="T5" s="1" t="s">
        <v>75</v>
      </c>
      <c r="AA5" s="1" t="s">
        <v>76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77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78</v>
      </c>
      <c r="P6" s="1">
        <v>132.13999999999999</v>
      </c>
      <c r="T6" s="5" t="s">
        <v>64</v>
      </c>
      <c r="U6" s="5" t="s">
        <v>65</v>
      </c>
      <c r="V6" s="1" t="s">
        <v>79</v>
      </c>
      <c r="X6" s="1" t="s">
        <v>80</v>
      </c>
    </row>
    <row r="7" spans="1:28" x14ac:dyDescent="0.2">
      <c r="C7" s="1">
        <v>20</v>
      </c>
      <c r="D7" s="1">
        <f>C7/D11</f>
        <v>3.3333333333333335</v>
      </c>
      <c r="E7" s="1" t="s">
        <v>81</v>
      </c>
      <c r="O7" s="1" t="s">
        <v>82</v>
      </c>
      <c r="P7" s="1">
        <v>180.15600000000001</v>
      </c>
      <c r="T7" s="1">
        <v>1</v>
      </c>
      <c r="U7" s="1" t="s">
        <v>74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82</v>
      </c>
      <c r="O8" s="1" t="s">
        <v>83</v>
      </c>
      <c r="P8" s="1">
        <v>150.13</v>
      </c>
      <c r="T8" s="1">
        <v>0.5</v>
      </c>
      <c r="U8" s="1" t="s">
        <v>84</v>
      </c>
    </row>
    <row r="9" spans="1:28" x14ac:dyDescent="0.2">
      <c r="O9" s="1" t="s">
        <v>85</v>
      </c>
      <c r="P9" s="8">
        <v>92.093999999999994</v>
      </c>
      <c r="T9" s="1">
        <v>0.1</v>
      </c>
      <c r="U9" s="1" t="s">
        <v>86</v>
      </c>
    </row>
    <row r="10" spans="1:28" x14ac:dyDescent="0.2">
      <c r="D10" s="1" t="s">
        <v>87</v>
      </c>
      <c r="O10" s="1" t="s">
        <v>88</v>
      </c>
      <c r="P10" s="1">
        <v>59.043999999999997</v>
      </c>
      <c r="T10" s="1">
        <v>0.1</v>
      </c>
      <c r="U10" s="1" t="s">
        <v>89</v>
      </c>
    </row>
    <row r="11" spans="1:28" x14ac:dyDescent="0.2">
      <c r="D11" s="1">
        <v>6</v>
      </c>
      <c r="O11" s="5" t="s">
        <v>90</v>
      </c>
      <c r="P11" s="1">
        <v>192.19399999999999</v>
      </c>
      <c r="T11" s="1">
        <f>SUM(T7:T10)</f>
        <v>1.7000000000000002</v>
      </c>
      <c r="U11" s="1" t="s">
        <v>91</v>
      </c>
    </row>
    <row r="12" spans="1:28" x14ac:dyDescent="0.2">
      <c r="B12" s="1" t="s">
        <v>92</v>
      </c>
      <c r="C12" s="1" t="s">
        <v>93</v>
      </c>
      <c r="F12" s="1" t="s">
        <v>94</v>
      </c>
      <c r="G12" s="1" t="s">
        <v>95</v>
      </c>
      <c r="O12" s="1" t="s">
        <v>96</v>
      </c>
      <c r="P12" s="1">
        <v>53.491</v>
      </c>
      <c r="T12" s="1" t="s">
        <v>97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98</v>
      </c>
      <c r="F13" s="1">
        <v>14.2</v>
      </c>
      <c r="G13" s="1">
        <v>17.399999999999999</v>
      </c>
      <c r="O13" s="1" t="s">
        <v>99</v>
      </c>
      <c r="P13" s="1">
        <v>60.06</v>
      </c>
      <c r="T13" s="5" t="s">
        <v>100</v>
      </c>
      <c r="U13" s="5" t="s">
        <v>65</v>
      </c>
    </row>
    <row r="14" spans="1:28" x14ac:dyDescent="0.2">
      <c r="E14" s="1" t="s">
        <v>101</v>
      </c>
      <c r="F14" s="1">
        <v>9</v>
      </c>
      <c r="G14" s="1">
        <v>12</v>
      </c>
      <c r="T14" s="1">
        <v>500</v>
      </c>
      <c r="U14" s="1" t="s">
        <v>102</v>
      </c>
    </row>
    <row r="15" spans="1:28" x14ac:dyDescent="0.2">
      <c r="C15" s="1" t="s">
        <v>103</v>
      </c>
      <c r="D15" s="1" t="s">
        <v>104</v>
      </c>
      <c r="E15" s="1" t="s">
        <v>105</v>
      </c>
      <c r="T15" s="1">
        <v>40</v>
      </c>
      <c r="U15" s="1" t="s">
        <v>106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107</v>
      </c>
    </row>
    <row r="17" spans="20:24" x14ac:dyDescent="0.2">
      <c r="T17" s="1">
        <v>200</v>
      </c>
      <c r="U17" s="1" t="s">
        <v>108</v>
      </c>
    </row>
    <row r="18" spans="20:24" x14ac:dyDescent="0.2">
      <c r="T18" s="1">
        <v>400</v>
      </c>
      <c r="U18" s="1" t="s">
        <v>109</v>
      </c>
    </row>
    <row r="19" spans="20:24" x14ac:dyDescent="0.2">
      <c r="T19" s="1">
        <v>200</v>
      </c>
      <c r="U19" s="1" t="s">
        <v>110</v>
      </c>
    </row>
    <row r="20" spans="20:24" x14ac:dyDescent="0.2">
      <c r="T20" s="1">
        <v>400</v>
      </c>
      <c r="U20" s="1" t="s">
        <v>111</v>
      </c>
    </row>
    <row r="21" spans="20:24" x14ac:dyDescent="0.2">
      <c r="T21" s="1">
        <f>SUM(T14:T20)/1000000</f>
        <v>1.8400000000000001E-3</v>
      </c>
      <c r="U21" s="1" t="s">
        <v>91</v>
      </c>
    </row>
    <row r="22" spans="20:24" x14ac:dyDescent="0.2">
      <c r="T22" s="1" t="s">
        <v>112</v>
      </c>
    </row>
    <row r="23" spans="20:24" x14ac:dyDescent="0.2">
      <c r="T23" s="5" t="s">
        <v>100</v>
      </c>
      <c r="U23" s="5" t="s">
        <v>65</v>
      </c>
    </row>
    <row r="24" spans="20:24" x14ac:dyDescent="0.2">
      <c r="T24" s="1">
        <v>2</v>
      </c>
      <c r="U24" s="1" t="s">
        <v>113</v>
      </c>
      <c r="X24" s="1">
        <f>550*0.3</f>
        <v>165</v>
      </c>
    </row>
    <row r="25" spans="20:24" x14ac:dyDescent="0.2">
      <c r="T25" s="1">
        <v>400</v>
      </c>
      <c r="U25" s="1" t="s">
        <v>114</v>
      </c>
    </row>
    <row r="26" spans="20:24" x14ac:dyDescent="0.2">
      <c r="T26" s="1">
        <v>2</v>
      </c>
      <c r="U26" s="1" t="s">
        <v>115</v>
      </c>
    </row>
    <row r="27" spans="20:24" x14ac:dyDescent="0.2">
      <c r="T27" s="9">
        <v>2000</v>
      </c>
      <c r="U27" s="1" t="s">
        <v>116</v>
      </c>
    </row>
    <row r="28" spans="20:24" x14ac:dyDescent="0.2">
      <c r="T28" s="1">
        <v>400</v>
      </c>
      <c r="U28" s="1" t="s">
        <v>117</v>
      </c>
    </row>
    <row r="29" spans="20:24" x14ac:dyDescent="0.2">
      <c r="T29" s="1">
        <v>200</v>
      </c>
      <c r="U29" s="1" t="s">
        <v>118</v>
      </c>
    </row>
    <row r="30" spans="20:24" x14ac:dyDescent="0.2">
      <c r="T30" s="1">
        <v>400</v>
      </c>
      <c r="U30" s="1" t="s">
        <v>119</v>
      </c>
    </row>
    <row r="31" spans="20:24" x14ac:dyDescent="0.2">
      <c r="T31" s="1">
        <v>200</v>
      </c>
      <c r="U31" s="1" t="s">
        <v>120</v>
      </c>
    </row>
    <row r="32" spans="20:24" x14ac:dyDescent="0.2">
      <c r="T32" s="1">
        <v>400</v>
      </c>
      <c r="U32" s="1" t="s">
        <v>121</v>
      </c>
    </row>
    <row r="35" spans="3:21" x14ac:dyDescent="0.2">
      <c r="T35" s="1">
        <f>SUM(T24:T32)/1000000</f>
        <v>4.0039999999999997E-3</v>
      </c>
      <c r="U35" s="1" t="s">
        <v>91</v>
      </c>
    </row>
    <row r="46" spans="3:21" x14ac:dyDescent="0.2">
      <c r="E46" s="1" t="s">
        <v>122</v>
      </c>
    </row>
    <row r="47" spans="3:21" x14ac:dyDescent="0.2">
      <c r="C47" s="5" t="s">
        <v>123</v>
      </c>
      <c r="D47" s="10" t="s">
        <v>124</v>
      </c>
      <c r="G47" s="1" t="s">
        <v>125</v>
      </c>
      <c r="H47" s="1" t="s">
        <v>126</v>
      </c>
      <c r="L47" s="1" t="s">
        <v>126</v>
      </c>
      <c r="M47" s="1" t="s">
        <v>127</v>
      </c>
    </row>
    <row r="48" spans="3:21" x14ac:dyDescent="0.2">
      <c r="C48" s="1">
        <v>1</v>
      </c>
      <c r="D48" s="5" t="s">
        <v>128</v>
      </c>
      <c r="E48" s="5" t="s">
        <v>64</v>
      </c>
      <c r="F48" s="5" t="s">
        <v>65</v>
      </c>
      <c r="G48" s="5" t="s">
        <v>129</v>
      </c>
      <c r="H48" s="5" t="s">
        <v>129</v>
      </c>
      <c r="I48" s="5" t="s">
        <v>68</v>
      </c>
      <c r="J48" s="5" t="s">
        <v>69</v>
      </c>
      <c r="K48" s="5" t="s">
        <v>70</v>
      </c>
      <c r="L48" s="5" t="s">
        <v>130</v>
      </c>
      <c r="M48" s="5" t="s">
        <v>130</v>
      </c>
      <c r="N48" s="5" t="s">
        <v>73</v>
      </c>
      <c r="P48" s="5" t="s">
        <v>131</v>
      </c>
    </row>
    <row r="49" spans="2:16" x14ac:dyDescent="0.2">
      <c r="E49" s="11">
        <v>1.7</v>
      </c>
      <c r="F49" s="1" t="s">
        <v>61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96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82</v>
      </c>
      <c r="P51" s="1">
        <f t="shared" si="0"/>
        <v>150</v>
      </c>
    </row>
    <row r="52" spans="2:16" x14ac:dyDescent="0.2">
      <c r="E52" s="11">
        <v>0.7</v>
      </c>
      <c r="F52" s="1" t="s">
        <v>77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128</v>
      </c>
      <c r="E54" s="5" t="s">
        <v>64</v>
      </c>
      <c r="F54" s="5" t="s">
        <v>65</v>
      </c>
      <c r="G54" s="5" t="s">
        <v>129</v>
      </c>
      <c r="H54" s="5" t="s">
        <v>68</v>
      </c>
      <c r="I54" s="5" t="s">
        <v>69</v>
      </c>
      <c r="J54" s="5" t="s">
        <v>70</v>
      </c>
      <c r="K54" s="5" t="s">
        <v>130</v>
      </c>
      <c r="L54" s="5" t="s">
        <v>73</v>
      </c>
    </row>
    <row r="55" spans="2:16" x14ac:dyDescent="0.2">
      <c r="E55" s="1">
        <v>1.7</v>
      </c>
      <c r="F55" s="1" t="s">
        <v>61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96</v>
      </c>
    </row>
    <row r="57" spans="2:16" x14ac:dyDescent="0.2">
      <c r="E57" s="1">
        <v>50</v>
      </c>
      <c r="F57" s="1" t="s">
        <v>82</v>
      </c>
    </row>
    <row r="59" spans="2:16" x14ac:dyDescent="0.2">
      <c r="D59" s="12" t="s">
        <v>132</v>
      </c>
    </row>
    <row r="60" spans="2:16" x14ac:dyDescent="0.2">
      <c r="B60" s="5"/>
      <c r="D60" s="5" t="s">
        <v>128</v>
      </c>
      <c r="E60" s="5" t="s">
        <v>64</v>
      </c>
      <c r="F60" s="5" t="s">
        <v>65</v>
      </c>
      <c r="G60" s="5" t="s">
        <v>129</v>
      </c>
      <c r="H60" s="5" t="s">
        <v>68</v>
      </c>
      <c r="I60" s="5" t="s">
        <v>69</v>
      </c>
      <c r="J60" s="5" t="s">
        <v>70</v>
      </c>
      <c r="K60" s="5" t="s">
        <v>130</v>
      </c>
      <c r="L60" s="5" t="s">
        <v>73</v>
      </c>
    </row>
    <row r="61" spans="2:16" x14ac:dyDescent="0.2">
      <c r="E61" s="1">
        <v>1.7</v>
      </c>
      <c r="F61" s="1" t="s">
        <v>61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96</v>
      </c>
    </row>
    <row r="63" spans="2:16" x14ac:dyDescent="0.2">
      <c r="E63" s="1">
        <v>50</v>
      </c>
      <c r="F63" s="1" t="s">
        <v>82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133</v>
      </c>
    </row>
    <row r="73" spans="2:12" x14ac:dyDescent="0.2">
      <c r="D73" s="1" t="s">
        <v>134</v>
      </c>
    </row>
    <row r="74" spans="2:12" x14ac:dyDescent="0.2">
      <c r="E74" s="1" t="s">
        <v>135</v>
      </c>
    </row>
    <row r="75" spans="2:12" x14ac:dyDescent="0.2">
      <c r="E75" s="1" t="s">
        <v>136</v>
      </c>
    </row>
    <row r="76" spans="2:12" x14ac:dyDescent="0.2">
      <c r="E76" s="1" t="s">
        <v>137</v>
      </c>
    </row>
    <row r="77" spans="2:12" x14ac:dyDescent="0.2">
      <c r="E77" s="1" t="s">
        <v>138</v>
      </c>
    </row>
    <row r="79" spans="2:12" x14ac:dyDescent="0.2">
      <c r="D79" s="1" t="s">
        <v>139</v>
      </c>
    </row>
    <row r="80" spans="2:12" x14ac:dyDescent="0.2">
      <c r="E80" s="1" t="s">
        <v>140</v>
      </c>
    </row>
    <row r="81" spans="4:5" x14ac:dyDescent="0.2">
      <c r="E81" s="1" t="s">
        <v>141</v>
      </c>
    </row>
    <row r="82" spans="4:5" x14ac:dyDescent="0.2">
      <c r="E82" s="1" t="s">
        <v>142</v>
      </c>
    </row>
    <row r="84" spans="4:5" x14ac:dyDescent="0.2">
      <c r="D84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194D-7F09-486B-B734-94934DAF362C}">
  <dimension ref="A1:B5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>
    <row r="1" spans="1:2" x14ac:dyDescent="0.2">
      <c r="A1" s="1" t="s">
        <v>144</v>
      </c>
    </row>
    <row r="2" spans="1:2" x14ac:dyDescent="0.2">
      <c r="B2" s="1" t="s">
        <v>145</v>
      </c>
    </row>
    <row r="4" spans="1:2" x14ac:dyDescent="0.2">
      <c r="B4" s="1" t="s">
        <v>146</v>
      </c>
    </row>
    <row r="5" spans="1:2" x14ac:dyDescent="0.2">
      <c r="B5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2C70-83B2-4778-BD53-BDCE403FC78F}">
  <dimension ref="A2:E9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3C67-85E1-41E4-B18C-8E14BFEF0EB3}">
  <dimension ref="B4:I25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>
    <row r="4" spans="2:9" x14ac:dyDescent="0.2"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10" spans="2:9" x14ac:dyDescent="0.2">
      <c r="B10" s="1" t="s">
        <v>156</v>
      </c>
      <c r="D10" s="1">
        <v>1.25</v>
      </c>
      <c r="E10" s="1" t="s">
        <v>104</v>
      </c>
    </row>
    <row r="11" spans="2:9" x14ac:dyDescent="0.2">
      <c r="B11" s="1" t="s">
        <v>157</v>
      </c>
      <c r="D11" s="1">
        <v>1.41</v>
      </c>
      <c r="E11" s="1" t="s">
        <v>104</v>
      </c>
    </row>
    <row r="13" spans="2:9" x14ac:dyDescent="0.2">
      <c r="D13" s="1">
        <f>(D11-D10)*1000</f>
        <v>159.99999999999991</v>
      </c>
      <c r="E13" s="1" t="s">
        <v>158</v>
      </c>
    </row>
    <row r="14" spans="2:9" x14ac:dyDescent="0.2">
      <c r="D14" s="1">
        <v>236.5</v>
      </c>
      <c r="E14" s="1" t="s">
        <v>159</v>
      </c>
    </row>
    <row r="16" spans="2:9" x14ac:dyDescent="0.2">
      <c r="D16" s="1">
        <f>D13/D14</f>
        <v>0.67653276955602504</v>
      </c>
      <c r="E16" s="1" t="s">
        <v>160</v>
      </c>
    </row>
    <row r="18" spans="3:5" x14ac:dyDescent="0.2">
      <c r="D18" s="1">
        <v>1</v>
      </c>
      <c r="E18" s="1" t="s">
        <v>161</v>
      </c>
    </row>
    <row r="19" spans="3:5" x14ac:dyDescent="0.2">
      <c r="D19" s="1">
        <f>D11/D10</f>
        <v>1.1279999999999999</v>
      </c>
      <c r="E19" s="1" t="s">
        <v>162</v>
      </c>
    </row>
    <row r="24" spans="3:5" x14ac:dyDescent="0.2">
      <c r="C24" s="1" t="s">
        <v>163</v>
      </c>
      <c r="D24" s="1" t="s">
        <v>164</v>
      </c>
      <c r="E24" s="1">
        <v>4.1000000000000002E-2</v>
      </c>
    </row>
    <row r="25" spans="3:5" x14ac:dyDescent="0.2">
      <c r="D25" s="1" t="s">
        <v>165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65A5-B9AA-4241-957F-92147C7A40B7}">
  <dimension ref="A2:DB67"/>
  <sheetViews>
    <sheetView showGridLines="0" tabSelected="1" topLeftCell="Z11" zoomScale="88" zoomScaleNormal="125" workbookViewId="0">
      <selection activeCell="AF26" sqref="AF26"/>
    </sheetView>
  </sheetViews>
  <sheetFormatPr baseColWidth="10" defaultColWidth="12.6640625" defaultRowHeight="16" x14ac:dyDescent="0.2"/>
  <cols>
    <col min="1" max="1" width="12.6640625" style="1"/>
    <col min="2" max="2" width="41.33203125" style="1" customWidth="1"/>
    <col min="3" max="63" width="12.6640625" style="1"/>
    <col min="64" max="67" width="10.83203125" style="1" customWidth="1"/>
    <col min="68" max="68" width="12.1640625" style="1" customWidth="1"/>
    <col min="69" max="69" width="13.33203125" style="1" bestFit="1" customWidth="1"/>
    <col min="70" max="70" width="12.6640625" style="18"/>
    <col min="71" max="73" width="12.6640625" style="1"/>
    <col min="74" max="74" width="16" style="1" customWidth="1"/>
    <col min="75" max="75" width="16.6640625" style="1" customWidth="1"/>
    <col min="76" max="77" width="21.5" style="1" customWidth="1"/>
    <col min="78" max="78" width="21" style="31" customWidth="1"/>
    <col min="79" max="79" width="28.5" style="43" customWidth="1"/>
    <col min="80" max="82" width="28.5" style="1" customWidth="1"/>
    <col min="83" max="88" width="12.6640625" style="1"/>
    <col min="89" max="90" width="15.83203125" style="1" customWidth="1"/>
    <col min="91" max="91" width="21.6640625" style="1" customWidth="1"/>
    <col min="92" max="92" width="30.83203125" style="1" customWidth="1"/>
    <col min="93" max="93" width="23.33203125" style="1" customWidth="1"/>
    <col min="94" max="94" width="21" style="1" customWidth="1"/>
    <col min="95" max="96" width="13.33203125" style="1" bestFit="1" customWidth="1"/>
    <col min="97" max="16384" width="12.6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166</v>
      </c>
      <c r="Y12" s="1" t="s">
        <v>167</v>
      </c>
      <c r="BD12" s="47" t="s">
        <v>168</v>
      </c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15"/>
      <c r="BQ12" s="48" t="s">
        <v>169</v>
      </c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49"/>
      <c r="CU12" s="49"/>
      <c r="CV12" s="49"/>
      <c r="CW12" s="49"/>
      <c r="CX12" s="16"/>
    </row>
    <row r="13" spans="1:106" ht="68" x14ac:dyDescent="0.2">
      <c r="A13" s="17" t="s">
        <v>170</v>
      </c>
      <c r="B13" s="17" t="s">
        <v>171</v>
      </c>
      <c r="C13" s="17" t="s">
        <v>172</v>
      </c>
      <c r="D13" s="17" t="s">
        <v>173</v>
      </c>
      <c r="E13" s="17" t="s">
        <v>82</v>
      </c>
      <c r="F13" s="17" t="s">
        <v>83</v>
      </c>
      <c r="G13" s="17" t="s">
        <v>174</v>
      </c>
      <c r="H13" s="17" t="s">
        <v>175</v>
      </c>
      <c r="I13" s="17" t="s">
        <v>85</v>
      </c>
      <c r="J13" s="17" t="s">
        <v>176</v>
      </c>
      <c r="K13" s="17" t="s">
        <v>177</v>
      </c>
      <c r="L13" s="17" t="s">
        <v>178</v>
      </c>
      <c r="M13" s="17" t="s">
        <v>179</v>
      </c>
      <c r="N13" s="18" t="s">
        <v>180</v>
      </c>
      <c r="P13" s="1" t="s">
        <v>181</v>
      </c>
      <c r="Q13" s="1" t="s">
        <v>182</v>
      </c>
      <c r="R13" s="18" t="s">
        <v>183</v>
      </c>
      <c r="S13" s="18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 t="s">
        <v>194</v>
      </c>
      <c r="AD13" s="19" t="s">
        <v>195</v>
      </c>
      <c r="AE13" s="19" t="s">
        <v>196</v>
      </c>
      <c r="AF13" s="19" t="s">
        <v>197</v>
      </c>
      <c r="AG13" s="19" t="s">
        <v>198</v>
      </c>
      <c r="AH13" s="19"/>
      <c r="AI13" s="19" t="s">
        <v>199</v>
      </c>
      <c r="AJ13" s="19" t="s">
        <v>200</v>
      </c>
      <c r="AK13" s="19" t="s">
        <v>201</v>
      </c>
      <c r="AL13" s="19" t="s">
        <v>202</v>
      </c>
      <c r="AM13" s="19" t="s">
        <v>203</v>
      </c>
      <c r="AN13" s="19" t="s">
        <v>204</v>
      </c>
      <c r="AO13" s="19" t="s">
        <v>205</v>
      </c>
      <c r="AP13" s="19" t="s">
        <v>206</v>
      </c>
      <c r="AQ13" s="19" t="s">
        <v>207</v>
      </c>
      <c r="AR13" s="19" t="s">
        <v>208</v>
      </c>
      <c r="AS13" s="19" t="s">
        <v>209</v>
      </c>
      <c r="AT13" s="19" t="s">
        <v>210</v>
      </c>
      <c r="AU13" s="19" t="s">
        <v>211</v>
      </c>
      <c r="AV13" s="19" t="s">
        <v>212</v>
      </c>
      <c r="AW13" s="19" t="s">
        <v>213</v>
      </c>
      <c r="BD13" s="17" t="s">
        <v>172</v>
      </c>
      <c r="BE13" s="17" t="s">
        <v>173</v>
      </c>
      <c r="BF13" s="17" t="s">
        <v>82</v>
      </c>
      <c r="BG13" s="17" t="s">
        <v>83</v>
      </c>
      <c r="BH13" s="17" t="s">
        <v>174</v>
      </c>
      <c r="BI13" s="17" t="s">
        <v>175</v>
      </c>
      <c r="BJ13" s="17" t="s">
        <v>85</v>
      </c>
      <c r="BK13" s="17" t="s">
        <v>176</v>
      </c>
      <c r="BL13" s="17" t="s">
        <v>177</v>
      </c>
      <c r="BM13" s="17" t="s">
        <v>178</v>
      </c>
      <c r="BN13" s="17" t="s">
        <v>179</v>
      </c>
      <c r="BO13" s="17" t="s">
        <v>214</v>
      </c>
      <c r="BP13" s="18" t="s">
        <v>181</v>
      </c>
      <c r="BQ13" s="20" t="s">
        <v>215</v>
      </c>
      <c r="BR13" s="1"/>
      <c r="BU13" s="21" t="s">
        <v>216</v>
      </c>
      <c r="BV13" s="22" t="s">
        <v>217</v>
      </c>
      <c r="BW13" s="22" t="s">
        <v>218</v>
      </c>
      <c r="BX13" s="22" t="s">
        <v>219</v>
      </c>
      <c r="BY13" s="22" t="s">
        <v>220</v>
      </c>
      <c r="BZ13" s="22"/>
      <c r="CA13" s="22" t="s">
        <v>221</v>
      </c>
      <c r="CB13" s="22" t="s">
        <v>222</v>
      </c>
      <c r="CC13" s="23" t="s">
        <v>223</v>
      </c>
      <c r="CD13" s="24" t="s">
        <v>224</v>
      </c>
      <c r="CE13" s="24" t="s">
        <v>203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28" t="s">
        <v>241</v>
      </c>
      <c r="C14" s="28" t="s">
        <v>225</v>
      </c>
      <c r="D14" s="28" t="s">
        <v>225</v>
      </c>
      <c r="E14" s="28">
        <v>9.5202799999999996</v>
      </c>
      <c r="F14" s="28"/>
      <c r="G14" s="28" t="s">
        <v>225</v>
      </c>
      <c r="H14" s="17" t="s">
        <v>225</v>
      </c>
      <c r="I14" s="17" t="s">
        <v>225</v>
      </c>
      <c r="J14" s="17" t="s">
        <v>225</v>
      </c>
      <c r="K14" s="17" t="s">
        <v>225</v>
      </c>
      <c r="L14" s="17" t="s">
        <v>225</v>
      </c>
      <c r="M14" s="17"/>
      <c r="N14" s="17"/>
      <c r="P14" s="2">
        <v>45678</v>
      </c>
      <c r="Q14" s="3">
        <v>0.40625</v>
      </c>
      <c r="R14" s="1">
        <v>0.5</v>
      </c>
      <c r="S14" s="1" t="s">
        <v>226</v>
      </c>
      <c r="T14" s="1">
        <v>1</v>
      </c>
      <c r="U14" s="1">
        <v>8</v>
      </c>
      <c r="V14" s="1" t="s">
        <v>227</v>
      </c>
      <c r="W14" s="1">
        <v>0.435</v>
      </c>
      <c r="X14" s="1">
        <v>0</v>
      </c>
      <c r="Y14" s="1">
        <v>6.6402000000000001</v>
      </c>
      <c r="Z14" s="1">
        <v>6.399</v>
      </c>
      <c r="AA14" s="1">
        <v>8</v>
      </c>
      <c r="AB14" s="1">
        <f t="shared" ref="AB14:AB31" si="0">Z14-Y14</f>
        <v>-0.24120000000000008</v>
      </c>
      <c r="AC14" s="1">
        <f t="shared" ref="AC14:AC21" si="1">AB14/(AA14/1000)</f>
        <v>-30.150000000000009</v>
      </c>
      <c r="AE14" s="1">
        <v>0</v>
      </c>
      <c r="AF14" s="50" t="e">
        <f>AE14/AD14</f>
        <v>#DIV/0!</v>
      </c>
      <c r="AG14" s="1" t="e">
        <f>AF14*AC14</f>
        <v>#DIV/0!</v>
      </c>
      <c r="AI14" s="29">
        <f>$BF$14-BF14</f>
        <v>0</v>
      </c>
      <c r="AJ14" s="1">
        <f>BE14/R14</f>
        <v>0</v>
      </c>
      <c r="AK14" s="29" t="e">
        <f>BE14/AI14</f>
        <v>#DIV/0!</v>
      </c>
      <c r="AL14" s="8">
        <f>AC14/R14</f>
        <v>-60.300000000000018</v>
      </c>
      <c r="AM14" s="1" t="e">
        <f>AC14/AI14</f>
        <v>#DIV/0!</v>
      </c>
      <c r="AO14" s="29"/>
      <c r="BD14" s="1" t="str">
        <f>IF(ISNUMBER(C14),C14*1000/100,"")</f>
        <v/>
      </c>
      <c r="BE14" s="1">
        <f>IF(ISNUMBER(D14),D14*1000/100,0)</f>
        <v>0</v>
      </c>
      <c r="BF14" s="1">
        <f t="shared" ref="BF14:BO14" si="2">IF(ISNUMBER(E14),E14*1000/100,"")</f>
        <v>95.202799999999982</v>
      </c>
      <c r="BG14" s="1" t="str">
        <f t="shared" si="2"/>
        <v/>
      </c>
      <c r="BH14" s="1" t="str">
        <f t="shared" si="2"/>
        <v/>
      </c>
      <c r="BI14" s="1" t="str">
        <f t="shared" si="2"/>
        <v/>
      </c>
      <c r="BJ14" s="1" t="str">
        <f t="shared" si="2"/>
        <v/>
      </c>
      <c r="BK14" s="1" t="str">
        <f t="shared" si="2"/>
        <v/>
      </c>
      <c r="BL14" s="1" t="str">
        <f t="shared" si="2"/>
        <v/>
      </c>
      <c r="BM14" s="1" t="str">
        <f t="shared" si="2"/>
        <v/>
      </c>
      <c r="BN14" s="1" t="str">
        <f t="shared" si="2"/>
        <v/>
      </c>
      <c r="BO14" s="1" t="str">
        <f t="shared" si="2"/>
        <v/>
      </c>
      <c r="BP14" s="20"/>
      <c r="BQ14" s="20" t="str">
        <f>S14</f>
        <v>r1</v>
      </c>
      <c r="BR14" s="7"/>
      <c r="BS14" s="1" t="str">
        <f t="shared" ref="BS14:BS17" si="3">B14</f>
        <v>Jeff_SloHot50_BioStat 31-1</v>
      </c>
      <c r="BT14" s="29"/>
      <c r="BU14" s="33"/>
      <c r="BW14" s="7"/>
      <c r="BX14" s="7"/>
      <c r="BY14" s="7">
        <f t="shared" ref="BY14:BY21" si="4">$BF$14-BF14</f>
        <v>0</v>
      </c>
      <c r="BZ14" s="7"/>
      <c r="CA14" s="7">
        <f>BY14/R14</f>
        <v>0</v>
      </c>
      <c r="CB14" s="7"/>
      <c r="CC14" s="30"/>
      <c r="CD14" s="31"/>
      <c r="CE14" s="31"/>
      <c r="CG14" s="32"/>
      <c r="CH14" s="32"/>
    </row>
    <row r="15" spans="1:106" x14ac:dyDescent="0.2">
      <c r="A15" s="17"/>
      <c r="B15" s="28" t="s">
        <v>242</v>
      </c>
      <c r="C15" s="28">
        <v>7.5300000000000002E-3</v>
      </c>
      <c r="D15" s="28" t="s">
        <v>225</v>
      </c>
      <c r="E15" s="28">
        <v>9.5352099999999993</v>
      </c>
      <c r="F15" s="28"/>
      <c r="G15" s="28" t="s">
        <v>225</v>
      </c>
      <c r="H15" s="17" t="s">
        <v>225</v>
      </c>
      <c r="I15" s="17" t="s">
        <v>225</v>
      </c>
      <c r="J15" s="17" t="s">
        <v>225</v>
      </c>
      <c r="K15" s="17" t="s">
        <v>225</v>
      </c>
      <c r="L15" s="17" t="s">
        <v>225</v>
      </c>
      <c r="M15" s="17"/>
      <c r="N15" s="17"/>
      <c r="Q15" s="3"/>
      <c r="R15" s="1">
        <v>0.5</v>
      </c>
      <c r="S15" s="1" t="s">
        <v>228</v>
      </c>
      <c r="T15" s="1">
        <v>2</v>
      </c>
      <c r="U15" s="1">
        <v>8</v>
      </c>
      <c r="V15" s="1" t="s">
        <v>227</v>
      </c>
      <c r="W15" s="1">
        <v>0.39</v>
      </c>
      <c r="X15" s="1">
        <v>0</v>
      </c>
      <c r="Y15" s="1">
        <v>6.6603000000000003</v>
      </c>
      <c r="Z15" s="1">
        <v>6.6623999999999999</v>
      </c>
      <c r="AA15" s="1">
        <v>8</v>
      </c>
      <c r="AB15" s="1">
        <f t="shared" si="0"/>
        <v>2.0999999999995467E-3</v>
      </c>
      <c r="AC15" s="1">
        <f t="shared" si="1"/>
        <v>0.26249999999994333</v>
      </c>
      <c r="AE15" s="1">
        <v>0</v>
      </c>
      <c r="AF15" s="50" t="e">
        <f t="shared" ref="AF14:AF31" si="5">AE15/AD15</f>
        <v>#DIV/0!</v>
      </c>
      <c r="AG15" s="1" t="e">
        <f t="shared" ref="AG15:AG31" si="6">AF15*AC15</f>
        <v>#DIV/0!</v>
      </c>
      <c r="AI15" s="29">
        <f>$BF$15-BF15</f>
        <v>0</v>
      </c>
      <c r="AJ15" s="1">
        <f>BE15/R15</f>
        <v>0</v>
      </c>
      <c r="AK15" s="29" t="e">
        <f t="shared" ref="AK15:AK31" si="7">BE15/AI15</f>
        <v>#DIV/0!</v>
      </c>
      <c r="AL15" s="8">
        <f t="shared" ref="AL15:AL31" si="8">AC15/R15</f>
        <v>0.52499999999988667</v>
      </c>
      <c r="AM15" s="1" t="e">
        <f>AC15/AI15</f>
        <v>#DIV/0!</v>
      </c>
      <c r="AO15" s="29"/>
      <c r="BD15" s="1">
        <f t="shared" ref="BD15:BD25" si="9">IF(ISNUMBER(C15),C15*1000/100,"")</f>
        <v>7.5300000000000006E-2</v>
      </c>
      <c r="BE15" s="1">
        <f t="shared" ref="BE15:BE25" si="10">IF(ISNUMBER(D15),D15*1000/100,0)</f>
        <v>0</v>
      </c>
      <c r="BF15" s="1">
        <f t="shared" ref="BF15:BF25" si="11">IF(ISNUMBER(E15),E15*1000/100,"")</f>
        <v>95.352099999999993</v>
      </c>
      <c r="BG15" s="1" t="str">
        <f t="shared" ref="BG15:BG29" si="12">IF(ISNUMBER(F15),F15*1000/100,"")</f>
        <v/>
      </c>
      <c r="BH15" s="1" t="str">
        <f t="shared" ref="BH15:BH29" si="13">IF(ISNUMBER(G15),G15*1000/100,"")</f>
        <v/>
      </c>
      <c r="BI15" s="1" t="str">
        <f t="shared" ref="BI15:BI29" si="14">IF(ISNUMBER(H15),H15*1000/100,"")</f>
        <v/>
      </c>
      <c r="BJ15" s="1" t="str">
        <f t="shared" ref="BJ15:BJ29" si="15">IF(ISNUMBER(I15),I15*1000/100,"")</f>
        <v/>
      </c>
      <c r="BK15" s="1" t="str">
        <f t="shared" ref="BK15:BK29" si="16">IF(ISNUMBER(J15),J15*1000/100,"")</f>
        <v/>
      </c>
      <c r="BL15" s="1" t="str">
        <f t="shared" ref="BL15:BL29" si="17">IF(ISNUMBER(K15),K15*1000/100,"")</f>
        <v/>
      </c>
      <c r="BM15" s="1" t="str">
        <f t="shared" ref="BM15:BM29" si="18">IF(ISNUMBER(L15),L15*1000/100,"")</f>
        <v/>
      </c>
      <c r="BN15" s="1" t="str">
        <f t="shared" ref="BN15:BN29" si="19">IF(ISNUMBER(M15),M15*1000/100,"")</f>
        <v/>
      </c>
      <c r="BO15" s="1" t="str">
        <f t="shared" ref="BO15:BO29" si="20">IF(ISNUMBER(N15),N15*1000/100,"")</f>
        <v/>
      </c>
      <c r="BP15" s="20"/>
      <c r="BQ15" s="20" t="str">
        <f>S15</f>
        <v>r2</v>
      </c>
      <c r="BR15" s="7"/>
      <c r="BS15" s="1" t="str">
        <f t="shared" si="3"/>
        <v>Jeff_SloHot50_BioStat 31-2</v>
      </c>
      <c r="BT15" s="29"/>
      <c r="BU15" s="33"/>
      <c r="BV15" s="7"/>
      <c r="BW15" s="35"/>
      <c r="BX15" s="35"/>
      <c r="BY15" s="7">
        <f t="shared" si="4"/>
        <v>-0.14930000000001087</v>
      </c>
      <c r="BZ15" s="7"/>
      <c r="CA15" s="7">
        <f>BY15/R18</f>
        <v>-3.3177777777780193E-2</v>
      </c>
      <c r="CB15" s="7">
        <f t="shared" ref="CB15:CB21" si="21">BY15-BY14</f>
        <v>-0.14930000000001087</v>
      </c>
      <c r="CC15" s="30">
        <f>CB15/(R18-R14)</f>
        <v>-3.7325000000002717E-2</v>
      </c>
      <c r="CD15" s="30">
        <f>AC15-AC14</f>
        <v>30.412499999999952</v>
      </c>
      <c r="CE15" s="36">
        <f>CD15/CB15</f>
        <v>-203.70060281311277</v>
      </c>
      <c r="CF15" s="8"/>
      <c r="CG15" s="37"/>
      <c r="CH15" s="37"/>
      <c r="CI15" s="32"/>
      <c r="CN15" s="29"/>
      <c r="CO15" s="29"/>
      <c r="CP15" s="7"/>
      <c r="CQ15" s="7"/>
      <c r="CR15" s="7"/>
      <c r="CS15" s="29"/>
      <c r="CZ15" s="7"/>
      <c r="DA15" s="7"/>
      <c r="DB15" s="7"/>
    </row>
    <row r="16" spans="1:106" x14ac:dyDescent="0.2">
      <c r="A16" s="17"/>
      <c r="B16" s="28" t="s">
        <v>243</v>
      </c>
      <c r="C16" s="28">
        <v>8.3199999999999993E-3</v>
      </c>
      <c r="D16" s="28" t="s">
        <v>225</v>
      </c>
      <c r="E16" s="28">
        <v>9.5423399999999994</v>
      </c>
      <c r="F16" s="28"/>
      <c r="G16" s="28" t="s">
        <v>225</v>
      </c>
      <c r="H16" s="17" t="s">
        <v>225</v>
      </c>
      <c r="I16" s="17" t="s">
        <v>225</v>
      </c>
      <c r="J16" s="17" t="s">
        <v>225</v>
      </c>
      <c r="K16" s="17" t="s">
        <v>225</v>
      </c>
      <c r="L16" s="17" t="s">
        <v>225</v>
      </c>
      <c r="M16" s="17"/>
      <c r="N16" s="17"/>
      <c r="P16" s="2"/>
      <c r="Q16" s="3">
        <v>0.53125</v>
      </c>
      <c r="R16" s="1">
        <v>3.5</v>
      </c>
      <c r="S16" s="1" t="s">
        <v>226</v>
      </c>
      <c r="T16" s="1">
        <v>3</v>
      </c>
      <c r="U16" s="1">
        <v>8</v>
      </c>
      <c r="V16" s="1" t="s">
        <v>227</v>
      </c>
      <c r="W16" s="1">
        <v>0.86799999999999999</v>
      </c>
      <c r="X16" s="1">
        <v>1</v>
      </c>
      <c r="Y16" s="1">
        <v>6.5873999999999997</v>
      </c>
      <c r="Z16" s="1">
        <v>6.5955000000000004</v>
      </c>
      <c r="AA16" s="1">
        <v>8</v>
      </c>
      <c r="AB16" s="1">
        <f t="shared" si="0"/>
        <v>8.1000000000006622E-3</v>
      </c>
      <c r="AC16" s="1">
        <f t="shared" si="1"/>
        <v>1.0125000000000828</v>
      </c>
      <c r="AD16" s="1">
        <v>2.2000000000000002</v>
      </c>
      <c r="AE16" s="1">
        <v>0.27649999999999997</v>
      </c>
      <c r="AF16" s="50">
        <f t="shared" si="5"/>
        <v>0.12568181818181814</v>
      </c>
      <c r="AG16" s="1">
        <f t="shared" si="6"/>
        <v>0.12725284090910127</v>
      </c>
      <c r="AI16" s="29">
        <f>$BF$14-BF16</f>
        <v>-0.22060000000001878</v>
      </c>
      <c r="AJ16" s="1">
        <f>BE16/R16</f>
        <v>0</v>
      </c>
      <c r="AK16" s="29">
        <f t="shared" si="7"/>
        <v>0</v>
      </c>
      <c r="AL16" s="8">
        <f t="shared" si="8"/>
        <v>0.28928571428573796</v>
      </c>
      <c r="AM16" s="8">
        <f>AC16/AI16</f>
        <v>-4.5897552130552883</v>
      </c>
      <c r="AO16" s="29"/>
      <c r="AP16" s="1">
        <f t="shared" ref="AP16:AP31" si="22">BF14-BF16</f>
        <v>-0.22060000000001878</v>
      </c>
      <c r="AQ16" s="8">
        <f>AP16/(R16-R14)</f>
        <v>-7.3533333333339598E-2</v>
      </c>
      <c r="AR16" s="8">
        <f>(AC16-AC14)/(AI16-AI14)</f>
        <v>-141.26246600180164</v>
      </c>
      <c r="AS16" s="29">
        <f>AR16/AQ16</f>
        <v>1921.0670807133672</v>
      </c>
      <c r="AT16" s="8">
        <f>(BE16-BE14)/(AI16-AI14)</f>
        <v>0</v>
      </c>
      <c r="AU16" s="34">
        <f>AT16/AP16</f>
        <v>0</v>
      </c>
      <c r="AV16" s="8"/>
      <c r="AW16" s="8">
        <f>AK16+AM16</f>
        <v>-4.5897552130552883</v>
      </c>
      <c r="BD16" s="1">
        <f t="shared" si="9"/>
        <v>8.3199999999999982E-2</v>
      </c>
      <c r="BE16" s="1">
        <f t="shared" si="10"/>
        <v>0</v>
      </c>
      <c r="BF16" s="1">
        <f t="shared" si="11"/>
        <v>95.423400000000001</v>
      </c>
      <c r="BG16" s="1" t="str">
        <f t="shared" si="12"/>
        <v/>
      </c>
      <c r="BH16" s="1" t="str">
        <f t="shared" si="13"/>
        <v/>
      </c>
      <c r="BI16" s="1" t="str">
        <f t="shared" si="14"/>
        <v/>
      </c>
      <c r="BJ16" s="1" t="str">
        <f t="shared" si="15"/>
        <v/>
      </c>
      <c r="BK16" s="1" t="str">
        <f t="shared" si="16"/>
        <v/>
      </c>
      <c r="BL16" s="1" t="str">
        <f t="shared" si="17"/>
        <v/>
      </c>
      <c r="BM16" s="1" t="str">
        <f t="shared" si="18"/>
        <v/>
      </c>
      <c r="BN16" s="1" t="str">
        <f t="shared" si="19"/>
        <v/>
      </c>
      <c r="BO16" s="1" t="str">
        <f t="shared" si="20"/>
        <v/>
      </c>
      <c r="BP16" s="20"/>
      <c r="BQ16" s="20" t="str">
        <f>S16</f>
        <v>r1</v>
      </c>
      <c r="BR16" s="7"/>
      <c r="BS16" s="1" t="str">
        <f t="shared" si="3"/>
        <v>Jeff_SloHot50_BioStat 31-3</v>
      </c>
      <c r="BT16" s="29"/>
      <c r="BU16" s="33"/>
      <c r="BV16" s="7"/>
      <c r="BW16" s="35"/>
      <c r="BX16" s="7"/>
      <c r="BY16" s="7">
        <f t="shared" si="4"/>
        <v>-0.22060000000001878</v>
      </c>
      <c r="BZ16" s="7"/>
      <c r="CA16" s="7">
        <f>BY16/R20</f>
        <v>-4.0109090909094321E-2</v>
      </c>
      <c r="CB16" s="7">
        <f t="shared" si="21"/>
        <v>-7.1300000000007913E-2</v>
      </c>
      <c r="CC16" s="30">
        <f>CB16/(R20-R18)</f>
        <v>-7.1300000000007913E-2</v>
      </c>
      <c r="CD16" s="30"/>
      <c r="CE16" s="36"/>
      <c r="CF16" s="8"/>
      <c r="CG16" s="37"/>
      <c r="CH16" s="37"/>
      <c r="CI16" s="8"/>
      <c r="CN16" s="29"/>
      <c r="CO16" s="29"/>
      <c r="CP16" s="7"/>
      <c r="CQ16" s="7"/>
      <c r="CR16" s="7"/>
      <c r="CS16" s="29"/>
      <c r="CT16" s="29"/>
      <c r="CU16" s="29"/>
      <c r="CZ16" s="7"/>
      <c r="DA16" s="7"/>
      <c r="DB16" s="7"/>
    </row>
    <row r="17" spans="1:106" x14ac:dyDescent="0.2">
      <c r="B17" s="28" t="s">
        <v>244</v>
      </c>
      <c r="C17" s="28">
        <v>9.0100000000000006E-3</v>
      </c>
      <c r="D17" s="28" t="s">
        <v>225</v>
      </c>
      <c r="E17" s="28">
        <v>9.5098000000000003</v>
      </c>
      <c r="F17" s="28"/>
      <c r="G17" s="28" t="s">
        <v>225</v>
      </c>
      <c r="H17" s="17" t="s">
        <v>225</v>
      </c>
      <c r="I17" s="17" t="s">
        <v>225</v>
      </c>
      <c r="J17" s="17" t="s">
        <v>225</v>
      </c>
      <c r="K17" s="17" t="s">
        <v>225</v>
      </c>
      <c r="L17" s="17" t="s">
        <v>225</v>
      </c>
      <c r="M17" s="17"/>
      <c r="N17" s="17"/>
      <c r="P17" s="2"/>
      <c r="Q17" s="3"/>
      <c r="R17" s="1">
        <v>3.5</v>
      </c>
      <c r="S17" s="1" t="s">
        <v>228</v>
      </c>
      <c r="T17" s="1">
        <v>4</v>
      </c>
      <c r="U17" s="1">
        <v>8</v>
      </c>
      <c r="V17" s="1" t="s">
        <v>227</v>
      </c>
      <c r="W17" s="1">
        <v>0.71599999999999997</v>
      </c>
      <c r="X17" s="1">
        <v>0</v>
      </c>
      <c r="Y17" s="1">
        <v>6.6134000000000004</v>
      </c>
      <c r="Z17" s="1">
        <v>6.6212999999999997</v>
      </c>
      <c r="AA17" s="1">
        <v>8</v>
      </c>
      <c r="AB17" s="1">
        <f t="shared" si="0"/>
        <v>7.899999999999352E-3</v>
      </c>
      <c r="AC17" s="1">
        <f t="shared" si="1"/>
        <v>0.987499999999919</v>
      </c>
      <c r="AD17" s="1">
        <v>1.8</v>
      </c>
      <c r="AE17" s="1">
        <v>0.20850000000000002</v>
      </c>
      <c r="AF17" s="50">
        <f t="shared" si="5"/>
        <v>0.11583333333333334</v>
      </c>
      <c r="AG17" s="1">
        <f t="shared" si="6"/>
        <v>0.11438541666665729</v>
      </c>
      <c r="AI17" s="29">
        <f>$BF$15-BF17</f>
        <v>0.25409999999997979</v>
      </c>
      <c r="AJ17" s="1">
        <f t="shared" ref="AJ17:AJ31" si="23">BE17/R17</f>
        <v>0</v>
      </c>
      <c r="AK17" s="29">
        <f t="shared" si="7"/>
        <v>0</v>
      </c>
      <c r="AL17" s="8">
        <f t="shared" si="8"/>
        <v>0.28214285714283399</v>
      </c>
      <c r="AM17" s="8">
        <f t="shared" ref="AM17:AM31" si="24">AC17/AI17</f>
        <v>3.8862652499016037</v>
      </c>
      <c r="AO17" s="29"/>
      <c r="AP17" s="1">
        <f t="shared" si="22"/>
        <v>0.25409999999997979</v>
      </c>
      <c r="AQ17" s="8">
        <f>AP17/(R17-R15)</f>
        <v>8.4699999999993267E-2</v>
      </c>
      <c r="AR17" s="8">
        <f t="shared" ref="AR17:AR31" si="25">(AC17-AC15)/(AI17-AI15)</f>
        <v>2.8532073986620752</v>
      </c>
      <c r="AS17" s="29">
        <f t="shared" ref="AS17:AS31" si="26">AR17/AQ17</f>
        <v>33.686037764608052</v>
      </c>
      <c r="AT17" s="8">
        <f>(BE17-BE15)/(AI17-AI15)</f>
        <v>0</v>
      </c>
      <c r="AU17" s="34">
        <f t="shared" ref="AU17:AU31" si="27">AT17/AP17</f>
        <v>0</v>
      </c>
      <c r="AV17" s="8"/>
      <c r="AW17" s="8">
        <f t="shared" ref="AW17:AW31" si="28">AK17+AM17</f>
        <v>3.8862652499016037</v>
      </c>
      <c r="BD17" s="1">
        <f t="shared" si="9"/>
        <v>9.01E-2</v>
      </c>
      <c r="BE17" s="1">
        <f t="shared" si="10"/>
        <v>0</v>
      </c>
      <c r="BF17" s="1">
        <f t="shared" si="11"/>
        <v>95.098000000000013</v>
      </c>
      <c r="BG17" s="1" t="str">
        <f t="shared" si="12"/>
        <v/>
      </c>
      <c r="BH17" s="1" t="str">
        <f t="shared" si="13"/>
        <v/>
      </c>
      <c r="BI17" s="1" t="str">
        <f t="shared" si="14"/>
        <v/>
      </c>
      <c r="BJ17" s="1" t="str">
        <f t="shared" si="15"/>
        <v/>
      </c>
      <c r="BK17" s="1" t="str">
        <f t="shared" si="16"/>
        <v/>
      </c>
      <c r="BL17" s="1" t="str">
        <f t="shared" si="17"/>
        <v/>
      </c>
      <c r="BM17" s="1" t="str">
        <f t="shared" si="18"/>
        <v/>
      </c>
      <c r="BN17" s="1" t="str">
        <f t="shared" si="19"/>
        <v/>
      </c>
      <c r="BO17" s="1" t="str">
        <f t="shared" si="20"/>
        <v/>
      </c>
      <c r="BP17" s="20"/>
      <c r="BQ17" s="20" t="str">
        <f>S17</f>
        <v>r2</v>
      </c>
      <c r="BR17" s="7"/>
      <c r="BS17" s="1" t="str">
        <f t="shared" si="3"/>
        <v>Jeff_SloHot50_BioStat 31-4</v>
      </c>
      <c r="BT17" s="29"/>
      <c r="BU17" s="33"/>
      <c r="BV17" s="7"/>
      <c r="BW17" s="35"/>
      <c r="BX17" s="7"/>
      <c r="BY17" s="7">
        <f t="shared" si="4"/>
        <v>0.10479999999996892</v>
      </c>
      <c r="BZ17" s="7"/>
      <c r="CA17" s="7">
        <f>BY17/R22</f>
        <v>4.3666666666653713E-3</v>
      </c>
      <c r="CB17" s="7">
        <f t="shared" si="21"/>
        <v>0.3253999999999877</v>
      </c>
      <c r="CC17" s="30">
        <f>CB17/(R22-R20)</f>
        <v>1.7589189189188524E-2</v>
      </c>
      <c r="CD17" s="30"/>
      <c r="CE17" s="36"/>
      <c r="CF17" s="8"/>
      <c r="CG17" s="37"/>
      <c r="CH17" s="37"/>
      <c r="CI17" s="8"/>
      <c r="CN17" s="8"/>
      <c r="CO17" s="29"/>
      <c r="CP17" s="7"/>
      <c r="CQ17" s="7"/>
      <c r="CR17" s="7"/>
      <c r="CS17" s="29"/>
      <c r="CT17" s="29"/>
      <c r="CU17" s="29"/>
      <c r="CZ17" s="7"/>
      <c r="DA17" s="7"/>
      <c r="DB17" s="7"/>
    </row>
    <row r="18" spans="1:106" x14ac:dyDescent="0.2">
      <c r="B18" s="28" t="s">
        <v>245</v>
      </c>
      <c r="C18" s="28">
        <v>1.3050000000000001E-2</v>
      </c>
      <c r="D18" s="28" t="s">
        <v>225</v>
      </c>
      <c r="E18" s="28">
        <v>9.4848300000000005</v>
      </c>
      <c r="F18" s="28"/>
      <c r="G18" s="28" t="s">
        <v>225</v>
      </c>
      <c r="H18" s="17" t="s">
        <v>225</v>
      </c>
      <c r="I18" s="17" t="s">
        <v>225</v>
      </c>
      <c r="J18" s="17" t="s">
        <v>225</v>
      </c>
      <c r="K18" s="17" t="s">
        <v>225</v>
      </c>
      <c r="L18" s="17" t="s">
        <v>225</v>
      </c>
      <c r="M18" s="17"/>
      <c r="N18" s="17"/>
      <c r="P18" s="2"/>
      <c r="Q18" s="3">
        <v>0.57291666666666663</v>
      </c>
      <c r="R18" s="1">
        <v>4.5</v>
      </c>
      <c r="S18" s="1" t="s">
        <v>226</v>
      </c>
      <c r="T18" s="1">
        <v>5</v>
      </c>
      <c r="U18" s="1">
        <v>8</v>
      </c>
      <c r="V18" s="1" t="s">
        <v>227</v>
      </c>
      <c r="W18" s="1">
        <v>1.1000000000000001</v>
      </c>
      <c r="X18" s="1">
        <v>1</v>
      </c>
      <c r="AA18" s="1">
        <v>8</v>
      </c>
      <c r="AB18" s="1">
        <f t="shared" si="0"/>
        <v>0</v>
      </c>
      <c r="AC18" s="1">
        <f t="shared" si="1"/>
        <v>0</v>
      </c>
      <c r="AE18" s="1">
        <v>0</v>
      </c>
      <c r="AF18" s="50" t="e">
        <f t="shared" si="5"/>
        <v>#DIV/0!</v>
      </c>
      <c r="AG18" s="1" t="e">
        <f t="shared" si="6"/>
        <v>#DIV/0!</v>
      </c>
      <c r="AI18" s="29">
        <f t="shared" ref="AI18" si="29">$BF$14-BF18</f>
        <v>0.35449999999998738</v>
      </c>
      <c r="AJ18" s="1">
        <f t="shared" si="23"/>
        <v>0</v>
      </c>
      <c r="AK18" s="29">
        <f t="shared" si="7"/>
        <v>0</v>
      </c>
      <c r="AL18" s="8">
        <f t="shared" si="8"/>
        <v>0</v>
      </c>
      <c r="AM18" s="8">
        <f t="shared" si="24"/>
        <v>0</v>
      </c>
      <c r="AO18" s="29"/>
      <c r="AP18" s="1">
        <f t="shared" si="22"/>
        <v>0.57510000000000616</v>
      </c>
      <c r="AQ18" s="8">
        <f t="shared" ref="AQ18:AQ31" si="30">AP18/(R18-R16)</f>
        <v>0.57510000000000616</v>
      </c>
      <c r="AR18" s="8">
        <f t="shared" si="25"/>
        <v>-1.7605633802818152</v>
      </c>
      <c r="AS18" s="29">
        <f t="shared" si="26"/>
        <v>-3.0613169540632872</v>
      </c>
      <c r="AT18" s="8">
        <f t="shared" ref="AT18:AT31" si="31">(BE18-BE16)/(AI18-AI16)</f>
        <v>0</v>
      </c>
      <c r="AU18" s="34">
        <f t="shared" si="27"/>
        <v>0</v>
      </c>
      <c r="AV18" s="8"/>
      <c r="AW18" s="8">
        <f t="shared" si="28"/>
        <v>0</v>
      </c>
      <c r="BD18" s="1">
        <f t="shared" si="9"/>
        <v>0.1305</v>
      </c>
      <c r="BE18" s="1">
        <f t="shared" si="10"/>
        <v>0</v>
      </c>
      <c r="BF18" s="1">
        <f t="shared" si="11"/>
        <v>94.848299999999995</v>
      </c>
      <c r="BG18" s="1" t="str">
        <f t="shared" si="12"/>
        <v/>
      </c>
      <c r="BH18" s="1" t="str">
        <f t="shared" si="13"/>
        <v/>
      </c>
      <c r="BI18" s="1" t="str">
        <f t="shared" si="14"/>
        <v/>
      </c>
      <c r="BJ18" s="1" t="str">
        <f t="shared" si="15"/>
        <v/>
      </c>
      <c r="BK18" s="1" t="str">
        <f t="shared" si="16"/>
        <v/>
      </c>
      <c r="BL18" s="1" t="str">
        <f t="shared" si="17"/>
        <v/>
      </c>
      <c r="BM18" s="1" t="str">
        <f t="shared" si="18"/>
        <v/>
      </c>
      <c r="BN18" s="1" t="str">
        <f t="shared" si="19"/>
        <v/>
      </c>
      <c r="BO18" s="1" t="str">
        <f t="shared" si="20"/>
        <v/>
      </c>
      <c r="BP18" s="20"/>
      <c r="BQ18" s="20" t="str">
        <f>S19</f>
        <v>r2</v>
      </c>
      <c r="BR18" s="7"/>
      <c r="BS18" s="1" t="e">
        <f>#REF!</f>
        <v>#REF!</v>
      </c>
      <c r="BT18" s="29"/>
      <c r="BU18" s="33"/>
      <c r="BV18" s="7"/>
      <c r="BW18" s="7"/>
      <c r="BX18" s="7"/>
      <c r="BY18" s="7">
        <f t="shared" si="4"/>
        <v>0.35449999999998738</v>
      </c>
      <c r="BZ18" s="7"/>
      <c r="CA18" s="7">
        <f>BY18/R26</f>
        <v>7.3854166666664041E-3</v>
      </c>
      <c r="CB18" s="7">
        <f t="shared" si="21"/>
        <v>0.24970000000001846</v>
      </c>
      <c r="CC18" s="30">
        <f>CB18/(R26-R22)</f>
        <v>1.0404166666667436E-2</v>
      </c>
      <c r="CD18" s="30">
        <f>AC18-AC15</f>
        <v>-0.26249999999994333</v>
      </c>
      <c r="CE18" s="36">
        <f>CD18/CB18</f>
        <v>-1.0512615138162753</v>
      </c>
      <c r="CF18" s="8"/>
      <c r="CG18" s="37"/>
      <c r="CH18" s="37"/>
      <c r="CI18" s="8"/>
      <c r="CN18" s="8"/>
      <c r="CO18" s="29"/>
      <c r="CP18" s="7"/>
      <c r="CQ18" s="7"/>
      <c r="CR18" s="7"/>
      <c r="CS18" s="29"/>
      <c r="CT18" s="29"/>
      <c r="CU18" s="29"/>
      <c r="CZ18" s="7"/>
      <c r="DA18" s="8"/>
      <c r="DB18" s="7"/>
    </row>
    <row r="19" spans="1:106" x14ac:dyDescent="0.2">
      <c r="A19" s="18"/>
      <c r="B19" s="28" t="s">
        <v>246</v>
      </c>
      <c r="C19" s="28">
        <v>1.193E-2</v>
      </c>
      <c r="D19" s="28" t="s">
        <v>225</v>
      </c>
      <c r="E19" s="28">
        <v>9.4528300000000005</v>
      </c>
      <c r="F19" s="28"/>
      <c r="G19" s="28" t="s">
        <v>225</v>
      </c>
      <c r="H19" s="17" t="s">
        <v>225</v>
      </c>
      <c r="I19" s="17" t="s">
        <v>225</v>
      </c>
      <c r="J19" s="17" t="s">
        <v>225</v>
      </c>
      <c r="K19" s="17" t="s">
        <v>225</v>
      </c>
      <c r="L19" s="17" t="s">
        <v>225</v>
      </c>
      <c r="M19" s="17"/>
      <c r="N19" s="17"/>
      <c r="P19" s="2"/>
      <c r="Q19" s="3"/>
      <c r="R19" s="1">
        <v>4.5</v>
      </c>
      <c r="S19" s="1" t="s">
        <v>228</v>
      </c>
      <c r="T19" s="1">
        <v>6</v>
      </c>
      <c r="U19" s="1">
        <v>8</v>
      </c>
      <c r="V19" s="1" t="s">
        <v>227</v>
      </c>
      <c r="W19" s="1">
        <v>0.97399999999999998</v>
      </c>
      <c r="X19" s="1">
        <v>1</v>
      </c>
      <c r="AA19" s="1">
        <v>8</v>
      </c>
      <c r="AB19" s="1">
        <f t="shared" si="0"/>
        <v>0</v>
      </c>
      <c r="AC19" s="1">
        <f t="shared" si="1"/>
        <v>0</v>
      </c>
      <c r="AE19" s="1">
        <v>0</v>
      </c>
      <c r="AF19" s="50" t="e">
        <f t="shared" si="5"/>
        <v>#DIV/0!</v>
      </c>
      <c r="AG19" s="1" t="e">
        <f t="shared" si="6"/>
        <v>#DIV/0!</v>
      </c>
      <c r="AI19" s="29">
        <f t="shared" ref="AI19" si="32">$BF$15-BF19</f>
        <v>0.82379999999999143</v>
      </c>
      <c r="AJ19" s="1">
        <f t="shared" si="23"/>
        <v>0</v>
      </c>
      <c r="AK19" s="29">
        <f t="shared" si="7"/>
        <v>0</v>
      </c>
      <c r="AL19" s="8">
        <f t="shared" si="8"/>
        <v>0</v>
      </c>
      <c r="AM19" s="8">
        <f t="shared" si="24"/>
        <v>0</v>
      </c>
      <c r="AO19" s="29"/>
      <c r="AP19" s="1">
        <f t="shared" si="22"/>
        <v>0.56970000000001164</v>
      </c>
      <c r="AQ19" s="8">
        <f t="shared" si="30"/>
        <v>0.56970000000001164</v>
      </c>
      <c r="AR19" s="8">
        <f t="shared" si="25"/>
        <v>-1.7333684395293993</v>
      </c>
      <c r="AS19" s="29">
        <f t="shared" si="26"/>
        <v>-3.0425986300322343</v>
      </c>
      <c r="AT19" s="8">
        <f t="shared" si="31"/>
        <v>0</v>
      </c>
      <c r="AU19" s="34">
        <f t="shared" si="27"/>
        <v>0</v>
      </c>
      <c r="AV19" s="8"/>
      <c r="AW19" s="8">
        <f t="shared" si="28"/>
        <v>0</v>
      </c>
      <c r="BD19" s="1">
        <f t="shared" si="9"/>
        <v>0.1193</v>
      </c>
      <c r="BE19" s="1">
        <f t="shared" si="10"/>
        <v>0</v>
      </c>
      <c r="BF19" s="1">
        <f t="shared" si="11"/>
        <v>94.528300000000002</v>
      </c>
      <c r="BG19" s="1" t="str">
        <f t="shared" si="12"/>
        <v/>
      </c>
      <c r="BH19" s="1" t="str">
        <f t="shared" si="13"/>
        <v/>
      </c>
      <c r="BI19" s="1" t="str">
        <f t="shared" si="14"/>
        <v/>
      </c>
      <c r="BJ19" s="1" t="str">
        <f t="shared" si="15"/>
        <v/>
      </c>
      <c r="BK19" s="1" t="str">
        <f t="shared" si="16"/>
        <v/>
      </c>
      <c r="BL19" s="1" t="str">
        <f t="shared" si="17"/>
        <v/>
      </c>
      <c r="BM19" s="1" t="str">
        <f t="shared" si="18"/>
        <v/>
      </c>
      <c r="BN19" s="1" t="str">
        <f t="shared" si="19"/>
        <v/>
      </c>
      <c r="BO19" s="1" t="str">
        <f t="shared" si="20"/>
        <v/>
      </c>
      <c r="BP19" s="20"/>
      <c r="BQ19" s="20" t="str">
        <f>S20</f>
        <v>r1</v>
      </c>
      <c r="BR19" s="7"/>
      <c r="BS19" s="1" t="str">
        <f>B18</f>
        <v>Jeff_SloHot50_BioStat 31-5</v>
      </c>
      <c r="BT19" s="7"/>
      <c r="BU19" s="33"/>
      <c r="BV19" s="7"/>
      <c r="BW19" s="7"/>
      <c r="BX19" s="7"/>
      <c r="BY19" s="7">
        <f t="shared" si="4"/>
        <v>0.67449999999998056</v>
      </c>
      <c r="BZ19" s="7"/>
      <c r="CA19" s="7" t="e">
        <f>BY19/#REF!</f>
        <v>#REF!</v>
      </c>
      <c r="CB19" s="7">
        <f t="shared" si="21"/>
        <v>0.31999999999999318</v>
      </c>
      <c r="CC19" s="30" t="e">
        <f>CB19/(#REF!-R26)</f>
        <v>#REF!</v>
      </c>
      <c r="CD19" s="30"/>
      <c r="CE19" s="36"/>
      <c r="CF19" s="8"/>
      <c r="CG19" s="37"/>
      <c r="CH19" s="37"/>
      <c r="CI19" s="8"/>
      <c r="CN19" s="8"/>
      <c r="CO19" s="29"/>
      <c r="CP19" s="7"/>
      <c r="CQ19" s="7"/>
      <c r="CR19" s="7"/>
      <c r="CS19" s="29"/>
      <c r="CT19" s="29"/>
      <c r="CU19" s="29"/>
      <c r="CZ19" s="7"/>
      <c r="DA19" s="8"/>
      <c r="DB19" s="7"/>
    </row>
    <row r="20" spans="1:106" x14ac:dyDescent="0.2">
      <c r="B20" s="28" t="s">
        <v>247</v>
      </c>
      <c r="C20" s="28">
        <v>9.5899999999999996E-3</v>
      </c>
      <c r="D20" s="28" t="s">
        <v>225</v>
      </c>
      <c r="E20" s="28">
        <v>9.4592500000000008</v>
      </c>
      <c r="F20" s="28"/>
      <c r="G20" s="28" t="s">
        <v>225</v>
      </c>
      <c r="H20" s="17" t="s">
        <v>225</v>
      </c>
      <c r="I20" s="17" t="s">
        <v>225</v>
      </c>
      <c r="J20" s="17" t="s">
        <v>225</v>
      </c>
      <c r="K20" s="17" t="s">
        <v>225</v>
      </c>
      <c r="L20" s="17" t="s">
        <v>225</v>
      </c>
      <c r="M20" s="17"/>
      <c r="N20" s="17"/>
      <c r="P20" s="2"/>
      <c r="Q20" s="3">
        <v>0.61458333333333337</v>
      </c>
      <c r="R20" s="1">
        <v>5.5</v>
      </c>
      <c r="S20" s="45" t="s">
        <v>226</v>
      </c>
      <c r="T20" s="1">
        <v>7</v>
      </c>
      <c r="U20" s="1">
        <v>8</v>
      </c>
      <c r="V20" s="1" t="s">
        <v>227</v>
      </c>
      <c r="W20" s="1">
        <v>1.39</v>
      </c>
      <c r="X20" s="1">
        <v>2</v>
      </c>
      <c r="Y20" s="1">
        <v>6.6351000000000004</v>
      </c>
      <c r="Z20" s="1">
        <v>6.6456999999999997</v>
      </c>
      <c r="AA20" s="1">
        <v>8</v>
      </c>
      <c r="AB20" s="1">
        <f t="shared" si="0"/>
        <v>1.0599999999999277E-2</v>
      </c>
      <c r="AC20" s="1">
        <f t="shared" si="1"/>
        <v>1.3249999999999096</v>
      </c>
      <c r="AD20" s="1">
        <v>6</v>
      </c>
      <c r="AE20" s="1">
        <v>0.44350000000000001</v>
      </c>
      <c r="AF20" s="50">
        <f t="shared" si="5"/>
        <v>7.3916666666666672E-2</v>
      </c>
      <c r="AG20" s="1">
        <f t="shared" si="6"/>
        <v>9.7939583333326655E-2</v>
      </c>
      <c r="AI20" s="29">
        <f t="shared" ref="AI20" si="33">$BF$14-BF20</f>
        <v>0.61029999999998097</v>
      </c>
      <c r="AJ20" s="1">
        <f t="shared" si="23"/>
        <v>0</v>
      </c>
      <c r="AK20" s="29">
        <f t="shared" si="7"/>
        <v>0</v>
      </c>
      <c r="AL20" s="8">
        <f t="shared" si="8"/>
        <v>0.24090909090907447</v>
      </c>
      <c r="AM20" s="8">
        <f t="shared" si="24"/>
        <v>2.1710634114369176</v>
      </c>
      <c r="AO20" s="29"/>
      <c r="AP20" s="1">
        <f t="shared" si="22"/>
        <v>0.25579999999999359</v>
      </c>
      <c r="AQ20" s="8">
        <f t="shared" si="30"/>
        <v>0.25579999999999359</v>
      </c>
      <c r="AR20" s="8">
        <f t="shared" si="25"/>
        <v>5.1798279906174463</v>
      </c>
      <c r="AS20" s="29">
        <f t="shared" si="26"/>
        <v>20.249523028215702</v>
      </c>
      <c r="AT20" s="8">
        <f t="shared" si="31"/>
        <v>0</v>
      </c>
      <c r="AU20" s="34">
        <f t="shared" si="27"/>
        <v>0</v>
      </c>
      <c r="AV20" s="8"/>
      <c r="AW20" s="8">
        <f t="shared" si="28"/>
        <v>2.1710634114369176</v>
      </c>
      <c r="BD20" s="1">
        <f t="shared" si="9"/>
        <v>9.5899999999999999E-2</v>
      </c>
      <c r="BE20" s="1">
        <f t="shared" si="10"/>
        <v>0</v>
      </c>
      <c r="BF20" s="1">
        <f t="shared" si="11"/>
        <v>94.592500000000001</v>
      </c>
      <c r="BG20" s="1" t="str">
        <f t="shared" si="12"/>
        <v/>
      </c>
      <c r="BH20" s="1" t="str">
        <f t="shared" si="13"/>
        <v/>
      </c>
      <c r="BI20" s="1" t="str">
        <f t="shared" si="14"/>
        <v/>
      </c>
      <c r="BJ20" s="1" t="str">
        <f t="shared" si="15"/>
        <v/>
      </c>
      <c r="BK20" s="1" t="str">
        <f t="shared" si="16"/>
        <v/>
      </c>
      <c r="BL20" s="1" t="str">
        <f t="shared" si="17"/>
        <v/>
      </c>
      <c r="BM20" s="1" t="str">
        <f t="shared" si="18"/>
        <v/>
      </c>
      <c r="BN20" s="1" t="str">
        <f t="shared" si="19"/>
        <v/>
      </c>
      <c r="BO20" s="1" t="str">
        <f t="shared" si="20"/>
        <v/>
      </c>
      <c r="BP20" s="20"/>
      <c r="BQ20" s="20" t="str">
        <f>S21</f>
        <v>r2</v>
      </c>
      <c r="BR20" s="7"/>
      <c r="BS20" s="1" t="str">
        <f>B19</f>
        <v>Jeff_SloHot50_BioStat 31-6</v>
      </c>
      <c r="BT20" s="7"/>
      <c r="BU20" s="33"/>
      <c r="BV20" s="7"/>
      <c r="BW20" s="7"/>
      <c r="BX20" s="7"/>
      <c r="BY20" s="7">
        <f t="shared" si="4"/>
        <v>0.61029999999998097</v>
      </c>
      <c r="BZ20" s="7"/>
      <c r="CA20" s="7">
        <f>BY20/R28</f>
        <v>1.1354418604650808E-2</v>
      </c>
      <c r="CB20" s="7">
        <f t="shared" si="21"/>
        <v>-6.4199999999999591E-2</v>
      </c>
      <c r="CC20" s="30" t="e">
        <f>CB20/(R28-#REF!)</f>
        <v>#REF!</v>
      </c>
      <c r="CD20" s="30"/>
      <c r="CE20" s="36"/>
      <c r="CF20" s="8"/>
      <c r="CG20" s="37"/>
      <c r="CH20" s="37"/>
      <c r="CI20" s="8"/>
      <c r="CN20" s="8"/>
      <c r="CO20" s="29"/>
      <c r="CP20" s="7"/>
      <c r="CQ20" s="7"/>
      <c r="CR20" s="7"/>
      <c r="CS20" s="29"/>
      <c r="CT20" s="29"/>
      <c r="CU20" s="29"/>
      <c r="CZ20" s="7"/>
      <c r="DA20" s="8"/>
      <c r="DB20" s="7"/>
    </row>
    <row r="21" spans="1:106" x14ac:dyDescent="0.2">
      <c r="B21" s="28" t="s">
        <v>248</v>
      </c>
      <c r="C21" s="28">
        <v>8.9300000000000004E-3</v>
      </c>
      <c r="D21" s="28" t="s">
        <v>225</v>
      </c>
      <c r="E21" s="28">
        <v>9.4706600000000005</v>
      </c>
      <c r="F21" s="28"/>
      <c r="G21" s="28" t="s">
        <v>225</v>
      </c>
      <c r="H21" s="17" t="s">
        <v>225</v>
      </c>
      <c r="I21" s="17" t="s">
        <v>225</v>
      </c>
      <c r="J21" s="17" t="s">
        <v>225</v>
      </c>
      <c r="K21" s="17" t="s">
        <v>225</v>
      </c>
      <c r="L21" s="17" t="s">
        <v>225</v>
      </c>
      <c r="M21" s="17"/>
      <c r="N21" s="17"/>
      <c r="P21" s="2"/>
      <c r="Q21" s="3"/>
      <c r="R21" s="1">
        <v>5.5</v>
      </c>
      <c r="S21" s="1" t="s">
        <v>228</v>
      </c>
      <c r="T21" s="1">
        <v>8</v>
      </c>
      <c r="U21" s="1">
        <v>8</v>
      </c>
      <c r="W21" s="1">
        <v>1.286</v>
      </c>
      <c r="X21" s="1">
        <v>1</v>
      </c>
      <c r="Y21" s="1">
        <v>6.6386000000000003</v>
      </c>
      <c r="Z21" s="1">
        <v>6.6428000000000003</v>
      </c>
      <c r="AA21" s="1">
        <v>8</v>
      </c>
      <c r="AB21" s="1">
        <f t="shared" si="0"/>
        <v>4.1999999999999815E-3</v>
      </c>
      <c r="AC21" s="1">
        <f t="shared" si="1"/>
        <v>0.52499999999999769</v>
      </c>
      <c r="AD21" s="1">
        <v>6.2</v>
      </c>
      <c r="AE21" s="1">
        <v>0.47249999999999998</v>
      </c>
      <c r="AF21" s="50">
        <f t="shared" si="5"/>
        <v>7.6209677419354832E-2</v>
      </c>
      <c r="AG21" s="1">
        <f t="shared" si="6"/>
        <v>4.0010080645161109E-2</v>
      </c>
      <c r="AI21" s="29">
        <f t="shared" ref="AI21" si="34">$BF$15-BF21</f>
        <v>0.64549999999999841</v>
      </c>
      <c r="AJ21" s="1">
        <f t="shared" si="23"/>
        <v>0</v>
      </c>
      <c r="AK21" s="29">
        <f t="shared" si="7"/>
        <v>0</v>
      </c>
      <c r="AL21" s="8">
        <f t="shared" si="8"/>
        <v>9.5454545454545028E-2</v>
      </c>
      <c r="AM21" s="8">
        <f t="shared" si="24"/>
        <v>0.81332300542215175</v>
      </c>
      <c r="AO21" s="29"/>
      <c r="AP21" s="1">
        <f t="shared" si="22"/>
        <v>-0.17829999999999302</v>
      </c>
      <c r="AQ21" s="8">
        <f t="shared" si="30"/>
        <v>-0.17829999999999302</v>
      </c>
      <c r="AR21" s="8">
        <f t="shared" si="25"/>
        <v>-2.9444756029165351</v>
      </c>
      <c r="AS21" s="29">
        <f t="shared" si="26"/>
        <v>16.514164906991869</v>
      </c>
      <c r="AT21" s="8">
        <f t="shared" si="31"/>
        <v>0</v>
      </c>
      <c r="AU21" s="34">
        <f t="shared" si="27"/>
        <v>0</v>
      </c>
      <c r="AV21" s="8"/>
      <c r="AW21" s="8">
        <f t="shared" si="28"/>
        <v>0.81332300542215175</v>
      </c>
      <c r="BD21" s="1">
        <f t="shared" si="9"/>
        <v>8.929999999999999E-2</v>
      </c>
      <c r="BE21" s="1">
        <f t="shared" si="10"/>
        <v>0</v>
      </c>
      <c r="BF21" s="1">
        <f t="shared" si="11"/>
        <v>94.706599999999995</v>
      </c>
      <c r="BG21" s="1" t="str">
        <f t="shared" si="12"/>
        <v/>
      </c>
      <c r="BH21" s="1" t="str">
        <f t="shared" si="13"/>
        <v/>
      </c>
      <c r="BI21" s="1" t="str">
        <f t="shared" si="14"/>
        <v/>
      </c>
      <c r="BJ21" s="1" t="str">
        <f t="shared" si="15"/>
        <v/>
      </c>
      <c r="BK21" s="1" t="str">
        <f t="shared" si="16"/>
        <v/>
      </c>
      <c r="BL21" s="1" t="str">
        <f t="shared" si="17"/>
        <v/>
      </c>
      <c r="BM21" s="1" t="str">
        <f t="shared" si="18"/>
        <v/>
      </c>
      <c r="BN21" s="1" t="str">
        <f t="shared" si="19"/>
        <v/>
      </c>
      <c r="BO21" s="1" t="str">
        <f t="shared" si="20"/>
        <v/>
      </c>
      <c r="BP21" s="20"/>
      <c r="BQ21" s="20" t="str">
        <f>S22</f>
        <v>r1</v>
      </c>
      <c r="BR21" s="7"/>
      <c r="BS21" s="1" t="str">
        <f>B20</f>
        <v>Jeff_SloHot50_BioStat 31-7</v>
      </c>
      <c r="BT21" s="7"/>
      <c r="BU21" s="33"/>
      <c r="BV21" s="7"/>
      <c r="BW21" s="7"/>
      <c r="BX21" s="7"/>
      <c r="BY21" s="7">
        <f t="shared" si="4"/>
        <v>0.49619999999998754</v>
      </c>
      <c r="BZ21" s="7"/>
      <c r="CA21" s="7">
        <f>BY21/R30</f>
        <v>6.9887323943660217E-3</v>
      </c>
      <c r="CB21" s="7">
        <f t="shared" si="21"/>
        <v>-0.11409999999999343</v>
      </c>
      <c r="CC21" s="30">
        <f>CB21/(R30-R28)</f>
        <v>-6.6144927536228078E-3</v>
      </c>
      <c r="CD21" s="30"/>
      <c r="CE21" s="36"/>
      <c r="CF21" s="8"/>
      <c r="CG21" s="37"/>
      <c r="CH21" s="37"/>
      <c r="CI21" s="8"/>
      <c r="CN21" s="8"/>
      <c r="CO21" s="29"/>
      <c r="CP21" s="7"/>
      <c r="CQ21" s="7"/>
      <c r="CR21" s="7"/>
      <c r="CS21" s="29"/>
      <c r="CT21" s="29"/>
      <c r="CU21" s="29"/>
      <c r="CZ21" s="7"/>
      <c r="DA21" s="8"/>
      <c r="DB21" s="7"/>
    </row>
    <row r="22" spans="1:106" x14ac:dyDescent="0.2">
      <c r="B22" s="28" t="s">
        <v>249</v>
      </c>
      <c r="C22" s="28">
        <v>2.1170000000000001E-2</v>
      </c>
      <c r="D22" s="28">
        <v>0.19614000000000001</v>
      </c>
      <c r="E22" s="28">
        <v>7.6821099999999998</v>
      </c>
      <c r="F22" s="28"/>
      <c r="G22" s="28"/>
      <c r="H22" s="17" t="s">
        <v>225</v>
      </c>
      <c r="I22" s="17" t="s">
        <v>225</v>
      </c>
      <c r="J22" s="17" t="s">
        <v>225</v>
      </c>
      <c r="K22" s="17" t="s">
        <v>225</v>
      </c>
      <c r="L22" s="17" t="s">
        <v>225</v>
      </c>
      <c r="M22" s="17"/>
      <c r="N22" s="17"/>
      <c r="P22" s="2">
        <v>45679</v>
      </c>
      <c r="Q22" s="3">
        <v>0.38541666666666669</v>
      </c>
      <c r="R22" s="1">
        <v>24</v>
      </c>
      <c r="S22" s="1" t="s">
        <v>226</v>
      </c>
      <c r="T22" s="1">
        <v>9</v>
      </c>
      <c r="U22" s="1">
        <v>8</v>
      </c>
      <c r="W22" s="1">
        <v>19.600000000000001</v>
      </c>
      <c r="X22" s="1">
        <v>37</v>
      </c>
      <c r="Y22" s="1">
        <v>6.6185</v>
      </c>
      <c r="Z22" s="1">
        <v>6.7111999999999998</v>
      </c>
      <c r="AA22" s="1">
        <v>8</v>
      </c>
      <c r="AB22" s="1">
        <f t="shared" si="0"/>
        <v>9.2699999999999783E-2</v>
      </c>
      <c r="AC22" s="1">
        <f t="shared" ref="AC22:AC31" si="35">AB22/(AA22/1000)</f>
        <v>11.587499999999972</v>
      </c>
      <c r="AD22" s="1">
        <v>17.3</v>
      </c>
      <c r="AE22" s="1">
        <v>1.0290000000000001</v>
      </c>
      <c r="AF22" s="50">
        <f t="shared" si="5"/>
        <v>5.9479768786127173E-2</v>
      </c>
      <c r="AG22" s="1">
        <f t="shared" si="6"/>
        <v>0.68922182080924699</v>
      </c>
      <c r="AI22" s="29">
        <f t="shared" ref="AI22" si="36">$BF$14-BF22</f>
        <v>18.381699999999981</v>
      </c>
      <c r="AJ22" s="1">
        <f t="shared" si="23"/>
        <v>8.1725000000000006E-2</v>
      </c>
      <c r="AK22" s="29">
        <f t="shared" si="7"/>
        <v>0.10670395012430854</v>
      </c>
      <c r="AL22" s="8">
        <f t="shared" si="8"/>
        <v>0.48281249999999881</v>
      </c>
      <c r="AM22" s="8">
        <f t="shared" si="24"/>
        <v>0.63038239118253392</v>
      </c>
      <c r="AO22" s="29"/>
      <c r="AP22" s="1">
        <f t="shared" si="22"/>
        <v>17.7714</v>
      </c>
      <c r="AQ22" s="8">
        <f t="shared" si="30"/>
        <v>0.96061621621621618</v>
      </c>
      <c r="AR22" s="8">
        <f t="shared" si="25"/>
        <v>0.57747279336462309</v>
      </c>
      <c r="AS22" s="29">
        <f t="shared" si="26"/>
        <v>0.60114828754321703</v>
      </c>
      <c r="AT22" s="8">
        <f t="shared" si="31"/>
        <v>0.11036834464364093</v>
      </c>
      <c r="AU22" s="34">
        <f t="shared" si="27"/>
        <v>6.2104473842038849E-3</v>
      </c>
      <c r="AV22" s="8"/>
      <c r="AW22" s="8">
        <f t="shared" si="28"/>
        <v>0.73708634130684247</v>
      </c>
      <c r="BD22" s="1">
        <f t="shared" si="9"/>
        <v>0.21170000000000003</v>
      </c>
      <c r="BE22" s="1">
        <f t="shared" si="10"/>
        <v>1.9614000000000003</v>
      </c>
      <c r="BF22" s="1">
        <f t="shared" si="11"/>
        <v>76.821100000000001</v>
      </c>
      <c r="BG22" s="1" t="str">
        <f t="shared" si="12"/>
        <v/>
      </c>
      <c r="BH22" s="1" t="str">
        <f t="shared" si="13"/>
        <v/>
      </c>
      <c r="BI22" s="1" t="str">
        <f t="shared" si="14"/>
        <v/>
      </c>
      <c r="BJ22" s="1" t="str">
        <f t="shared" si="15"/>
        <v/>
      </c>
      <c r="BK22" s="1" t="str">
        <f t="shared" si="16"/>
        <v/>
      </c>
      <c r="BL22" s="1" t="str">
        <f t="shared" si="17"/>
        <v/>
      </c>
      <c r="BM22" s="1" t="str">
        <f t="shared" si="18"/>
        <v/>
      </c>
      <c r="BN22" s="1" t="str">
        <f t="shared" si="19"/>
        <v/>
      </c>
      <c r="BO22" s="1" t="str">
        <f t="shared" si="20"/>
        <v/>
      </c>
      <c r="BP22" s="20"/>
      <c r="BQ22" s="20"/>
      <c r="BR22" s="7"/>
      <c r="BS22" s="1" t="e">
        <f>#REF!</f>
        <v>#REF!</v>
      </c>
      <c r="BT22" s="7"/>
      <c r="BU22" s="33"/>
      <c r="BV22" s="7"/>
      <c r="BW22" s="7"/>
      <c r="BX22" s="7"/>
      <c r="BY22" s="7"/>
      <c r="BZ22" s="7"/>
      <c r="CA22" s="7"/>
      <c r="CB22" s="7"/>
      <c r="CC22" s="30"/>
      <c r="CD22" s="30"/>
      <c r="CE22" s="36"/>
      <c r="CF22" s="8"/>
      <c r="CG22" s="37"/>
      <c r="CH22" s="37"/>
      <c r="CI22" s="8"/>
      <c r="CN22" s="8"/>
      <c r="CO22" s="29"/>
      <c r="CP22" s="7"/>
      <c r="CQ22" s="7"/>
      <c r="CR22" s="7"/>
      <c r="CS22" s="29"/>
      <c r="CT22" s="29"/>
      <c r="CU22" s="29"/>
      <c r="CZ22" s="7"/>
      <c r="DA22" s="8"/>
      <c r="DB22" s="7"/>
    </row>
    <row r="23" spans="1:106" x14ac:dyDescent="0.2">
      <c r="B23" s="28" t="s">
        <v>250</v>
      </c>
      <c r="C23" s="28">
        <v>1.813E-2</v>
      </c>
      <c r="D23" s="28" t="s">
        <v>225</v>
      </c>
      <c r="E23" s="28">
        <v>8.3690099999999994</v>
      </c>
      <c r="F23" s="28"/>
      <c r="G23" s="28" t="s">
        <v>225</v>
      </c>
      <c r="H23" s="17" t="s">
        <v>225</v>
      </c>
      <c r="I23" s="17" t="s">
        <v>225</v>
      </c>
      <c r="J23" s="17" t="s">
        <v>225</v>
      </c>
      <c r="K23" s="17" t="s">
        <v>225</v>
      </c>
      <c r="L23" s="17" t="s">
        <v>225</v>
      </c>
      <c r="M23" s="17"/>
      <c r="N23" s="17"/>
      <c r="P23" s="2"/>
      <c r="Q23" s="3"/>
      <c r="R23" s="1">
        <v>24</v>
      </c>
      <c r="S23" s="1" t="s">
        <v>228</v>
      </c>
      <c r="T23" s="1">
        <v>10</v>
      </c>
      <c r="U23" s="1">
        <v>8</v>
      </c>
      <c r="W23" s="1">
        <v>18</v>
      </c>
      <c r="X23" s="1">
        <v>16</v>
      </c>
      <c r="Y23" s="1">
        <v>6.6162999999999998</v>
      </c>
      <c r="Z23" s="1">
        <v>6.6806999999999999</v>
      </c>
      <c r="AA23" s="1">
        <v>8</v>
      </c>
      <c r="AB23" s="1">
        <f t="shared" si="0"/>
        <v>6.4400000000000013E-2</v>
      </c>
      <c r="AC23" s="1">
        <f t="shared" si="35"/>
        <v>8.0500000000000007</v>
      </c>
      <c r="AD23" s="1">
        <v>16</v>
      </c>
      <c r="AE23" s="1">
        <v>1.2269999999999999</v>
      </c>
      <c r="AF23" s="50">
        <f t="shared" si="5"/>
        <v>7.6687499999999992E-2</v>
      </c>
      <c r="AG23" s="1">
        <f t="shared" si="6"/>
        <v>0.61733437499999999</v>
      </c>
      <c r="AI23" s="29">
        <f t="shared" ref="AI23" si="37">$BF$15-BF23</f>
        <v>11.661999999999992</v>
      </c>
      <c r="AJ23" s="1">
        <f t="shared" si="23"/>
        <v>0</v>
      </c>
      <c r="AK23" s="29">
        <f t="shared" si="7"/>
        <v>0</v>
      </c>
      <c r="AL23" s="8">
        <f t="shared" si="8"/>
        <v>0.3354166666666667</v>
      </c>
      <c r="AM23" s="8">
        <f t="shared" si="24"/>
        <v>0.69027611044417825</v>
      </c>
      <c r="AO23" s="29"/>
      <c r="AP23" s="1">
        <f t="shared" si="22"/>
        <v>11.016499999999994</v>
      </c>
      <c r="AQ23" s="8">
        <f t="shared" si="30"/>
        <v>0.59548648648648617</v>
      </c>
      <c r="AR23" s="8">
        <f t="shared" si="25"/>
        <v>0.68306630962647008</v>
      </c>
      <c r="AS23" s="29">
        <f t="shared" si="26"/>
        <v>1.1470727298225121</v>
      </c>
      <c r="AT23" s="8">
        <f t="shared" si="31"/>
        <v>0</v>
      </c>
      <c r="AU23" s="34">
        <f t="shared" si="27"/>
        <v>0</v>
      </c>
      <c r="AV23" s="8"/>
      <c r="AW23" s="8">
        <f t="shared" si="28"/>
        <v>0.69027611044417825</v>
      </c>
      <c r="BD23" s="1">
        <f t="shared" si="9"/>
        <v>0.18129999999999999</v>
      </c>
      <c r="BE23" s="1">
        <f t="shared" si="10"/>
        <v>0</v>
      </c>
      <c r="BF23" s="1">
        <f t="shared" si="11"/>
        <v>83.690100000000001</v>
      </c>
      <c r="BG23" s="1" t="str">
        <f t="shared" si="12"/>
        <v/>
      </c>
      <c r="BH23" s="1" t="str">
        <f t="shared" si="13"/>
        <v/>
      </c>
      <c r="BI23" s="1" t="str">
        <f t="shared" si="14"/>
        <v/>
      </c>
      <c r="BJ23" s="1" t="str">
        <f t="shared" si="15"/>
        <v/>
      </c>
      <c r="BK23" s="1" t="str">
        <f t="shared" si="16"/>
        <v/>
      </c>
      <c r="BL23" s="1" t="str">
        <f t="shared" si="17"/>
        <v/>
      </c>
      <c r="BM23" s="1" t="str">
        <f t="shared" si="18"/>
        <v/>
      </c>
      <c r="BN23" s="1" t="str">
        <f t="shared" si="19"/>
        <v/>
      </c>
      <c r="BO23" s="1" t="str">
        <f t="shared" si="20"/>
        <v/>
      </c>
      <c r="BP23" s="20"/>
      <c r="BQ23" s="20"/>
      <c r="BR23" s="7"/>
      <c r="BS23" s="1" t="str">
        <f t="shared" ref="BS23" si="38">B21</f>
        <v>Jeff_SloHot50_BioStat 31-8</v>
      </c>
      <c r="BT23" s="38"/>
      <c r="BU23" s="33"/>
      <c r="BV23" s="7"/>
      <c r="BW23" s="7"/>
      <c r="BX23" s="7"/>
      <c r="BY23" s="7"/>
      <c r="BZ23" s="7"/>
      <c r="CA23" s="7"/>
      <c r="CB23" s="7"/>
      <c r="CC23" s="30"/>
      <c r="CD23" s="30"/>
      <c r="CE23" s="36"/>
      <c r="CF23" s="8"/>
      <c r="CG23" s="37"/>
      <c r="CH23" s="37"/>
      <c r="CI23" s="8"/>
      <c r="CN23" s="8"/>
      <c r="CO23" s="29"/>
      <c r="CP23" s="7"/>
      <c r="CQ23" s="7"/>
      <c r="CR23" s="7"/>
      <c r="CS23" s="29"/>
      <c r="CT23" s="29"/>
      <c r="CU23" s="29"/>
      <c r="CZ23" s="7"/>
      <c r="DA23" s="8"/>
      <c r="DB23" s="7"/>
    </row>
    <row r="24" spans="1:106" x14ac:dyDescent="0.2">
      <c r="B24" s="28" t="s">
        <v>251</v>
      </c>
      <c r="C24" s="28">
        <v>2.385E-2</v>
      </c>
      <c r="D24" s="28">
        <v>0.53024000000000004</v>
      </c>
      <c r="E24" s="28">
        <v>6.9694200000000004</v>
      </c>
      <c r="F24" s="28"/>
      <c r="G24" s="17"/>
      <c r="H24" s="17"/>
      <c r="I24" s="17"/>
      <c r="J24" s="17"/>
      <c r="K24" s="17"/>
      <c r="L24" s="17"/>
      <c r="M24" s="17"/>
      <c r="N24" s="17"/>
      <c r="P24" s="2"/>
      <c r="Q24" s="46">
        <v>0.625</v>
      </c>
      <c r="R24" s="1">
        <f>R22+5.75</f>
        <v>29.75</v>
      </c>
      <c r="S24" s="1" t="s">
        <v>226</v>
      </c>
      <c r="T24" s="1">
        <v>11</v>
      </c>
      <c r="U24" s="1">
        <v>8</v>
      </c>
      <c r="W24" s="1">
        <v>22.92</v>
      </c>
      <c r="X24" s="1">
        <v>62</v>
      </c>
      <c r="Y24" s="1">
        <v>6.6181000000000001</v>
      </c>
      <c r="Z24" s="1">
        <v>6.7180999999999997</v>
      </c>
      <c r="AA24" s="1">
        <v>8</v>
      </c>
      <c r="AB24" s="1">
        <f t="shared" si="0"/>
        <v>9.9999999999999645E-2</v>
      </c>
      <c r="AC24" s="1">
        <f t="shared" si="35"/>
        <v>12.499999999999956</v>
      </c>
      <c r="AD24" s="1">
        <v>17.100000000000001</v>
      </c>
      <c r="AE24" s="1">
        <v>1.6975</v>
      </c>
      <c r="AF24" s="50">
        <f t="shared" si="5"/>
        <v>9.9269005847953215E-2</v>
      </c>
      <c r="AG24" s="1">
        <f t="shared" si="6"/>
        <v>1.2408625730994107</v>
      </c>
      <c r="AI24" s="29">
        <f t="shared" ref="AI24" si="39">$BF$14-BF24</f>
        <v>25.508599999999987</v>
      </c>
      <c r="AJ24" s="1">
        <f t="shared" si="23"/>
        <v>0.17823193277310925</v>
      </c>
      <c r="AK24" s="29">
        <f t="shared" si="7"/>
        <v>0.2078671506864353</v>
      </c>
      <c r="AL24" s="8">
        <f t="shared" si="8"/>
        <v>0.42016806722688926</v>
      </c>
      <c r="AM24" s="8">
        <f t="shared" si="24"/>
        <v>0.49003081313752861</v>
      </c>
      <c r="AO24" s="29"/>
      <c r="AP24" s="1">
        <f t="shared" si="22"/>
        <v>7.1269000000000062</v>
      </c>
      <c r="AQ24" s="8">
        <f t="shared" si="30"/>
        <v>1.2394608695652185</v>
      </c>
      <c r="AR24" s="8">
        <f t="shared" si="25"/>
        <v>0.12803603249659498</v>
      </c>
      <c r="AS24" s="29">
        <f t="shared" si="26"/>
        <v>0.10329977786350594</v>
      </c>
      <c r="AT24" s="8">
        <f t="shared" si="31"/>
        <v>0.4687872707628839</v>
      </c>
      <c r="AU24" s="34">
        <f t="shared" si="27"/>
        <v>6.5777164091383844E-2</v>
      </c>
      <c r="AV24" s="8"/>
      <c r="AW24" s="8">
        <f t="shared" si="28"/>
        <v>0.69789796382396396</v>
      </c>
      <c r="BD24" s="1">
        <f t="shared" si="9"/>
        <v>0.23850000000000002</v>
      </c>
      <c r="BE24" s="1">
        <f t="shared" si="10"/>
        <v>5.3024000000000004</v>
      </c>
      <c r="BF24" s="1">
        <f t="shared" si="11"/>
        <v>69.694199999999995</v>
      </c>
      <c r="BG24" s="1" t="str">
        <f t="shared" si="12"/>
        <v/>
      </c>
      <c r="BH24" s="1" t="str">
        <f t="shared" si="13"/>
        <v/>
      </c>
      <c r="BI24" s="1" t="str">
        <f t="shared" si="14"/>
        <v/>
      </c>
      <c r="BJ24" s="1" t="str">
        <f t="shared" si="15"/>
        <v/>
      </c>
      <c r="BK24" s="1" t="str">
        <f t="shared" si="16"/>
        <v/>
      </c>
      <c r="BL24" s="1" t="str">
        <f t="shared" si="17"/>
        <v/>
      </c>
      <c r="BM24" s="1" t="str">
        <f t="shared" si="18"/>
        <v/>
      </c>
      <c r="BN24" s="1" t="str">
        <f t="shared" si="19"/>
        <v/>
      </c>
      <c r="BO24" s="1" t="str">
        <f t="shared" si="20"/>
        <v/>
      </c>
      <c r="BP24" s="20"/>
      <c r="BQ24" s="20"/>
      <c r="BR24" s="7"/>
      <c r="BT24" s="38"/>
      <c r="BU24" s="33"/>
      <c r="BV24" s="7"/>
      <c r="BW24" s="7"/>
      <c r="BX24" s="7"/>
      <c r="BY24" s="7"/>
      <c r="BZ24" s="7"/>
      <c r="CA24" s="7"/>
      <c r="CB24" s="7"/>
      <c r="CC24" s="30"/>
      <c r="CD24" s="30"/>
      <c r="CE24" s="36"/>
      <c r="CF24" s="8"/>
      <c r="CG24" s="37"/>
      <c r="CH24" s="37"/>
      <c r="CI24" s="8"/>
      <c r="CN24" s="8"/>
      <c r="CO24" s="29"/>
      <c r="CP24" s="7"/>
      <c r="CQ24" s="7"/>
      <c r="CR24" s="7"/>
      <c r="CS24" s="29"/>
      <c r="CT24" s="29"/>
      <c r="CU24" s="29"/>
      <c r="CZ24" s="7"/>
      <c r="DA24" s="8"/>
      <c r="DB24" s="7"/>
    </row>
    <row r="25" spans="1:106" x14ac:dyDescent="0.2">
      <c r="B25" s="28" t="s">
        <v>252</v>
      </c>
      <c r="C25" s="28">
        <v>2.2380000000000001E-2</v>
      </c>
      <c r="D25" s="28">
        <v>3.8460000000000001E-2</v>
      </c>
      <c r="E25" s="28">
        <v>8.0259999999999998</v>
      </c>
      <c r="F25" s="28"/>
      <c r="G25" s="17"/>
      <c r="H25" s="17"/>
      <c r="I25" s="17"/>
      <c r="J25" s="17"/>
      <c r="K25" s="17"/>
      <c r="L25" s="17"/>
      <c r="M25" s="17"/>
      <c r="N25" s="17"/>
      <c r="P25" s="2"/>
      <c r="Q25" s="3"/>
      <c r="R25" s="1">
        <f>R23+5.75</f>
        <v>29.75</v>
      </c>
      <c r="S25" s="1" t="s">
        <v>228</v>
      </c>
      <c r="T25" s="1">
        <v>12</v>
      </c>
      <c r="U25" s="1">
        <v>8</v>
      </c>
      <c r="W25" s="4">
        <v>19.68</v>
      </c>
      <c r="X25" s="1">
        <v>19</v>
      </c>
      <c r="Y25" s="1">
        <v>6.6288999999999998</v>
      </c>
      <c r="Z25" s="1">
        <v>6.7122999999999999</v>
      </c>
      <c r="AA25" s="1">
        <v>8</v>
      </c>
      <c r="AB25" s="1">
        <f t="shared" si="0"/>
        <v>8.3400000000000141E-2</v>
      </c>
      <c r="AC25" s="1">
        <f t="shared" si="35"/>
        <v>10.425000000000017</v>
      </c>
      <c r="AD25" s="1">
        <v>15.8</v>
      </c>
      <c r="AE25" s="1">
        <v>1.3374999999999999</v>
      </c>
      <c r="AF25" s="50">
        <f t="shared" si="5"/>
        <v>8.4651898734177208E-2</v>
      </c>
      <c r="AG25" s="1">
        <f t="shared" si="6"/>
        <v>0.8824960443037988</v>
      </c>
      <c r="AI25" s="29">
        <f t="shared" ref="AI25" si="40">$BF$15-BF25</f>
        <v>15.092099999999988</v>
      </c>
      <c r="AJ25" s="1">
        <f t="shared" si="23"/>
        <v>1.2927731092436974E-2</v>
      </c>
      <c r="AK25" s="29">
        <f t="shared" si="7"/>
        <v>2.548353111892979E-2</v>
      </c>
      <c r="AL25" s="8">
        <f t="shared" si="8"/>
        <v>0.35042016806722748</v>
      </c>
      <c r="AM25" s="8">
        <f t="shared" si="24"/>
        <v>0.69075874132824622</v>
      </c>
      <c r="AO25" s="29"/>
      <c r="AP25" s="1">
        <f t="shared" si="22"/>
        <v>3.4300999999999959</v>
      </c>
      <c r="AQ25" s="8">
        <f t="shared" si="30"/>
        <v>0.59653913043478191</v>
      </c>
      <c r="AR25" s="8">
        <f t="shared" si="25"/>
        <v>0.69239963849451003</v>
      </c>
      <c r="AS25" s="29">
        <f t="shared" si="26"/>
        <v>1.1606944174640499</v>
      </c>
      <c r="AT25" s="8">
        <f t="shared" si="31"/>
        <v>0.112125010932626</v>
      </c>
      <c r="AU25" s="34">
        <f t="shared" si="27"/>
        <v>3.268855454144956E-2</v>
      </c>
      <c r="AV25" s="8"/>
      <c r="AW25" s="8">
        <f t="shared" si="28"/>
        <v>0.71624227244717598</v>
      </c>
      <c r="BD25" s="1">
        <f t="shared" si="9"/>
        <v>0.2238</v>
      </c>
      <c r="BE25" s="1">
        <f t="shared" si="10"/>
        <v>0.3846</v>
      </c>
      <c r="BF25" s="1">
        <f t="shared" si="11"/>
        <v>80.260000000000005</v>
      </c>
      <c r="BG25" s="1" t="str">
        <f t="shared" si="12"/>
        <v/>
      </c>
      <c r="BH25" s="1" t="str">
        <f t="shared" si="13"/>
        <v/>
      </c>
      <c r="BI25" s="1" t="str">
        <f t="shared" si="14"/>
        <v/>
      </c>
      <c r="BJ25" s="1" t="str">
        <f t="shared" si="15"/>
        <v/>
      </c>
      <c r="BK25" s="1" t="str">
        <f t="shared" si="16"/>
        <v/>
      </c>
      <c r="BL25" s="1" t="str">
        <f t="shared" si="17"/>
        <v/>
      </c>
      <c r="BM25" s="1" t="str">
        <f t="shared" si="18"/>
        <v/>
      </c>
      <c r="BN25" s="1" t="str">
        <f t="shared" si="19"/>
        <v/>
      </c>
      <c r="BO25" s="1" t="str">
        <f t="shared" si="20"/>
        <v/>
      </c>
      <c r="BP25" s="20"/>
      <c r="BQ25" s="20"/>
      <c r="BR25" s="7"/>
      <c r="BU25" s="33"/>
      <c r="BV25" s="7"/>
      <c r="BW25" s="7"/>
      <c r="BX25" s="7"/>
      <c r="BY25" s="7"/>
      <c r="BZ25" s="7"/>
      <c r="CA25" s="7"/>
      <c r="CB25" s="7"/>
      <c r="CC25" s="30"/>
      <c r="CD25" s="30"/>
      <c r="CE25" s="36"/>
      <c r="CF25" s="8"/>
      <c r="CG25" s="37"/>
      <c r="CH25" s="37"/>
      <c r="CI25" s="8"/>
      <c r="CN25" s="8"/>
      <c r="CO25" s="29"/>
      <c r="CP25" s="7"/>
      <c r="CQ25" s="7"/>
      <c r="CR25" s="7"/>
      <c r="CS25" s="39"/>
      <c r="CT25" s="29"/>
      <c r="CU25" s="29"/>
      <c r="CZ25" s="7"/>
      <c r="DA25" s="8"/>
    </row>
    <row r="26" spans="1:106" s="40" customFormat="1" ht="17" thickBot="1" x14ac:dyDescent="0.25">
      <c r="B26" s="28" t="s">
        <v>253</v>
      </c>
      <c r="C26" s="28">
        <v>2.8799999999999999E-2</v>
      </c>
      <c r="D26" s="28">
        <v>1.7296800000000001</v>
      </c>
      <c r="E26" s="28">
        <v>4.8553199999999999</v>
      </c>
      <c r="F26" s="28"/>
      <c r="G26" s="17"/>
      <c r="H26" s="17"/>
      <c r="I26" s="17"/>
      <c r="J26" s="17"/>
      <c r="K26" s="17"/>
      <c r="L26" s="17"/>
      <c r="M26" s="17"/>
      <c r="N26" s="17"/>
      <c r="O26" s="1"/>
      <c r="P26" s="2">
        <v>45680</v>
      </c>
      <c r="Q26" s="3">
        <v>0.38541666666666669</v>
      </c>
      <c r="R26" s="1">
        <v>48</v>
      </c>
      <c r="S26" s="1" t="s">
        <v>226</v>
      </c>
      <c r="T26" s="1">
        <v>13</v>
      </c>
      <c r="U26" s="1">
        <v>8</v>
      </c>
      <c r="V26" s="1"/>
      <c r="W26" s="4">
        <v>27.28</v>
      </c>
      <c r="X26" s="1">
        <v>159</v>
      </c>
      <c r="Y26" s="1">
        <v>6.7198000000000002</v>
      </c>
      <c r="Z26" s="1">
        <v>6.8289</v>
      </c>
      <c r="AA26" s="1">
        <v>8</v>
      </c>
      <c r="AB26" s="1">
        <f t="shared" si="0"/>
        <v>0.10909999999999975</v>
      </c>
      <c r="AC26" s="1">
        <f t="shared" si="35"/>
        <v>13.637499999999969</v>
      </c>
      <c r="AD26" s="1">
        <v>17.2</v>
      </c>
      <c r="AE26" s="1">
        <v>2.4415000000000004</v>
      </c>
      <c r="AF26" s="50">
        <f t="shared" si="5"/>
        <v>0.14194767441860467</v>
      </c>
      <c r="AG26" s="1">
        <f t="shared" si="6"/>
        <v>1.9358114098837169</v>
      </c>
      <c r="AH26" s="1"/>
      <c r="AI26" s="29">
        <f t="shared" ref="AI26" si="41">$BF$14-BF26</f>
        <v>46.649599999999985</v>
      </c>
      <c r="AJ26" s="1">
        <f t="shared" si="23"/>
        <v>0.36035</v>
      </c>
      <c r="AK26" s="29">
        <f t="shared" si="7"/>
        <v>0.37078131430923322</v>
      </c>
      <c r="AL26" s="8">
        <f t="shared" si="8"/>
        <v>0.28411458333333267</v>
      </c>
      <c r="AM26" s="8">
        <f t="shared" si="24"/>
        <v>0.29233905542598376</v>
      </c>
      <c r="AN26" s="1"/>
      <c r="AO26" s="1"/>
      <c r="AP26" s="1">
        <f t="shared" si="22"/>
        <v>21.140999999999998</v>
      </c>
      <c r="AQ26" s="8">
        <f t="shared" si="30"/>
        <v>1.1584109589041094</v>
      </c>
      <c r="AR26" s="8">
        <f t="shared" si="25"/>
        <v>5.3805401825836693E-2</v>
      </c>
      <c r="AS26" s="29">
        <f t="shared" si="26"/>
        <v>4.6447593932241606E-2</v>
      </c>
      <c r="AT26" s="8">
        <f t="shared" si="31"/>
        <v>0.56735253772290817</v>
      </c>
      <c r="AU26" s="34">
        <f t="shared" si="27"/>
        <v>2.6836598917880337E-2</v>
      </c>
      <c r="AV26" s="8"/>
      <c r="AW26" s="8">
        <f t="shared" si="28"/>
        <v>0.66312036973521704</v>
      </c>
      <c r="AX26" s="1"/>
      <c r="AY26" s="1"/>
      <c r="AZ26" s="1"/>
      <c r="BA26" s="1"/>
      <c r="BB26" s="1"/>
      <c r="BC26" s="1"/>
      <c r="BD26" s="1">
        <f>IF(ISNUMBER(C26),C26*1000/100,"")</f>
        <v>0.28800000000000003</v>
      </c>
      <c r="BE26" s="1">
        <f>IF(ISNUMBER(D26),D26*1000/100,0)</f>
        <v>17.296800000000001</v>
      </c>
      <c r="BF26" s="1">
        <f>IF(ISNUMBER(E26),E26*1000/100,"")</f>
        <v>48.553199999999997</v>
      </c>
      <c r="BG26" s="1" t="str">
        <f t="shared" si="12"/>
        <v/>
      </c>
      <c r="BH26" s="1" t="str">
        <f t="shared" si="13"/>
        <v/>
      </c>
      <c r="BI26" s="1" t="str">
        <f t="shared" si="14"/>
        <v/>
      </c>
      <c r="BJ26" s="1" t="str">
        <f t="shared" si="15"/>
        <v/>
      </c>
      <c r="BK26" s="1" t="str">
        <f t="shared" si="16"/>
        <v/>
      </c>
      <c r="BL26" s="1" t="str">
        <f t="shared" si="17"/>
        <v/>
      </c>
      <c r="BM26" s="1" t="str">
        <f t="shared" si="18"/>
        <v/>
      </c>
      <c r="BN26" s="1" t="str">
        <f t="shared" si="19"/>
        <v/>
      </c>
      <c r="BO26" s="1" t="str">
        <f t="shared" si="20"/>
        <v/>
      </c>
      <c r="BP26" s="20"/>
      <c r="BQ26" s="20"/>
      <c r="BR26" s="7"/>
      <c r="BS26" s="1"/>
      <c r="BT26" s="1"/>
      <c r="BU26" s="33"/>
      <c r="BV26" s="7"/>
      <c r="BW26" s="7"/>
      <c r="BX26" s="7"/>
      <c r="BY26" s="7"/>
      <c r="BZ26" s="7"/>
      <c r="CA26" s="7"/>
      <c r="CB26" s="7"/>
      <c r="CC26" s="30"/>
      <c r="CD26" s="30"/>
      <c r="CE26" s="36"/>
      <c r="CF26" s="8"/>
      <c r="CG26" s="37"/>
      <c r="CH26" s="37"/>
      <c r="CI26" s="8"/>
      <c r="CJ26" s="1"/>
      <c r="CL26" s="1"/>
      <c r="CM26" s="1"/>
      <c r="CN26" s="8"/>
      <c r="CO26" s="29"/>
      <c r="CP26" s="7"/>
      <c r="CQ26" s="7"/>
      <c r="CR26" s="7"/>
      <c r="CS26" s="41"/>
      <c r="CT26" s="29"/>
      <c r="CU26" s="29"/>
      <c r="CX26" s="1"/>
      <c r="CY26" s="1"/>
      <c r="CZ26" s="7"/>
      <c r="DA26" s="8"/>
    </row>
    <row r="27" spans="1:106" x14ac:dyDescent="0.2">
      <c r="B27" s="28" t="s">
        <v>254</v>
      </c>
      <c r="C27" s="28">
        <v>2.7869999999999999E-2</v>
      </c>
      <c r="D27" s="28">
        <v>0.35792000000000002</v>
      </c>
      <c r="E27" s="28">
        <v>7.0122999999999998</v>
      </c>
      <c r="F27" s="28"/>
      <c r="G27" s="17"/>
      <c r="H27" s="17"/>
      <c r="I27" s="17"/>
      <c r="J27" s="17"/>
      <c r="K27" s="17"/>
      <c r="L27" s="17"/>
      <c r="M27" s="17"/>
      <c r="P27" s="2"/>
      <c r="Q27" s="3"/>
      <c r="R27" s="1">
        <v>48</v>
      </c>
      <c r="S27" s="1" t="s">
        <v>228</v>
      </c>
      <c r="T27" s="1">
        <v>14</v>
      </c>
      <c r="U27" s="1">
        <v>8</v>
      </c>
      <c r="W27" s="1">
        <v>25.96</v>
      </c>
      <c r="X27" s="1">
        <v>40</v>
      </c>
      <c r="Y27" s="1">
        <v>6.6760999999999999</v>
      </c>
      <c r="Z27" s="1">
        <v>6.7686000000000002</v>
      </c>
      <c r="AA27" s="1">
        <v>8</v>
      </c>
      <c r="AB27" s="1">
        <f t="shared" si="0"/>
        <v>9.2500000000000249E-2</v>
      </c>
      <c r="AC27" s="1">
        <f t="shared" si="35"/>
        <v>11.56250000000003</v>
      </c>
      <c r="AD27" s="1">
        <v>18.7</v>
      </c>
      <c r="AE27" s="1">
        <v>2.4159999999999999</v>
      </c>
      <c r="AF27" s="50">
        <f t="shared" si="5"/>
        <v>0.12919786096256686</v>
      </c>
      <c r="AG27" s="1">
        <f t="shared" si="6"/>
        <v>1.4938502673796832</v>
      </c>
      <c r="AI27" s="29">
        <f t="shared" ref="AI27" si="42">$BF$15-BF27</f>
        <v>25.229099999999988</v>
      </c>
      <c r="AJ27" s="1">
        <f t="shared" si="23"/>
        <v>7.456666666666667E-2</v>
      </c>
      <c r="AK27" s="29">
        <f t="shared" si="7"/>
        <v>0.14186792235949763</v>
      </c>
      <c r="AL27" s="8">
        <f t="shared" si="8"/>
        <v>0.2408854166666673</v>
      </c>
      <c r="AM27" s="8">
        <f t="shared" si="24"/>
        <v>0.45830013753958865</v>
      </c>
      <c r="AP27" s="1">
        <f t="shared" si="22"/>
        <v>10.137</v>
      </c>
      <c r="AQ27" s="8">
        <f t="shared" si="30"/>
        <v>0.55545205479452053</v>
      </c>
      <c r="AR27" s="8">
        <f t="shared" si="25"/>
        <v>0.11221268619907403</v>
      </c>
      <c r="AS27" s="29">
        <f t="shared" si="26"/>
        <v>0.20202047184897909</v>
      </c>
      <c r="AT27" s="8">
        <f t="shared" si="31"/>
        <v>0.3151425471046661</v>
      </c>
      <c r="AU27" s="34">
        <f t="shared" si="27"/>
        <v>3.1088344392292206E-2</v>
      </c>
      <c r="AV27" s="8"/>
      <c r="AW27" s="8">
        <f t="shared" si="28"/>
        <v>0.60016805989908628</v>
      </c>
      <c r="BD27" s="1">
        <f t="shared" ref="BD27:BD30" si="43">IF(ISNUMBER(C27),C27*1000/100,"")</f>
        <v>0.27869999999999995</v>
      </c>
      <c r="BE27" s="1">
        <f t="shared" ref="BE27:BE30" si="44">IF(ISNUMBER(D27),D27*1000/100,0)</f>
        <v>3.5792000000000002</v>
      </c>
      <c r="BF27" s="1">
        <f t="shared" ref="BF27:BF30" si="45">IF(ISNUMBER(E27),E27*1000/100,"")</f>
        <v>70.123000000000005</v>
      </c>
      <c r="BG27" s="1" t="str">
        <f t="shared" si="12"/>
        <v/>
      </c>
      <c r="BH27" s="1" t="str">
        <f t="shared" si="13"/>
        <v/>
      </c>
      <c r="BI27" s="1" t="str">
        <f t="shared" si="14"/>
        <v/>
      </c>
      <c r="BJ27" s="1" t="str">
        <f t="shared" si="15"/>
        <v/>
      </c>
      <c r="BK27" s="1" t="str">
        <f t="shared" si="16"/>
        <v/>
      </c>
      <c r="BL27" s="1" t="str">
        <f t="shared" si="17"/>
        <v/>
      </c>
      <c r="BM27" s="1" t="str">
        <f t="shared" si="18"/>
        <v/>
      </c>
      <c r="BN27" s="1" t="str">
        <f t="shared" si="19"/>
        <v/>
      </c>
      <c r="BO27" s="1" t="str">
        <f t="shared" si="20"/>
        <v/>
      </c>
      <c r="BP27" s="20"/>
      <c r="BQ27" s="20"/>
      <c r="BR27" s="7"/>
      <c r="BT27" s="7"/>
      <c r="BU27" s="33"/>
      <c r="BV27" s="7"/>
      <c r="BW27" s="7"/>
      <c r="BX27" s="7"/>
      <c r="BY27" s="7"/>
      <c r="BZ27" s="7"/>
      <c r="CA27" s="7"/>
      <c r="CB27" s="7"/>
      <c r="CC27" s="30"/>
      <c r="CD27" s="30"/>
      <c r="CE27" s="36"/>
      <c r="CF27" s="8"/>
      <c r="CG27" s="37"/>
      <c r="CH27" s="37"/>
      <c r="CI27" s="8"/>
      <c r="CN27" s="8"/>
      <c r="CO27" s="29"/>
      <c r="CP27" s="7"/>
      <c r="CQ27" s="7"/>
      <c r="CR27" s="7"/>
      <c r="CS27" s="29"/>
      <c r="CT27" s="29"/>
      <c r="CU27" s="29"/>
      <c r="CZ27" s="7"/>
      <c r="DA27" s="8"/>
    </row>
    <row r="28" spans="1:106" x14ac:dyDescent="0.2">
      <c r="B28" s="28" t="s">
        <v>255</v>
      </c>
      <c r="C28" s="28">
        <v>3.5249999999999997E-2</v>
      </c>
      <c r="D28" s="28">
        <v>2.0693700000000002</v>
      </c>
      <c r="E28" s="28">
        <v>4.2740499999999999</v>
      </c>
      <c r="F28" s="28"/>
      <c r="G28" s="17"/>
      <c r="H28" s="17"/>
      <c r="I28" s="17"/>
      <c r="J28" s="17"/>
      <c r="K28" s="17"/>
      <c r="L28" s="17"/>
      <c r="M28" s="17"/>
      <c r="P28" s="2"/>
      <c r="Q28" s="3">
        <v>0.625</v>
      </c>
      <c r="R28" s="1">
        <f>R26+5.75</f>
        <v>53.75</v>
      </c>
      <c r="S28" s="1" t="s">
        <v>226</v>
      </c>
      <c r="T28" s="1">
        <v>15</v>
      </c>
      <c r="U28" s="1">
        <v>8</v>
      </c>
      <c r="W28" s="1">
        <v>26.8</v>
      </c>
      <c r="X28" s="1">
        <v>190</v>
      </c>
      <c r="Y28" s="1">
        <v>6.6578999999999997</v>
      </c>
      <c r="Z28" s="1">
        <v>6.7652000000000001</v>
      </c>
      <c r="AA28" s="1">
        <v>8</v>
      </c>
      <c r="AB28" s="1">
        <f t="shared" si="0"/>
        <v>0.1073000000000004</v>
      </c>
      <c r="AC28" s="1">
        <f t="shared" si="35"/>
        <v>13.412500000000049</v>
      </c>
      <c r="AD28" s="1">
        <v>18</v>
      </c>
      <c r="AE28" s="1">
        <v>2.3704999999999998</v>
      </c>
      <c r="AF28" s="50">
        <f t="shared" si="5"/>
        <v>0.13169444444444445</v>
      </c>
      <c r="AG28" s="1">
        <f t="shared" si="6"/>
        <v>1.7663517361111176</v>
      </c>
      <c r="AI28" s="29">
        <f t="shared" ref="AI28" si="46">$BF$14-BF28</f>
        <v>52.462299999999978</v>
      </c>
      <c r="AJ28" s="1">
        <f t="shared" si="23"/>
        <v>0.38499906976744191</v>
      </c>
      <c r="AK28" s="29">
        <f t="shared" si="7"/>
        <v>0.39444896621002151</v>
      </c>
      <c r="AL28" s="8">
        <f t="shared" si="8"/>
        <v>0.24953488372093116</v>
      </c>
      <c r="AM28" s="8">
        <f t="shared" si="24"/>
        <v>0.25565977854573768</v>
      </c>
      <c r="AP28" s="1">
        <f t="shared" si="22"/>
        <v>5.8126999999999924</v>
      </c>
      <c r="AQ28" s="8">
        <f t="shared" si="30"/>
        <v>1.0109043478260857</v>
      </c>
      <c r="AR28" s="8">
        <f t="shared" si="25"/>
        <v>-3.87083455192802E-2</v>
      </c>
      <c r="AS28" s="29">
        <f t="shared" si="26"/>
        <v>-3.8290809217035357E-2</v>
      </c>
      <c r="AT28" s="8">
        <f t="shared" si="31"/>
        <v>0.58439279508662179</v>
      </c>
      <c r="AU28" s="34">
        <f t="shared" si="27"/>
        <v>0.1005372365831064</v>
      </c>
      <c r="AV28" s="8"/>
      <c r="AW28" s="8">
        <f t="shared" si="28"/>
        <v>0.65010874475575919</v>
      </c>
      <c r="BD28" s="1">
        <f t="shared" si="43"/>
        <v>0.35249999999999998</v>
      </c>
      <c r="BE28" s="1">
        <f t="shared" si="44"/>
        <v>20.693700000000003</v>
      </c>
      <c r="BF28" s="1">
        <f t="shared" si="45"/>
        <v>42.740500000000004</v>
      </c>
      <c r="BG28" s="1" t="str">
        <f t="shared" si="12"/>
        <v/>
      </c>
      <c r="BH28" s="1" t="str">
        <f t="shared" si="13"/>
        <v/>
      </c>
      <c r="BI28" s="1" t="str">
        <f t="shared" si="14"/>
        <v/>
      </c>
      <c r="BJ28" s="1" t="str">
        <f t="shared" si="15"/>
        <v/>
      </c>
      <c r="BK28" s="1" t="str">
        <f t="shared" si="16"/>
        <v/>
      </c>
      <c r="BL28" s="1" t="str">
        <f t="shared" si="17"/>
        <v/>
      </c>
      <c r="BM28" s="1" t="str">
        <f t="shared" si="18"/>
        <v/>
      </c>
      <c r="BN28" s="1" t="str">
        <f t="shared" si="19"/>
        <v/>
      </c>
      <c r="BO28" s="1" t="str">
        <f t="shared" si="20"/>
        <v/>
      </c>
      <c r="BP28" s="20"/>
      <c r="BR28" s="1"/>
      <c r="BZ28" s="1"/>
      <c r="CA28" s="1"/>
    </row>
    <row r="29" spans="1:106" x14ac:dyDescent="0.2">
      <c r="B29" s="28" t="s">
        <v>256</v>
      </c>
      <c r="C29" s="28">
        <v>3.918E-2</v>
      </c>
      <c r="D29" s="28">
        <v>0.48446</v>
      </c>
      <c r="E29" s="28">
        <v>6.6734499999999999</v>
      </c>
      <c r="F29" s="28"/>
      <c r="G29" s="17"/>
      <c r="H29" s="17"/>
      <c r="I29" s="17"/>
      <c r="J29" s="17"/>
      <c r="K29" s="17"/>
      <c r="L29" s="17"/>
      <c r="M29" s="17"/>
      <c r="R29" s="1">
        <f>R27+5.75</f>
        <v>53.75</v>
      </c>
      <c r="S29" s="1" t="s">
        <v>228</v>
      </c>
      <c r="T29" s="1">
        <v>16</v>
      </c>
      <c r="U29" s="1">
        <v>8</v>
      </c>
      <c r="W29" s="1">
        <v>27.16</v>
      </c>
      <c r="X29" s="1">
        <v>49</v>
      </c>
      <c r="Y29" s="1">
        <v>6.7058999999999997</v>
      </c>
      <c r="Z29" s="1">
        <v>6.8131000000000004</v>
      </c>
      <c r="AA29" s="1">
        <v>8</v>
      </c>
      <c r="AB29" s="1">
        <f t="shared" si="0"/>
        <v>0.10720000000000063</v>
      </c>
      <c r="AC29" s="1">
        <f t="shared" si="35"/>
        <v>13.400000000000079</v>
      </c>
      <c r="AD29" s="1">
        <v>17.899999999999999</v>
      </c>
      <c r="AE29" s="1">
        <v>1.3320000000000001</v>
      </c>
      <c r="AF29" s="50">
        <f t="shared" si="5"/>
        <v>7.4413407821229058E-2</v>
      </c>
      <c r="AG29" s="1">
        <f t="shared" si="6"/>
        <v>0.99713966480447525</v>
      </c>
      <c r="AI29" s="29">
        <f>$BF$15-BF29</f>
        <v>28.617599999999996</v>
      </c>
      <c r="AJ29" s="1">
        <f t="shared" si="23"/>
        <v>9.013209302325581E-2</v>
      </c>
      <c r="AK29" s="29">
        <f t="shared" si="7"/>
        <v>0.16928743151067877</v>
      </c>
      <c r="AL29" s="8">
        <f t="shared" si="8"/>
        <v>0.24930232558139681</v>
      </c>
      <c r="AM29" s="8">
        <f t="shared" si="24"/>
        <v>0.46824331879682712</v>
      </c>
      <c r="AP29" s="1">
        <f t="shared" si="22"/>
        <v>3.3885000000000076</v>
      </c>
      <c r="AQ29" s="8">
        <f t="shared" si="30"/>
        <v>0.58930434782608832</v>
      </c>
      <c r="AR29" s="8">
        <f t="shared" si="25"/>
        <v>0.54227534307216885</v>
      </c>
      <c r="AS29" s="29">
        <f t="shared" si="26"/>
        <v>0.92019572750921164</v>
      </c>
      <c r="AT29" s="8">
        <f t="shared" si="31"/>
        <v>0.37343957503319958</v>
      </c>
      <c r="AU29" s="34">
        <f t="shared" si="27"/>
        <v>0.11020793124780839</v>
      </c>
      <c r="AV29" s="8"/>
      <c r="AW29" s="8">
        <f t="shared" si="28"/>
        <v>0.63753075030750583</v>
      </c>
      <c r="BD29" s="1">
        <f t="shared" si="43"/>
        <v>0.39179999999999998</v>
      </c>
      <c r="BE29" s="1">
        <f t="shared" si="44"/>
        <v>4.8445999999999998</v>
      </c>
      <c r="BF29" s="1">
        <f t="shared" si="45"/>
        <v>66.734499999999997</v>
      </c>
      <c r="BG29" s="1" t="str">
        <f t="shared" si="12"/>
        <v/>
      </c>
      <c r="BH29" s="1" t="str">
        <f t="shared" si="13"/>
        <v/>
      </c>
      <c r="BI29" s="1" t="str">
        <f t="shared" si="14"/>
        <v/>
      </c>
      <c r="BJ29" s="1" t="str">
        <f t="shared" si="15"/>
        <v/>
      </c>
      <c r="BK29" s="1" t="str">
        <f t="shared" si="16"/>
        <v/>
      </c>
      <c r="BL29" s="1" t="str">
        <f t="shared" si="17"/>
        <v/>
      </c>
      <c r="BM29" s="1" t="str">
        <f t="shared" si="18"/>
        <v/>
      </c>
      <c r="BN29" s="1" t="str">
        <f t="shared" si="19"/>
        <v/>
      </c>
      <c r="BO29" s="1" t="str">
        <f t="shared" si="20"/>
        <v/>
      </c>
      <c r="BP29" s="20"/>
      <c r="BR29" s="1"/>
      <c r="BZ29" s="1"/>
      <c r="CA29" s="1"/>
    </row>
    <row r="30" spans="1:106" x14ac:dyDescent="0.2">
      <c r="B30" s="28" t="s">
        <v>257</v>
      </c>
      <c r="C30" s="28">
        <v>3.1960000000000002E-2</v>
      </c>
      <c r="D30" s="28">
        <v>3.0801699999999999</v>
      </c>
      <c r="E30" s="28">
        <v>2.77251</v>
      </c>
      <c r="F30" s="28"/>
      <c r="L30" s="17"/>
      <c r="M30" s="17"/>
      <c r="P30" s="2">
        <v>45681</v>
      </c>
      <c r="Q30" s="3">
        <v>0.34375</v>
      </c>
      <c r="R30" s="1">
        <v>71</v>
      </c>
      <c r="S30" s="1" t="s">
        <v>226</v>
      </c>
      <c r="T30" s="1">
        <v>17</v>
      </c>
      <c r="U30" s="1">
        <v>8</v>
      </c>
      <c r="W30" s="1">
        <v>29.12</v>
      </c>
      <c r="X30" s="1">
        <v>283</v>
      </c>
      <c r="Y30" s="1">
        <v>6.7028999999999996</v>
      </c>
      <c r="Z30" s="1">
        <v>6.8116000000000003</v>
      </c>
      <c r="AA30" s="1">
        <v>8</v>
      </c>
      <c r="AB30" s="1">
        <f t="shared" si="0"/>
        <v>0.10870000000000068</v>
      </c>
      <c r="AC30" s="1">
        <f t="shared" si="35"/>
        <v>13.587500000000086</v>
      </c>
      <c r="AD30" s="1">
        <v>17.399999999999999</v>
      </c>
      <c r="AE30" s="1">
        <v>2.7515000000000001</v>
      </c>
      <c r="AF30" s="50">
        <f t="shared" si="5"/>
        <v>0.15813218390804598</v>
      </c>
      <c r="AG30" s="1">
        <f t="shared" si="6"/>
        <v>2.1486210488505884</v>
      </c>
      <c r="AI30" s="29">
        <f>$BF$14-BF30</f>
        <v>67.477699999999984</v>
      </c>
      <c r="AJ30" s="1">
        <f t="shared" si="23"/>
        <v>0.43382676056338026</v>
      </c>
      <c r="AK30" s="29">
        <f t="shared" si="7"/>
        <v>0.45647228639980331</v>
      </c>
      <c r="AL30" s="8">
        <f t="shared" si="8"/>
        <v>0.19137323943662093</v>
      </c>
      <c r="AM30" s="8">
        <f t="shared" si="24"/>
        <v>0.20136282060592001</v>
      </c>
      <c r="AP30" s="1">
        <f t="shared" si="22"/>
        <v>15.015400000000003</v>
      </c>
      <c r="AQ30" s="8">
        <f t="shared" si="30"/>
        <v>0.87045797101449296</v>
      </c>
      <c r="AR30" s="8">
        <f t="shared" si="25"/>
        <v>1.1654701173464321E-2</v>
      </c>
      <c r="AS30" s="29">
        <f t="shared" si="26"/>
        <v>1.3389160145068362E-2</v>
      </c>
      <c r="AT30" s="8">
        <f t="shared" si="31"/>
        <v>0.67317553977915956</v>
      </c>
      <c r="AU30" s="34">
        <f t="shared" si="27"/>
        <v>4.483234144805729E-2</v>
      </c>
      <c r="AV30" s="8"/>
      <c r="AW30" s="8">
        <f t="shared" si="28"/>
        <v>0.65783510700572334</v>
      </c>
      <c r="BD30" s="1">
        <f t="shared" si="43"/>
        <v>0.3196</v>
      </c>
      <c r="BE30" s="1">
        <f t="shared" si="44"/>
        <v>30.8017</v>
      </c>
      <c r="BF30" s="1">
        <f t="shared" si="45"/>
        <v>27.725100000000001</v>
      </c>
      <c r="BP30" s="20"/>
      <c r="BR30" s="1"/>
      <c r="BZ30" s="1"/>
      <c r="CA30" s="1"/>
    </row>
    <row r="31" spans="1:106" x14ac:dyDescent="0.2">
      <c r="B31" s="28" t="s">
        <v>258</v>
      </c>
      <c r="C31" s="28">
        <v>4.1660000000000003E-2</v>
      </c>
      <c r="D31" s="28">
        <v>0.99346999999999996</v>
      </c>
      <c r="E31" s="28">
        <v>5.8000499999999997</v>
      </c>
      <c r="F31" s="28"/>
      <c r="L31" s="17"/>
      <c r="M31" s="17"/>
      <c r="R31" s="1">
        <v>71</v>
      </c>
      <c r="S31" s="1" t="s">
        <v>228</v>
      </c>
      <c r="T31" s="1">
        <v>18</v>
      </c>
      <c r="U31" s="1">
        <v>8</v>
      </c>
      <c r="W31" s="1">
        <v>32.36</v>
      </c>
      <c r="X31" s="1">
        <v>81</v>
      </c>
      <c r="Y31" s="1">
        <v>6.7055999999999996</v>
      </c>
      <c r="Z31" s="1">
        <v>6.8063000000000002</v>
      </c>
      <c r="AA31" s="1">
        <v>8</v>
      </c>
      <c r="AB31" s="1">
        <f t="shared" si="0"/>
        <v>0.10070000000000068</v>
      </c>
      <c r="AC31" s="1">
        <f t="shared" si="35"/>
        <v>12.587500000000084</v>
      </c>
      <c r="AD31" s="1">
        <v>18</v>
      </c>
      <c r="AE31" s="1">
        <f>FAMES!$L$32</f>
        <v>2.7654999999999998</v>
      </c>
      <c r="AF31" s="50">
        <f t="shared" si="5"/>
        <v>0.15363888888888888</v>
      </c>
      <c r="AG31" s="1">
        <f t="shared" si="6"/>
        <v>1.9339295138889017</v>
      </c>
      <c r="AI31" s="29">
        <f t="shared" ref="AI31" si="47">$BF$15-BF31</f>
        <v>37.351599999999998</v>
      </c>
      <c r="AJ31" s="1">
        <f t="shared" si="23"/>
        <v>0.13992535211267604</v>
      </c>
      <c r="AK31" s="29">
        <f t="shared" si="7"/>
        <v>0.26597789652919823</v>
      </c>
      <c r="AL31" s="8">
        <f t="shared" si="8"/>
        <v>0.17728873239436738</v>
      </c>
      <c r="AM31" s="8">
        <f t="shared" si="24"/>
        <v>0.3370002891442424</v>
      </c>
      <c r="AP31" s="1">
        <f t="shared" si="22"/>
        <v>8.7340000000000018</v>
      </c>
      <c r="AQ31" s="8">
        <f t="shared" si="30"/>
        <v>0.50631884057971022</v>
      </c>
      <c r="AR31" s="8">
        <f t="shared" si="25"/>
        <v>-9.3027249828256761E-2</v>
      </c>
      <c r="AS31" s="29">
        <f t="shared" si="26"/>
        <v>-0.18373254631754396</v>
      </c>
      <c r="AT31" s="8">
        <f t="shared" si="31"/>
        <v>0.58279138997023117</v>
      </c>
      <c r="AU31" s="34">
        <f t="shared" si="27"/>
        <v>6.6726744901560692E-2</v>
      </c>
      <c r="AV31" s="8"/>
      <c r="AW31" s="8">
        <f t="shared" si="28"/>
        <v>0.60297818567344064</v>
      </c>
      <c r="BD31" s="1">
        <f t="shared" ref="BD31" si="48">IF(ISNUMBER(C31),C31*1000/100,"")</f>
        <v>0.41660000000000003</v>
      </c>
      <c r="BE31" s="1">
        <f t="shared" ref="BE31" si="49">IF(ISNUMBER(D31),D31*1000/100,0)</f>
        <v>9.9346999999999994</v>
      </c>
      <c r="BF31" s="1">
        <f t="shared" ref="BF31" si="50">IF(ISNUMBER(E31),E31*1000/100,"")</f>
        <v>58.000499999999995</v>
      </c>
      <c r="BP31" s="20"/>
      <c r="BR31" s="1"/>
      <c r="BZ31" s="1"/>
      <c r="CA31" s="1"/>
    </row>
    <row r="32" spans="1:106" x14ac:dyDescent="0.2">
      <c r="AI32" s="29"/>
      <c r="AK32" s="29"/>
      <c r="AL32" s="8"/>
      <c r="AM32" s="8"/>
      <c r="AQ32" s="8"/>
      <c r="AR32" s="8"/>
      <c r="AS32" s="29"/>
      <c r="AT32" s="8"/>
      <c r="AU32" s="34"/>
      <c r="AV32" s="8"/>
      <c r="AW32" s="8"/>
      <c r="BP32" s="20"/>
      <c r="BR32" s="1"/>
      <c r="BZ32" s="1"/>
      <c r="CA32" s="1"/>
    </row>
    <row r="33" spans="35:79" x14ac:dyDescent="0.2">
      <c r="AI33" s="29"/>
      <c r="AK33" s="29"/>
      <c r="AL33" s="8"/>
      <c r="AM33" s="8"/>
      <c r="AQ33" s="8"/>
      <c r="AR33" s="8"/>
      <c r="AS33" s="29"/>
      <c r="AT33" s="8"/>
      <c r="AU33" s="34"/>
      <c r="AV33" s="8"/>
      <c r="AW33" s="8"/>
      <c r="BP33" s="20"/>
      <c r="BR33" s="1"/>
      <c r="BZ33" s="1"/>
      <c r="CA33" s="1"/>
    </row>
    <row r="34" spans="35:79" x14ac:dyDescent="0.2">
      <c r="BP34" s="20"/>
      <c r="BR34" s="1"/>
      <c r="BZ34" s="1"/>
      <c r="CA34" s="1"/>
    </row>
    <row r="35" spans="35:79" x14ac:dyDescent="0.2">
      <c r="BP35" s="20"/>
      <c r="BR35" s="1"/>
      <c r="BZ35" s="1"/>
      <c r="CA35" s="1"/>
    </row>
    <row r="36" spans="35:79" x14ac:dyDescent="0.2">
      <c r="BP36" s="20"/>
      <c r="BR36" s="1"/>
      <c r="BZ36" s="1"/>
      <c r="CA36" s="1"/>
    </row>
    <row r="37" spans="35:79" x14ac:dyDescent="0.2">
      <c r="BP37" s="20"/>
      <c r="BR37" s="1"/>
      <c r="BZ37" s="1"/>
      <c r="CA37" s="1"/>
    </row>
    <row r="38" spans="35:79" x14ac:dyDescent="0.2">
      <c r="BP38" s="20"/>
      <c r="BR38" s="1"/>
      <c r="BZ38" s="1"/>
      <c r="CA38" s="1"/>
    </row>
    <row r="39" spans="35:79" x14ac:dyDescent="0.2">
      <c r="BP39" s="20"/>
      <c r="BR39" s="1"/>
      <c r="BZ39" s="1"/>
      <c r="CA39" s="1"/>
    </row>
    <row r="40" spans="35:79" x14ac:dyDescent="0.2">
      <c r="BP40" s="20"/>
      <c r="BR40" s="1"/>
      <c r="BZ40" s="1"/>
      <c r="CA40" s="1"/>
    </row>
    <row r="41" spans="35:79" x14ac:dyDescent="0.2">
      <c r="BP41" s="20"/>
      <c r="BR41" s="1"/>
      <c r="BZ41" s="1"/>
      <c r="CA41" s="1"/>
    </row>
    <row r="42" spans="35:79" x14ac:dyDescent="0.2">
      <c r="BP42" s="20"/>
      <c r="BR42" s="1"/>
      <c r="BZ42" s="1"/>
      <c r="CA42" s="1"/>
    </row>
    <row r="43" spans="35:79" x14ac:dyDescent="0.2">
      <c r="BP43" s="20"/>
      <c r="BR43" s="1"/>
      <c r="BZ43" s="1"/>
      <c r="CA43" s="1"/>
    </row>
    <row r="44" spans="35:79" x14ac:dyDescent="0.2">
      <c r="BP44" s="20"/>
      <c r="BR44" s="1"/>
      <c r="BZ44" s="1"/>
      <c r="CA44" s="1"/>
    </row>
    <row r="45" spans="35:79" x14ac:dyDescent="0.2">
      <c r="BP45" s="20"/>
      <c r="BR45" s="1"/>
      <c r="BZ45" s="1"/>
      <c r="CA45" s="1"/>
    </row>
    <row r="46" spans="35:79" x14ac:dyDescent="0.2">
      <c r="BP46" s="20"/>
      <c r="BR46" s="1"/>
      <c r="BZ46" s="1"/>
      <c r="CA46" s="1"/>
    </row>
    <row r="47" spans="35:79" x14ac:dyDescent="0.2">
      <c r="BP47" s="20"/>
      <c r="BR47" s="1"/>
      <c r="BZ47" s="1"/>
      <c r="CA47" s="1"/>
    </row>
    <row r="48" spans="35:79" x14ac:dyDescent="0.2">
      <c r="BP48" s="20"/>
      <c r="BR48" s="1"/>
      <c r="BZ48" s="1"/>
      <c r="CA48" s="1"/>
    </row>
    <row r="49" spans="21:105" x14ac:dyDescent="0.2">
      <c r="BP49" s="20"/>
      <c r="BR49" s="1"/>
      <c r="BZ49" s="1"/>
      <c r="CA49" s="1"/>
    </row>
    <row r="50" spans="21:105" x14ac:dyDescent="0.2">
      <c r="BP50" s="20"/>
      <c r="BR50" s="1"/>
      <c r="BZ50" s="1"/>
      <c r="CA50" s="1"/>
    </row>
    <row r="51" spans="21:105" x14ac:dyDescent="0.2">
      <c r="BP51" s="20"/>
      <c r="BR51" s="1"/>
      <c r="BZ51" s="1"/>
      <c r="CA51" s="1"/>
    </row>
    <row r="52" spans="21:105" x14ac:dyDescent="0.2">
      <c r="BP52" s="20"/>
      <c r="BR52" s="1"/>
      <c r="BZ52" s="1"/>
      <c r="CA52" s="1"/>
    </row>
    <row r="53" spans="21:105" x14ac:dyDescent="0.2">
      <c r="BP53" s="20"/>
      <c r="BR53" s="1"/>
      <c r="BZ53" s="1"/>
      <c r="CA53" s="1"/>
    </row>
    <row r="54" spans="21:105" x14ac:dyDescent="0.2">
      <c r="BP54" s="20"/>
      <c r="BR54" s="1"/>
      <c r="BZ54" s="1"/>
      <c r="CA54" s="1"/>
    </row>
    <row r="55" spans="21:105" x14ac:dyDescent="0.2">
      <c r="BP55" s="20"/>
      <c r="BR55" s="1"/>
      <c r="BZ55" s="1"/>
      <c r="CA55" s="1"/>
    </row>
    <row r="56" spans="21:105" x14ac:dyDescent="0.2">
      <c r="BP56" s="20"/>
      <c r="BR56" s="1"/>
      <c r="BZ56" s="1"/>
      <c r="CA56" s="1"/>
    </row>
    <row r="57" spans="21:105" x14ac:dyDescent="0.2">
      <c r="BP57" s="20"/>
      <c r="BR57" s="1"/>
      <c r="BZ57" s="1"/>
      <c r="CA57" s="1"/>
    </row>
    <row r="58" spans="21:105" x14ac:dyDescent="0.2">
      <c r="BP58" s="20"/>
      <c r="BR58" s="1"/>
      <c r="BZ58" s="1"/>
      <c r="CA58" s="1"/>
      <c r="CB58" s="7"/>
      <c r="CC58" s="36"/>
      <c r="CD58" s="42"/>
      <c r="CH58" s="37"/>
      <c r="CI58" s="8"/>
      <c r="CN58" s="29"/>
      <c r="CO58" s="29"/>
      <c r="CP58" s="7"/>
      <c r="CQ58" s="7"/>
      <c r="CR58" s="7"/>
      <c r="CS58" s="29"/>
      <c r="CT58" s="29"/>
      <c r="CU58" s="29"/>
      <c r="CZ58" s="7"/>
      <c r="DA58" s="7"/>
    </row>
    <row r="59" spans="21:105" x14ac:dyDescent="0.2">
      <c r="BR59" s="1"/>
      <c r="BU59" s="18"/>
      <c r="BZ59" s="1"/>
      <c r="CA59" s="1"/>
      <c r="CC59" s="31"/>
      <c r="CD59" s="43"/>
    </row>
    <row r="61" spans="21:105" x14ac:dyDescent="0.2">
      <c r="U61" s="1">
        <f>390/24</f>
        <v>16.25</v>
      </c>
    </row>
    <row r="67" spans="68:68" x14ac:dyDescent="0.2">
      <c r="BP67" s="8"/>
    </row>
  </sheetData>
  <autoFilter ref="A13:CL58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9537-9E70-4A38-9DE4-60BCB8B6367F}">
  <dimension ref="A2:S32"/>
  <sheetViews>
    <sheetView zoomScaleNormal="100" workbookViewId="0">
      <selection activeCell="L32" sqref="L32"/>
    </sheetView>
  </sheetViews>
  <sheetFormatPr baseColWidth="10" defaultColWidth="12.5" defaultRowHeight="16" x14ac:dyDescent="0.2"/>
  <cols>
    <col min="1" max="16384" width="12.5" style="1"/>
  </cols>
  <sheetData>
    <row r="2" spans="1:19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</row>
    <row r="3" spans="1:19" x14ac:dyDescent="0.2">
      <c r="A3" s="1" t="s">
        <v>229</v>
      </c>
      <c r="B3" s="44"/>
      <c r="C3" s="44"/>
      <c r="D3">
        <v>1.004</v>
      </c>
      <c r="E3">
        <v>0.79200000000000004</v>
      </c>
      <c r="F3" s="44"/>
      <c r="G3" s="44"/>
      <c r="H3">
        <v>0.97699999999999998</v>
      </c>
      <c r="I3">
        <v>1.054</v>
      </c>
      <c r="J3">
        <v>0.70299999999999996</v>
      </c>
      <c r="K3">
        <v>1.0229999999999999</v>
      </c>
      <c r="L3">
        <v>1.036</v>
      </c>
      <c r="M3">
        <v>0.97199999999999998</v>
      </c>
      <c r="N3">
        <v>1.034</v>
      </c>
      <c r="O3">
        <v>1.0549999999999999</v>
      </c>
      <c r="P3">
        <v>1.034</v>
      </c>
      <c r="Q3">
        <v>0.624</v>
      </c>
      <c r="R3">
        <v>1.0149999999999999</v>
      </c>
      <c r="S3">
        <v>0.94799999999999995</v>
      </c>
    </row>
    <row r="4" spans="1:19" x14ac:dyDescent="0.2">
      <c r="A4" s="1" t="s">
        <v>230</v>
      </c>
      <c r="B4" s="44"/>
      <c r="C4" s="44"/>
      <c r="D4">
        <v>2E-3</v>
      </c>
      <c r="E4" t="s">
        <v>231</v>
      </c>
      <c r="F4" s="44"/>
      <c r="G4" s="44"/>
      <c r="H4" t="s">
        <v>231</v>
      </c>
      <c r="I4" t="s">
        <v>231</v>
      </c>
      <c r="J4" t="s">
        <v>231</v>
      </c>
      <c r="K4" t="s">
        <v>231</v>
      </c>
      <c r="L4" t="s">
        <v>231</v>
      </c>
      <c r="M4" t="s">
        <v>231</v>
      </c>
      <c r="N4" t="s">
        <v>231</v>
      </c>
      <c r="O4" t="s">
        <v>231</v>
      </c>
      <c r="P4" t="s">
        <v>231</v>
      </c>
      <c r="Q4" t="s">
        <v>231</v>
      </c>
      <c r="R4" t="s">
        <v>231</v>
      </c>
      <c r="S4" t="s">
        <v>231</v>
      </c>
    </row>
    <row r="5" spans="1:19" x14ac:dyDescent="0.2">
      <c r="A5" s="1" t="s">
        <v>232</v>
      </c>
      <c r="B5" s="44"/>
      <c r="C5" s="44"/>
      <c r="D5">
        <v>0.21299999999999999</v>
      </c>
      <c r="E5">
        <v>0.16200000000000001</v>
      </c>
      <c r="F5" s="44"/>
      <c r="G5" s="44"/>
      <c r="H5">
        <v>0.23899999999999999</v>
      </c>
      <c r="I5">
        <v>0.245</v>
      </c>
      <c r="J5">
        <v>0.32200000000000001</v>
      </c>
      <c r="K5">
        <v>0.42199999999999999</v>
      </c>
      <c r="L5">
        <v>0.57399999999999995</v>
      </c>
      <c r="M5">
        <v>0.44600000000000001</v>
      </c>
      <c r="N5">
        <v>0.81599999999999995</v>
      </c>
      <c r="O5">
        <v>0.78</v>
      </c>
      <c r="P5">
        <v>0.81399999999999995</v>
      </c>
      <c r="Q5">
        <v>0.432</v>
      </c>
      <c r="R5">
        <v>0.90300000000000002</v>
      </c>
      <c r="S5">
        <v>0.873</v>
      </c>
    </row>
    <row r="6" spans="1:19" x14ac:dyDescent="0.2">
      <c r="A6" s="1" t="s">
        <v>233</v>
      </c>
      <c r="B6" s="44"/>
      <c r="C6" s="44"/>
      <c r="D6">
        <v>1.4E-2</v>
      </c>
      <c r="E6">
        <v>8.9999999999999993E-3</v>
      </c>
      <c r="F6" s="44"/>
      <c r="G6" s="44"/>
      <c r="H6">
        <v>5.0999999999999997E-2</v>
      </c>
      <c r="I6">
        <v>5.5E-2</v>
      </c>
      <c r="J6">
        <v>0.11899999999999999</v>
      </c>
      <c r="K6">
        <v>0.14499999999999999</v>
      </c>
      <c r="L6">
        <v>0.20699999999999999</v>
      </c>
      <c r="M6">
        <v>0.161</v>
      </c>
      <c r="N6">
        <v>0.36599999999999999</v>
      </c>
      <c r="O6">
        <v>0.31</v>
      </c>
      <c r="P6">
        <v>0.36699999999999999</v>
      </c>
      <c r="Q6">
        <v>0.17199999999999999</v>
      </c>
      <c r="R6">
        <v>0.45500000000000002</v>
      </c>
      <c r="S6">
        <v>0.36599999999999999</v>
      </c>
    </row>
    <row r="7" spans="1:19" x14ac:dyDescent="0.2">
      <c r="A7" s="1" t="s">
        <v>234</v>
      </c>
      <c r="B7" s="44"/>
      <c r="C7" s="44"/>
      <c r="D7">
        <v>0.15</v>
      </c>
      <c r="E7">
        <v>0.11700000000000001</v>
      </c>
      <c r="F7" s="44"/>
      <c r="G7" s="44"/>
      <c r="H7">
        <v>0.14000000000000001</v>
      </c>
      <c r="I7">
        <v>0.14099999999999999</v>
      </c>
      <c r="J7">
        <v>0.16600000000000001</v>
      </c>
      <c r="K7">
        <v>0.24099999999999999</v>
      </c>
      <c r="L7">
        <v>0.307</v>
      </c>
      <c r="M7">
        <v>0.27300000000000002</v>
      </c>
      <c r="N7">
        <v>0.40400000000000003</v>
      </c>
      <c r="O7">
        <v>0.52</v>
      </c>
      <c r="P7">
        <v>0.36699999999999999</v>
      </c>
      <c r="Q7">
        <v>0.3</v>
      </c>
      <c r="R7">
        <v>0.44400000000000001</v>
      </c>
      <c r="S7">
        <v>0.629</v>
      </c>
    </row>
    <row r="8" spans="1:19" x14ac:dyDescent="0.2">
      <c r="A8" s="1" t="s">
        <v>235</v>
      </c>
      <c r="B8" s="44"/>
      <c r="C8" s="44"/>
      <c r="D8">
        <v>5.6000000000000001E-2</v>
      </c>
      <c r="E8">
        <v>3.9E-2</v>
      </c>
      <c r="F8" s="44"/>
      <c r="G8" s="44"/>
      <c r="H8">
        <v>0.20599999999999999</v>
      </c>
      <c r="I8">
        <v>0.22900000000000001</v>
      </c>
      <c r="J8">
        <v>1.1020000000000001</v>
      </c>
      <c r="K8">
        <v>1.234</v>
      </c>
      <c r="L8">
        <v>1.839</v>
      </c>
      <c r="M8">
        <v>1.399</v>
      </c>
      <c r="N8">
        <v>2.702</v>
      </c>
      <c r="O8">
        <v>2.5979999999999999</v>
      </c>
      <c r="P8">
        <v>2.4689999999999999</v>
      </c>
      <c r="Q8">
        <v>1.4119999999999999</v>
      </c>
      <c r="R8">
        <v>3.0550000000000002</v>
      </c>
      <c r="S8">
        <v>2.9889999999999999</v>
      </c>
    </row>
    <row r="9" spans="1:19" x14ac:dyDescent="0.2">
      <c r="A9" s="1" t="s">
        <v>236</v>
      </c>
      <c r="B9" s="44"/>
      <c r="C9" s="44"/>
      <c r="D9">
        <v>0.11799999999999999</v>
      </c>
      <c r="E9">
        <v>0.09</v>
      </c>
      <c r="F9" s="44"/>
      <c r="G9" s="44"/>
      <c r="H9">
        <v>0.251</v>
      </c>
      <c r="I9">
        <v>0.27500000000000002</v>
      </c>
      <c r="J9">
        <v>0.318</v>
      </c>
      <c r="K9">
        <v>0.378</v>
      </c>
      <c r="L9">
        <v>0.40500000000000003</v>
      </c>
      <c r="M9">
        <v>0.34799999999999998</v>
      </c>
      <c r="N9">
        <v>0.496</v>
      </c>
      <c r="O9">
        <v>0.505</v>
      </c>
      <c r="P9">
        <v>0.628</v>
      </c>
      <c r="Q9">
        <v>0.28000000000000003</v>
      </c>
      <c r="R9">
        <v>0.53900000000000003</v>
      </c>
      <c r="S9">
        <v>0.53300000000000003</v>
      </c>
    </row>
    <row r="10" spans="1:19" x14ac:dyDescent="0.2">
      <c r="A10" s="1" t="s">
        <v>237</v>
      </c>
      <c r="B10" s="44"/>
      <c r="C10" s="44"/>
      <c r="D10" t="s">
        <v>231</v>
      </c>
      <c r="E10" t="s">
        <v>231</v>
      </c>
      <c r="F10" s="44"/>
      <c r="G10" s="44"/>
      <c r="H10" t="s">
        <v>231</v>
      </c>
      <c r="I10" t="s">
        <v>231</v>
      </c>
      <c r="J10" t="s">
        <v>231</v>
      </c>
      <c r="K10" t="s">
        <v>231</v>
      </c>
      <c r="L10" t="s">
        <v>231</v>
      </c>
      <c r="M10" t="s">
        <v>231</v>
      </c>
      <c r="N10" t="s">
        <v>231</v>
      </c>
      <c r="O10" t="s">
        <v>231</v>
      </c>
      <c r="P10" t="s">
        <v>231</v>
      </c>
      <c r="Q10" t="s">
        <v>231</v>
      </c>
      <c r="R10" t="s">
        <v>231</v>
      </c>
      <c r="S10" t="s">
        <v>231</v>
      </c>
    </row>
    <row r="11" spans="1:19" x14ac:dyDescent="0.2">
      <c r="A11" s="1" t="s">
        <v>238</v>
      </c>
      <c r="B11" s="44"/>
      <c r="C11" s="44"/>
      <c r="D11" t="s">
        <v>231</v>
      </c>
      <c r="E11" t="s">
        <v>231</v>
      </c>
      <c r="F11" s="44"/>
      <c r="G11" s="44"/>
      <c r="H11" t="s">
        <v>231</v>
      </c>
      <c r="I11" t="s">
        <v>231</v>
      </c>
      <c r="J11">
        <v>3.1E-2</v>
      </c>
      <c r="K11">
        <v>3.4000000000000002E-2</v>
      </c>
      <c r="L11">
        <v>6.3E-2</v>
      </c>
      <c r="M11">
        <v>4.8000000000000001E-2</v>
      </c>
      <c r="N11">
        <v>9.9000000000000005E-2</v>
      </c>
      <c r="O11">
        <v>0.11899999999999999</v>
      </c>
      <c r="P11">
        <v>9.6000000000000002E-2</v>
      </c>
      <c r="Q11">
        <v>6.8000000000000005E-2</v>
      </c>
      <c r="R11">
        <v>0.107</v>
      </c>
      <c r="S11">
        <v>0.14099999999999999</v>
      </c>
    </row>
    <row r="14" spans="1:19" x14ac:dyDescent="0.2">
      <c r="A14" s="1" t="s">
        <v>229</v>
      </c>
      <c r="B14" s="1" t="s">
        <v>230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  <c r="H14" s="1" t="s">
        <v>237</v>
      </c>
      <c r="I14" s="1" t="s">
        <v>238</v>
      </c>
      <c r="K14" s="1" t="s">
        <v>239</v>
      </c>
      <c r="L14" s="1" t="s">
        <v>240</v>
      </c>
    </row>
    <row r="15" spans="1:19" x14ac:dyDescent="0.2">
      <c r="A15" s="44"/>
      <c r="B15" s="44"/>
      <c r="C15" s="44"/>
      <c r="D15" s="44"/>
      <c r="E15" s="44"/>
      <c r="F15" s="44"/>
      <c r="G15" s="44"/>
      <c r="H15" s="44"/>
      <c r="I15" s="44"/>
      <c r="K15" s="1">
        <f>SUM(B15:I15)</f>
        <v>0</v>
      </c>
      <c r="L15" s="1">
        <f>K15*0.5</f>
        <v>0</v>
      </c>
    </row>
    <row r="16" spans="1:19" x14ac:dyDescent="0.2">
      <c r="A16" s="44"/>
      <c r="B16" s="44"/>
      <c r="C16" s="44"/>
      <c r="D16" s="44"/>
      <c r="E16" s="44"/>
      <c r="F16" s="44"/>
      <c r="G16" s="44"/>
      <c r="H16" s="44"/>
      <c r="I16" s="44"/>
      <c r="K16" s="1">
        <f t="shared" ref="K16:K31" si="0">SUM(B16:I16)</f>
        <v>0</v>
      </c>
      <c r="L16" s="1">
        <f t="shared" ref="L16:L31" si="1">K16*0.5</f>
        <v>0</v>
      </c>
    </row>
    <row r="17" spans="1:12" x14ac:dyDescent="0.2">
      <c r="A17">
        <v>1.004</v>
      </c>
      <c r="B17">
        <v>2E-3</v>
      </c>
      <c r="C17">
        <v>0.21299999999999999</v>
      </c>
      <c r="D17">
        <v>1.4E-2</v>
      </c>
      <c r="E17">
        <v>0.15</v>
      </c>
      <c r="F17">
        <v>5.6000000000000001E-2</v>
      </c>
      <c r="G17">
        <v>0.11799999999999999</v>
      </c>
      <c r="H17" t="s">
        <v>231</v>
      </c>
      <c r="I17" t="s">
        <v>231</v>
      </c>
      <c r="K17" s="1">
        <f t="shared" si="0"/>
        <v>0.55299999999999994</v>
      </c>
      <c r="L17" s="1">
        <f t="shared" si="1"/>
        <v>0.27649999999999997</v>
      </c>
    </row>
    <row r="18" spans="1:12" x14ac:dyDescent="0.2">
      <c r="A18">
        <v>0.79200000000000004</v>
      </c>
      <c r="B18" t="s">
        <v>231</v>
      </c>
      <c r="C18">
        <v>0.16200000000000001</v>
      </c>
      <c r="D18">
        <v>8.9999999999999993E-3</v>
      </c>
      <c r="E18">
        <v>0.11700000000000001</v>
      </c>
      <c r="F18">
        <v>3.9E-2</v>
      </c>
      <c r="G18">
        <v>0.09</v>
      </c>
      <c r="H18" t="s">
        <v>231</v>
      </c>
      <c r="I18" t="s">
        <v>231</v>
      </c>
      <c r="K18" s="1">
        <f t="shared" si="0"/>
        <v>0.41700000000000004</v>
      </c>
      <c r="L18" s="1">
        <f t="shared" si="1"/>
        <v>0.20850000000000002</v>
      </c>
    </row>
    <row r="19" spans="1:12" x14ac:dyDescent="0.2">
      <c r="A19" s="44"/>
      <c r="B19" s="44"/>
      <c r="C19" s="44"/>
      <c r="D19" s="44"/>
      <c r="E19" s="44"/>
      <c r="F19" s="44"/>
      <c r="G19" s="44"/>
      <c r="H19" s="44"/>
      <c r="I19" s="44"/>
      <c r="K19" s="1">
        <f t="shared" si="0"/>
        <v>0</v>
      </c>
      <c r="L19" s="1">
        <f t="shared" si="1"/>
        <v>0</v>
      </c>
    </row>
    <row r="20" spans="1:12" x14ac:dyDescent="0.2">
      <c r="A20" s="44"/>
      <c r="B20" s="44"/>
      <c r="C20" s="44"/>
      <c r="D20" s="44"/>
      <c r="E20" s="44"/>
      <c r="F20" s="44"/>
      <c r="G20" s="44"/>
      <c r="H20" s="44"/>
      <c r="I20" s="44"/>
      <c r="K20" s="1">
        <f t="shared" si="0"/>
        <v>0</v>
      </c>
      <c r="L20" s="1">
        <f t="shared" si="1"/>
        <v>0</v>
      </c>
    </row>
    <row r="21" spans="1:12" x14ac:dyDescent="0.2">
      <c r="A21">
        <v>0.97699999999999998</v>
      </c>
      <c r="B21" t="s">
        <v>231</v>
      </c>
      <c r="C21">
        <v>0.23899999999999999</v>
      </c>
      <c r="D21">
        <v>5.0999999999999997E-2</v>
      </c>
      <c r="E21">
        <v>0.14000000000000001</v>
      </c>
      <c r="F21">
        <v>0.20599999999999999</v>
      </c>
      <c r="G21">
        <v>0.251</v>
      </c>
      <c r="H21" t="s">
        <v>231</v>
      </c>
      <c r="I21" t="s">
        <v>231</v>
      </c>
      <c r="K21" s="1">
        <f t="shared" si="0"/>
        <v>0.88700000000000001</v>
      </c>
      <c r="L21" s="1">
        <f t="shared" si="1"/>
        <v>0.44350000000000001</v>
      </c>
    </row>
    <row r="22" spans="1:12" x14ac:dyDescent="0.2">
      <c r="A22">
        <v>1.054</v>
      </c>
      <c r="B22" t="s">
        <v>231</v>
      </c>
      <c r="C22">
        <v>0.245</v>
      </c>
      <c r="D22">
        <v>5.5E-2</v>
      </c>
      <c r="E22">
        <v>0.14099999999999999</v>
      </c>
      <c r="F22">
        <v>0.22900000000000001</v>
      </c>
      <c r="G22">
        <v>0.27500000000000002</v>
      </c>
      <c r="H22" t="s">
        <v>231</v>
      </c>
      <c r="I22" t="s">
        <v>231</v>
      </c>
      <c r="K22" s="1">
        <f t="shared" si="0"/>
        <v>0.94499999999999995</v>
      </c>
      <c r="L22" s="1">
        <f t="shared" si="1"/>
        <v>0.47249999999999998</v>
      </c>
    </row>
    <row r="23" spans="1:12" x14ac:dyDescent="0.2">
      <c r="A23">
        <v>0.70299999999999996</v>
      </c>
      <c r="B23" t="s">
        <v>231</v>
      </c>
      <c r="C23">
        <v>0.32200000000000001</v>
      </c>
      <c r="D23">
        <v>0.11899999999999999</v>
      </c>
      <c r="E23">
        <v>0.16600000000000001</v>
      </c>
      <c r="F23">
        <v>1.1020000000000001</v>
      </c>
      <c r="G23">
        <v>0.318</v>
      </c>
      <c r="H23" t="s">
        <v>231</v>
      </c>
      <c r="I23">
        <v>3.1E-2</v>
      </c>
      <c r="K23" s="1">
        <f t="shared" si="0"/>
        <v>2.0580000000000003</v>
      </c>
      <c r="L23" s="1">
        <f t="shared" si="1"/>
        <v>1.0290000000000001</v>
      </c>
    </row>
    <row r="24" spans="1:12" x14ac:dyDescent="0.2">
      <c r="A24">
        <v>1.0229999999999999</v>
      </c>
      <c r="B24" t="s">
        <v>231</v>
      </c>
      <c r="C24">
        <v>0.42199999999999999</v>
      </c>
      <c r="D24">
        <v>0.14499999999999999</v>
      </c>
      <c r="E24">
        <v>0.24099999999999999</v>
      </c>
      <c r="F24">
        <v>1.234</v>
      </c>
      <c r="G24">
        <v>0.378</v>
      </c>
      <c r="H24" t="s">
        <v>231</v>
      </c>
      <c r="I24">
        <v>3.4000000000000002E-2</v>
      </c>
      <c r="K24" s="1">
        <f t="shared" si="0"/>
        <v>2.4539999999999997</v>
      </c>
      <c r="L24" s="1">
        <f t="shared" si="1"/>
        <v>1.2269999999999999</v>
      </c>
    </row>
    <row r="25" spans="1:12" x14ac:dyDescent="0.2">
      <c r="A25">
        <v>1.036</v>
      </c>
      <c r="B25" t="s">
        <v>231</v>
      </c>
      <c r="C25">
        <v>0.57399999999999995</v>
      </c>
      <c r="D25">
        <v>0.20699999999999999</v>
      </c>
      <c r="E25">
        <v>0.307</v>
      </c>
      <c r="F25">
        <v>1.839</v>
      </c>
      <c r="G25">
        <v>0.40500000000000003</v>
      </c>
      <c r="H25" t="s">
        <v>231</v>
      </c>
      <c r="I25">
        <v>6.3E-2</v>
      </c>
      <c r="K25" s="1">
        <f t="shared" si="0"/>
        <v>3.395</v>
      </c>
      <c r="L25" s="1">
        <f t="shared" si="1"/>
        <v>1.6975</v>
      </c>
    </row>
    <row r="26" spans="1:12" x14ac:dyDescent="0.2">
      <c r="A26">
        <v>0.97199999999999998</v>
      </c>
      <c r="B26" t="s">
        <v>231</v>
      </c>
      <c r="C26">
        <v>0.44600000000000001</v>
      </c>
      <c r="D26">
        <v>0.161</v>
      </c>
      <c r="E26">
        <v>0.27300000000000002</v>
      </c>
      <c r="F26">
        <v>1.399</v>
      </c>
      <c r="G26">
        <v>0.34799999999999998</v>
      </c>
      <c r="H26" t="s">
        <v>231</v>
      </c>
      <c r="I26">
        <v>4.8000000000000001E-2</v>
      </c>
      <c r="K26" s="1">
        <f t="shared" si="0"/>
        <v>2.6749999999999998</v>
      </c>
      <c r="L26" s="1">
        <f t="shared" si="1"/>
        <v>1.3374999999999999</v>
      </c>
    </row>
    <row r="27" spans="1:12" x14ac:dyDescent="0.2">
      <c r="A27">
        <v>1.034</v>
      </c>
      <c r="B27" t="s">
        <v>231</v>
      </c>
      <c r="C27">
        <v>0.81599999999999995</v>
      </c>
      <c r="D27">
        <v>0.36599999999999999</v>
      </c>
      <c r="E27">
        <v>0.40400000000000003</v>
      </c>
      <c r="F27">
        <v>2.702</v>
      </c>
      <c r="G27">
        <v>0.496</v>
      </c>
      <c r="H27" t="s">
        <v>231</v>
      </c>
      <c r="I27">
        <v>9.9000000000000005E-2</v>
      </c>
      <c r="K27" s="1">
        <f t="shared" si="0"/>
        <v>4.8830000000000009</v>
      </c>
      <c r="L27" s="1">
        <f t="shared" si="1"/>
        <v>2.4415000000000004</v>
      </c>
    </row>
    <row r="28" spans="1:12" x14ac:dyDescent="0.2">
      <c r="A28">
        <v>1.0549999999999999</v>
      </c>
      <c r="B28" t="s">
        <v>231</v>
      </c>
      <c r="C28">
        <v>0.78</v>
      </c>
      <c r="D28">
        <v>0.31</v>
      </c>
      <c r="E28">
        <v>0.52</v>
      </c>
      <c r="F28">
        <v>2.5979999999999999</v>
      </c>
      <c r="G28">
        <v>0.505</v>
      </c>
      <c r="H28" t="s">
        <v>231</v>
      </c>
      <c r="I28">
        <v>0.11899999999999999</v>
      </c>
      <c r="K28" s="1">
        <f t="shared" si="0"/>
        <v>4.8319999999999999</v>
      </c>
      <c r="L28" s="1">
        <f t="shared" si="1"/>
        <v>2.4159999999999999</v>
      </c>
    </row>
    <row r="29" spans="1:12" x14ac:dyDescent="0.2">
      <c r="A29">
        <v>1.034</v>
      </c>
      <c r="B29" t="s">
        <v>231</v>
      </c>
      <c r="C29">
        <v>0.81399999999999995</v>
      </c>
      <c r="D29">
        <v>0.36699999999999999</v>
      </c>
      <c r="E29">
        <v>0.36699999999999999</v>
      </c>
      <c r="F29">
        <v>2.4689999999999999</v>
      </c>
      <c r="G29">
        <v>0.628</v>
      </c>
      <c r="H29" t="s">
        <v>231</v>
      </c>
      <c r="I29">
        <v>9.6000000000000002E-2</v>
      </c>
      <c r="K29" s="1">
        <f t="shared" si="0"/>
        <v>4.7409999999999997</v>
      </c>
      <c r="L29" s="1">
        <f t="shared" si="1"/>
        <v>2.3704999999999998</v>
      </c>
    </row>
    <row r="30" spans="1:12" x14ac:dyDescent="0.2">
      <c r="A30">
        <v>0.624</v>
      </c>
      <c r="B30" t="s">
        <v>231</v>
      </c>
      <c r="C30">
        <v>0.432</v>
      </c>
      <c r="D30">
        <v>0.17199999999999999</v>
      </c>
      <c r="E30">
        <v>0.3</v>
      </c>
      <c r="F30">
        <v>1.4119999999999999</v>
      </c>
      <c r="G30">
        <v>0.28000000000000003</v>
      </c>
      <c r="H30" t="s">
        <v>231</v>
      </c>
      <c r="I30">
        <v>6.8000000000000005E-2</v>
      </c>
      <c r="K30" s="1">
        <f t="shared" si="0"/>
        <v>2.6640000000000001</v>
      </c>
      <c r="L30" s="1">
        <f t="shared" si="1"/>
        <v>1.3320000000000001</v>
      </c>
    </row>
    <row r="31" spans="1:12" x14ac:dyDescent="0.2">
      <c r="A31">
        <v>1.0149999999999999</v>
      </c>
      <c r="B31" t="s">
        <v>231</v>
      </c>
      <c r="C31">
        <v>0.90300000000000002</v>
      </c>
      <c r="D31">
        <v>0.45500000000000002</v>
      </c>
      <c r="E31">
        <v>0.44400000000000001</v>
      </c>
      <c r="F31">
        <v>3.0550000000000002</v>
      </c>
      <c r="G31">
        <v>0.53900000000000003</v>
      </c>
      <c r="H31" t="s">
        <v>231</v>
      </c>
      <c r="I31">
        <v>0.107</v>
      </c>
      <c r="K31" s="1">
        <f t="shared" si="0"/>
        <v>5.5030000000000001</v>
      </c>
      <c r="L31" s="1">
        <f t="shared" si="1"/>
        <v>2.7515000000000001</v>
      </c>
    </row>
    <row r="32" spans="1:12" x14ac:dyDescent="0.2">
      <c r="A32">
        <v>0.94799999999999995</v>
      </c>
      <c r="B32" t="s">
        <v>231</v>
      </c>
      <c r="C32">
        <v>0.873</v>
      </c>
      <c r="D32">
        <v>0.36599999999999999</v>
      </c>
      <c r="E32">
        <v>0.629</v>
      </c>
      <c r="F32">
        <v>2.9889999999999999</v>
      </c>
      <c r="G32">
        <v>0.53300000000000003</v>
      </c>
      <c r="H32" t="s">
        <v>231</v>
      </c>
      <c r="I32">
        <v>0.14099999999999999</v>
      </c>
      <c r="K32" s="1">
        <f t="shared" ref="K32" si="2">SUM(B32:I32)</f>
        <v>5.5309999999999997</v>
      </c>
      <c r="L32" s="1">
        <f t="shared" ref="L32" si="3">K32*0.5</f>
        <v>2.7654999999999998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D6DE-8D36-4F42-959E-AB82579DD34C}">
  <dimension ref="A1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55C7-FA34-415A-BD70-C746B204F089}">
  <dimension ref="A1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2025-01-24T21:22:54Z</dcterms:created>
  <dcterms:modified xsi:type="dcterms:W3CDTF">2025-03-03T18:33:50Z</dcterms:modified>
</cp:coreProperties>
</file>