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0/"/>
    </mc:Choice>
  </mc:AlternateContent>
  <xr:revisionPtr revIDLastSave="44" documentId="8_{19958CF9-0227-BC4D-96F4-9EABFEB8264C}" xr6:coauthVersionLast="47" xr6:coauthVersionMax="47" xr10:uidLastSave="{F809C125-8039-3143-AABC-7D5BF2FAEAC5}"/>
  <bookViews>
    <workbookView xWindow="0" yWindow="0" windowWidth="38400" windowHeight="21600" activeTab="5" xr2:uid="{467FAEBE-09CE-C84B-9320-9BCFBE0ACA4E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S" sheetId="9" r:id="rId7"/>
    <sheet name="questions" sheetId="7" r:id="rId8"/>
    <sheet name="seedCultureNotes" sheetId="8" r:id="rId9"/>
  </sheets>
  <definedNames>
    <definedName name="_xlnm._FilterDatabase" localSheetId="5" hidden="1">data!$A$13:$BX$67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7" i="6" l="1"/>
  <c r="AG36" i="6"/>
  <c r="AG35" i="6"/>
  <c r="AG34" i="6"/>
  <c r="AG33" i="6"/>
  <c r="AG32" i="6"/>
  <c r="AG31" i="6"/>
  <c r="AG30" i="6"/>
  <c r="AG29" i="6"/>
  <c r="AG28" i="6"/>
  <c r="AG27" i="6"/>
  <c r="AG26" i="6"/>
  <c r="AG25" i="6"/>
  <c r="AG24" i="6"/>
  <c r="AG21" i="6"/>
  <c r="AG20" i="6"/>
  <c r="AG19" i="6"/>
  <c r="AG18" i="6"/>
  <c r="AG17" i="6"/>
  <c r="AG16" i="6"/>
  <c r="AF17" i="6"/>
  <c r="AF18" i="6"/>
  <c r="AF19" i="6"/>
  <c r="AF20" i="6"/>
  <c r="AF21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16" i="6"/>
  <c r="AQ21" i="6" l="1"/>
  <c r="AQ20" i="6"/>
  <c r="BG20" i="6" s="1"/>
  <c r="AQ19" i="6"/>
  <c r="AQ18" i="6"/>
  <c r="BG18" i="6" s="1"/>
  <c r="AQ17" i="6"/>
  <c r="BG17" i="6" s="1"/>
  <c r="AQ16" i="6"/>
  <c r="BG16" i="6" s="1"/>
  <c r="AQ15" i="6"/>
  <c r="AQ14" i="6"/>
  <c r="AR37" i="6"/>
  <c r="AM37" i="6" s="1"/>
  <c r="AR35" i="6"/>
  <c r="BK35" i="6" s="1"/>
  <c r="AR33" i="6"/>
  <c r="AI35" i="6" s="1"/>
  <c r="AJ35" i="6" s="1"/>
  <c r="AE16" i="6"/>
  <c r="AE17" i="6"/>
  <c r="AE18" i="6"/>
  <c r="AE19" i="6"/>
  <c r="AE20" i="6"/>
  <c r="AE21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L127" i="9"/>
  <c r="N127" i="9" s="1"/>
  <c r="L128" i="9"/>
  <c r="N128" i="9" s="1"/>
  <c r="L129" i="9"/>
  <c r="N129" i="9"/>
  <c r="L130" i="9"/>
  <c r="N130" i="9"/>
  <c r="L131" i="9"/>
  <c r="N131" i="9" s="1"/>
  <c r="L132" i="9"/>
  <c r="N132" i="9"/>
  <c r="L133" i="9"/>
  <c r="N133" i="9"/>
  <c r="L134" i="9"/>
  <c r="N134" i="9"/>
  <c r="L135" i="9"/>
  <c r="N135" i="9"/>
  <c r="L136" i="9"/>
  <c r="N136" i="9" s="1"/>
  <c r="L137" i="9"/>
  <c r="N137" i="9"/>
  <c r="L138" i="9"/>
  <c r="N138" i="9"/>
  <c r="L139" i="9"/>
  <c r="N139" i="9" s="1"/>
  <c r="L140" i="9"/>
  <c r="N140" i="9"/>
  <c r="L141" i="9"/>
  <c r="N141" i="9"/>
  <c r="L142" i="9"/>
  <c r="N142" i="9"/>
  <c r="L143" i="9"/>
  <c r="N143" i="9"/>
  <c r="L144" i="9"/>
  <c r="N144" i="9"/>
  <c r="L145" i="9"/>
  <c r="N145" i="9"/>
  <c r="L146" i="9"/>
  <c r="N146" i="9"/>
  <c r="AB37" i="6"/>
  <c r="AC37" i="6" s="1"/>
  <c r="AB36" i="6"/>
  <c r="AC36" i="6" s="1"/>
  <c r="AN36" i="6" s="1"/>
  <c r="AB35" i="6"/>
  <c r="AC35" i="6" s="1"/>
  <c r="AN35" i="6" s="1"/>
  <c r="AB34" i="6"/>
  <c r="AC34" i="6" s="1"/>
  <c r="AN34" i="6" s="1"/>
  <c r="AB33" i="6"/>
  <c r="AC33" i="6" s="1"/>
  <c r="AN33" i="6" s="1"/>
  <c r="AB32" i="6"/>
  <c r="AC32" i="6" s="1"/>
  <c r="AH32" i="6" s="1"/>
  <c r="AB31" i="6"/>
  <c r="AC31" i="6" s="1"/>
  <c r="AH31" i="6" s="1"/>
  <c r="AB30" i="6"/>
  <c r="AC30" i="6" s="1"/>
  <c r="AN30" i="6" s="1"/>
  <c r="AB29" i="6"/>
  <c r="AC29" i="6" s="1"/>
  <c r="AN29" i="6" s="1"/>
  <c r="AB28" i="6"/>
  <c r="AC28" i="6" s="1"/>
  <c r="AB27" i="6"/>
  <c r="AC27" i="6" s="1"/>
  <c r="AB26" i="6"/>
  <c r="AC26" i="6" s="1"/>
  <c r="AN26" i="6" s="1"/>
  <c r="AB25" i="6"/>
  <c r="AC25" i="6" s="1"/>
  <c r="AN25" i="6" s="1"/>
  <c r="AB24" i="6"/>
  <c r="AC24" i="6" s="1"/>
  <c r="AB17" i="6"/>
  <c r="AC17" i="6" s="1"/>
  <c r="AH17" i="6" s="1"/>
  <c r="AB18" i="6"/>
  <c r="AC18" i="6" s="1"/>
  <c r="AH18" i="6" s="1"/>
  <c r="AB19" i="6"/>
  <c r="AC19" i="6" s="1"/>
  <c r="AN19" i="6" s="1"/>
  <c r="AB20" i="6"/>
  <c r="AC20" i="6" s="1"/>
  <c r="AB21" i="6"/>
  <c r="AC21" i="6" s="1"/>
  <c r="AN21" i="6" s="1"/>
  <c r="AB16" i="6"/>
  <c r="AC16" i="6" s="1"/>
  <c r="AN16" i="6" s="1"/>
  <c r="BE30" i="6"/>
  <c r="BE31" i="6"/>
  <c r="BE32" i="6"/>
  <c r="BE33" i="6"/>
  <c r="BE34" i="6"/>
  <c r="BE35" i="6"/>
  <c r="BE36" i="6"/>
  <c r="BE37" i="6"/>
  <c r="BE15" i="6"/>
  <c r="BE16" i="6"/>
  <c r="BE17" i="6"/>
  <c r="BE18" i="6"/>
  <c r="BE19" i="6"/>
  <c r="BE20" i="6"/>
  <c r="BE21" i="6"/>
  <c r="BE22" i="6"/>
  <c r="BE23" i="6"/>
  <c r="BE24" i="6"/>
  <c r="BE25" i="6"/>
  <c r="BE26" i="6"/>
  <c r="BE27" i="6"/>
  <c r="BE28" i="6"/>
  <c r="BE29" i="6"/>
  <c r="BE14" i="6"/>
  <c r="BC30" i="6"/>
  <c r="BC31" i="6"/>
  <c r="BC32" i="6"/>
  <c r="BC33" i="6"/>
  <c r="BC34" i="6"/>
  <c r="BC35" i="6"/>
  <c r="BC36" i="6"/>
  <c r="BC37" i="6"/>
  <c r="AP15" i="6"/>
  <c r="AS15" i="6"/>
  <c r="AT15" i="6"/>
  <c r="AU15" i="6"/>
  <c r="AV15" i="6"/>
  <c r="AW15" i="6"/>
  <c r="AX15" i="6"/>
  <c r="AY15" i="6"/>
  <c r="AZ15" i="6"/>
  <c r="BA15" i="6"/>
  <c r="AP16" i="6"/>
  <c r="AR16" i="6"/>
  <c r="BK16" i="6" s="1"/>
  <c r="BN16" i="6" s="1"/>
  <c r="BO16" i="6" s="1"/>
  <c r="AS16" i="6"/>
  <c r="AT16" i="6"/>
  <c r="AU16" i="6"/>
  <c r="AV16" i="6"/>
  <c r="AW16" i="6"/>
  <c r="AX16" i="6"/>
  <c r="AY16" i="6"/>
  <c r="AZ16" i="6"/>
  <c r="BA16" i="6"/>
  <c r="AP17" i="6"/>
  <c r="AR17" i="6"/>
  <c r="BK17" i="6" s="1"/>
  <c r="AS17" i="6"/>
  <c r="AT17" i="6"/>
  <c r="AU17" i="6"/>
  <c r="AV17" i="6"/>
  <c r="AW17" i="6"/>
  <c r="AX17" i="6"/>
  <c r="AY17" i="6"/>
  <c r="AZ17" i="6"/>
  <c r="BA17" i="6"/>
  <c r="AP18" i="6"/>
  <c r="AR18" i="6"/>
  <c r="BK18" i="6" s="1"/>
  <c r="BM18" i="6" s="1"/>
  <c r="AS18" i="6"/>
  <c r="AT18" i="6"/>
  <c r="AU18" i="6"/>
  <c r="AV18" i="6"/>
  <c r="AW18" i="6"/>
  <c r="AX18" i="6"/>
  <c r="AY18" i="6"/>
  <c r="AZ18" i="6"/>
  <c r="BA18" i="6"/>
  <c r="AP19" i="6"/>
  <c r="AR19" i="6"/>
  <c r="BK19" i="6" s="1"/>
  <c r="BM19" i="6" s="1"/>
  <c r="AS19" i="6"/>
  <c r="AT19" i="6"/>
  <c r="AU19" i="6"/>
  <c r="AV19" i="6"/>
  <c r="AW19" i="6"/>
  <c r="AX19" i="6"/>
  <c r="AY19" i="6"/>
  <c r="AZ19" i="6"/>
  <c r="BA19" i="6"/>
  <c r="AP20" i="6"/>
  <c r="AR20" i="6"/>
  <c r="BK20" i="6" s="1"/>
  <c r="BM20" i="6" s="1"/>
  <c r="AS20" i="6"/>
  <c r="AT20" i="6"/>
  <c r="AU20" i="6"/>
  <c r="AV20" i="6"/>
  <c r="AW20" i="6"/>
  <c r="AX20" i="6"/>
  <c r="AY20" i="6"/>
  <c r="AZ20" i="6"/>
  <c r="BA20" i="6"/>
  <c r="AP21" i="6"/>
  <c r="AR21" i="6"/>
  <c r="BK21" i="6" s="1"/>
  <c r="AS21" i="6"/>
  <c r="AT21" i="6"/>
  <c r="AU21" i="6"/>
  <c r="AV21" i="6"/>
  <c r="AW21" i="6"/>
  <c r="AX21" i="6"/>
  <c r="AY21" i="6"/>
  <c r="AZ21" i="6"/>
  <c r="BA21" i="6"/>
  <c r="AP22" i="6"/>
  <c r="AQ22" i="6"/>
  <c r="BG22" i="6" s="1"/>
  <c r="AR22" i="6"/>
  <c r="AS22" i="6"/>
  <c r="AT22" i="6"/>
  <c r="AU22" i="6"/>
  <c r="AV22" i="6"/>
  <c r="AW22" i="6"/>
  <c r="AX22" i="6"/>
  <c r="AY22" i="6"/>
  <c r="AZ22" i="6"/>
  <c r="BA22" i="6"/>
  <c r="AP23" i="6"/>
  <c r="AQ23" i="6"/>
  <c r="BG23" i="6" s="1"/>
  <c r="AR23" i="6"/>
  <c r="AS23" i="6"/>
  <c r="AT23" i="6"/>
  <c r="AU23" i="6"/>
  <c r="AV23" i="6"/>
  <c r="AW23" i="6"/>
  <c r="AX23" i="6"/>
  <c r="AY23" i="6"/>
  <c r="AZ23" i="6"/>
  <c r="BA23" i="6"/>
  <c r="AP24" i="6"/>
  <c r="AQ24" i="6"/>
  <c r="BG24" i="6" s="1"/>
  <c r="AR24" i="6"/>
  <c r="BK24" i="6" s="1"/>
  <c r="BM24" i="6" s="1"/>
  <c r="AS24" i="6"/>
  <c r="AT24" i="6"/>
  <c r="AU24" i="6"/>
  <c r="AV24" i="6"/>
  <c r="AW24" i="6"/>
  <c r="AX24" i="6"/>
  <c r="AY24" i="6"/>
  <c r="AZ24" i="6"/>
  <c r="BA24" i="6"/>
  <c r="AP25" i="6"/>
  <c r="AQ25" i="6"/>
  <c r="BG25" i="6" s="1"/>
  <c r="AR25" i="6"/>
  <c r="BK25" i="6" s="1"/>
  <c r="BM25" i="6" s="1"/>
  <c r="AS25" i="6"/>
  <c r="AT25" i="6"/>
  <c r="AU25" i="6"/>
  <c r="AV25" i="6"/>
  <c r="AW25" i="6"/>
  <c r="AX25" i="6"/>
  <c r="AY25" i="6"/>
  <c r="AZ25" i="6"/>
  <c r="BA25" i="6"/>
  <c r="AP26" i="6"/>
  <c r="AQ26" i="6"/>
  <c r="BG26" i="6" s="1"/>
  <c r="AR26" i="6"/>
  <c r="BK26" i="6" s="1"/>
  <c r="AS26" i="6"/>
  <c r="AT26" i="6"/>
  <c r="AU26" i="6"/>
  <c r="AV26" i="6"/>
  <c r="AW26" i="6"/>
  <c r="AX26" i="6"/>
  <c r="AY26" i="6"/>
  <c r="AZ26" i="6"/>
  <c r="BA26" i="6"/>
  <c r="AP27" i="6"/>
  <c r="AQ27" i="6"/>
  <c r="BG27" i="6" s="1"/>
  <c r="AR27" i="6"/>
  <c r="BK27" i="6" s="1"/>
  <c r="AS27" i="6"/>
  <c r="AT27" i="6"/>
  <c r="AU27" i="6"/>
  <c r="AV27" i="6"/>
  <c r="AW27" i="6"/>
  <c r="AX27" i="6"/>
  <c r="AY27" i="6"/>
  <c r="AZ27" i="6"/>
  <c r="BA27" i="6"/>
  <c r="AP28" i="6"/>
  <c r="AQ28" i="6"/>
  <c r="BG28" i="6" s="1"/>
  <c r="AR28" i="6"/>
  <c r="BK28" i="6" s="1"/>
  <c r="AS28" i="6"/>
  <c r="AT28" i="6"/>
  <c r="AU28" i="6"/>
  <c r="AV28" i="6"/>
  <c r="AW28" i="6"/>
  <c r="AX28" i="6"/>
  <c r="AY28" i="6"/>
  <c r="AZ28" i="6"/>
  <c r="BA28" i="6"/>
  <c r="AP29" i="6"/>
  <c r="AQ29" i="6"/>
  <c r="BG29" i="6" s="1"/>
  <c r="AR29" i="6"/>
  <c r="BK29" i="6" s="1"/>
  <c r="BM29" i="6" s="1"/>
  <c r="AS29" i="6"/>
  <c r="AT29" i="6"/>
  <c r="AU29" i="6"/>
  <c r="AV29" i="6"/>
  <c r="AW29" i="6"/>
  <c r="AX29" i="6"/>
  <c r="AY29" i="6"/>
  <c r="AZ29" i="6"/>
  <c r="BA29" i="6"/>
  <c r="AP30" i="6"/>
  <c r="AQ30" i="6"/>
  <c r="BG30" i="6" s="1"/>
  <c r="AR30" i="6"/>
  <c r="BK30" i="6" s="1"/>
  <c r="AS30" i="6"/>
  <c r="AT30" i="6"/>
  <c r="AU30" i="6"/>
  <c r="AV30" i="6"/>
  <c r="AW30" i="6"/>
  <c r="AX30" i="6"/>
  <c r="AY30" i="6"/>
  <c r="AZ30" i="6"/>
  <c r="BA30" i="6"/>
  <c r="AP31" i="6"/>
  <c r="AQ31" i="6"/>
  <c r="BG31" i="6" s="1"/>
  <c r="AR31" i="6"/>
  <c r="BK31" i="6" s="1"/>
  <c r="AS31" i="6"/>
  <c r="AT31" i="6"/>
  <c r="AU31" i="6"/>
  <c r="AV31" i="6"/>
  <c r="AW31" i="6"/>
  <c r="AX31" i="6"/>
  <c r="AY31" i="6"/>
  <c r="AZ31" i="6"/>
  <c r="BA31" i="6"/>
  <c r="AP32" i="6"/>
  <c r="AQ32" i="6"/>
  <c r="BG32" i="6" s="1"/>
  <c r="AR32" i="6"/>
  <c r="BK32" i="6" s="1"/>
  <c r="AS32" i="6"/>
  <c r="AT32" i="6"/>
  <c r="AU32" i="6"/>
  <c r="AV32" i="6"/>
  <c r="AW32" i="6"/>
  <c r="AX32" i="6"/>
  <c r="AY32" i="6"/>
  <c r="AZ32" i="6"/>
  <c r="BA32" i="6"/>
  <c r="AP33" i="6"/>
  <c r="AQ33" i="6"/>
  <c r="BG33" i="6" s="1"/>
  <c r="AS33" i="6"/>
  <c r="AT33" i="6"/>
  <c r="AU33" i="6"/>
  <c r="AV33" i="6"/>
  <c r="AW33" i="6"/>
  <c r="AX33" i="6"/>
  <c r="AY33" i="6"/>
  <c r="AZ33" i="6"/>
  <c r="BA33" i="6"/>
  <c r="AP34" i="6"/>
  <c r="AQ34" i="6"/>
  <c r="BG34" i="6" s="1"/>
  <c r="AR34" i="6"/>
  <c r="BK34" i="6" s="1"/>
  <c r="AS34" i="6"/>
  <c r="AT34" i="6"/>
  <c r="AU34" i="6"/>
  <c r="AV34" i="6"/>
  <c r="AW34" i="6"/>
  <c r="AX34" i="6"/>
  <c r="AY34" i="6"/>
  <c r="AZ34" i="6"/>
  <c r="BA34" i="6"/>
  <c r="AP35" i="6"/>
  <c r="AQ35" i="6"/>
  <c r="BG35" i="6" s="1"/>
  <c r="AS35" i="6"/>
  <c r="AT35" i="6"/>
  <c r="AU35" i="6"/>
  <c r="AV35" i="6"/>
  <c r="AW35" i="6"/>
  <c r="AX35" i="6"/>
  <c r="AY35" i="6"/>
  <c r="AZ35" i="6"/>
  <c r="BA35" i="6"/>
  <c r="AP36" i="6"/>
  <c r="AQ36" i="6"/>
  <c r="AO36" i="6" s="1"/>
  <c r="AR36" i="6"/>
  <c r="AM36" i="6" s="1"/>
  <c r="AS36" i="6"/>
  <c r="AT36" i="6"/>
  <c r="AU36" i="6"/>
  <c r="AV36" i="6"/>
  <c r="AW36" i="6"/>
  <c r="AX36" i="6"/>
  <c r="AY36" i="6"/>
  <c r="AZ36" i="6"/>
  <c r="BA36" i="6"/>
  <c r="AP37" i="6"/>
  <c r="AQ37" i="6"/>
  <c r="AO37" i="6" s="1"/>
  <c r="AS37" i="6"/>
  <c r="AT37" i="6"/>
  <c r="AU37" i="6"/>
  <c r="AV37" i="6"/>
  <c r="AW37" i="6"/>
  <c r="AX37" i="6"/>
  <c r="AY37" i="6"/>
  <c r="AZ37" i="6"/>
  <c r="BA37" i="6"/>
  <c r="BA14" i="6"/>
  <c r="AZ14" i="6"/>
  <c r="AY14" i="6"/>
  <c r="AX14" i="6"/>
  <c r="AW14" i="6"/>
  <c r="AV14" i="6"/>
  <c r="AU14" i="6"/>
  <c r="AT14" i="6"/>
  <c r="AS14" i="6"/>
  <c r="AP14" i="6"/>
  <c r="L12" i="2"/>
  <c r="J19" i="2"/>
  <c r="H19" i="2"/>
  <c r="L7" i="2"/>
  <c r="L19" i="2"/>
  <c r="K7" i="2"/>
  <c r="J7" i="2"/>
  <c r="H7" i="2" s="1"/>
  <c r="H12" i="2"/>
  <c r="K12" i="2"/>
  <c r="J12" i="2"/>
  <c r="K19" i="2"/>
  <c r="I19" i="2"/>
  <c r="G19" i="2"/>
  <c r="AL19" i="6" l="1"/>
  <c r="AL21" i="6"/>
  <c r="AH27" i="6"/>
  <c r="AH37" i="6"/>
  <c r="AH28" i="6"/>
  <c r="AH35" i="6"/>
  <c r="AH24" i="6"/>
  <c r="AK24" i="6" s="1"/>
  <c r="AN24" i="6"/>
  <c r="AH20" i="6"/>
  <c r="AI20" i="6"/>
  <c r="AJ20" i="6" s="1"/>
  <c r="AK20" i="6" s="1"/>
  <c r="AL26" i="6"/>
  <c r="AL36" i="6"/>
  <c r="AM29" i="6"/>
  <c r="AM17" i="6"/>
  <c r="AO27" i="6"/>
  <c r="AL27" i="6"/>
  <c r="AL37" i="6"/>
  <c r="AM28" i="6"/>
  <c r="AO16" i="6"/>
  <c r="AO28" i="6"/>
  <c r="AL28" i="6"/>
  <c r="AH16" i="6"/>
  <c r="AN27" i="6"/>
  <c r="AN37" i="6"/>
  <c r="AM27" i="6"/>
  <c r="AO17" i="6"/>
  <c r="AO29" i="6"/>
  <c r="AL29" i="6"/>
  <c r="AN28" i="6"/>
  <c r="AM16" i="6"/>
  <c r="AM26" i="6"/>
  <c r="AO18" i="6"/>
  <c r="AO32" i="6"/>
  <c r="AL24" i="6"/>
  <c r="AN17" i="6"/>
  <c r="AM25" i="6"/>
  <c r="AO19" i="6"/>
  <c r="AO33" i="6"/>
  <c r="BG19" i="6"/>
  <c r="AH34" i="6"/>
  <c r="AH33" i="6"/>
  <c r="AL17" i="6"/>
  <c r="AL25" i="6"/>
  <c r="AN18" i="6"/>
  <c r="AM24" i="6"/>
  <c r="AO20" i="6"/>
  <c r="AO34" i="6"/>
  <c r="BK33" i="6"/>
  <c r="BM33" i="6" s="1"/>
  <c r="AH26" i="6"/>
  <c r="AK26" i="6" s="1"/>
  <c r="AH36" i="6"/>
  <c r="AH19" i="6"/>
  <c r="AL18" i="6"/>
  <c r="AL32" i="6"/>
  <c r="AN31" i="6"/>
  <c r="AM35" i="6"/>
  <c r="AM21" i="6"/>
  <c r="AO21" i="6"/>
  <c r="AO35" i="6"/>
  <c r="BG21" i="6"/>
  <c r="AL33" i="6"/>
  <c r="AN20" i="6"/>
  <c r="AN32" i="6"/>
  <c r="AM34" i="6"/>
  <c r="AM20" i="6"/>
  <c r="AO24" i="6"/>
  <c r="AI37" i="6"/>
  <c r="AJ37" i="6" s="1"/>
  <c r="AH25" i="6"/>
  <c r="AL20" i="6"/>
  <c r="AL34" i="6"/>
  <c r="AM33" i="6"/>
  <c r="AM19" i="6"/>
  <c r="AO25" i="6"/>
  <c r="AH21" i="6"/>
  <c r="AH29" i="6"/>
  <c r="AL35" i="6"/>
  <c r="AM32" i="6"/>
  <c r="AM18" i="6"/>
  <c r="AO26" i="6"/>
  <c r="AK35" i="6"/>
  <c r="AK32" i="6"/>
  <c r="AI21" i="6"/>
  <c r="AJ21" i="6" s="1"/>
  <c r="AK21" i="6" s="1"/>
  <c r="AI33" i="6"/>
  <c r="AJ33" i="6" s="1"/>
  <c r="AI19" i="6"/>
  <c r="AJ19" i="6" s="1"/>
  <c r="AH30" i="6"/>
  <c r="AI16" i="6"/>
  <c r="AJ16" i="6" s="1"/>
  <c r="AI18" i="6"/>
  <c r="AJ18" i="6" s="1"/>
  <c r="AK18" i="6" s="1"/>
  <c r="AI36" i="6"/>
  <c r="AJ36" i="6" s="1"/>
  <c r="AI17" i="6"/>
  <c r="AJ17" i="6" s="1"/>
  <c r="AI24" i="6"/>
  <c r="AJ24" i="6" s="1"/>
  <c r="AI25" i="6"/>
  <c r="AJ25" i="6" s="1"/>
  <c r="AI28" i="6"/>
  <c r="AJ28" i="6" s="1"/>
  <c r="AI27" i="6"/>
  <c r="AJ27" i="6" s="1"/>
  <c r="AK27" i="6" s="1"/>
  <c r="AI29" i="6"/>
  <c r="AJ29" i="6" s="1"/>
  <c r="AI26" i="6"/>
  <c r="AJ26" i="6" s="1"/>
  <c r="AI32" i="6"/>
  <c r="AJ32" i="6" s="1"/>
  <c r="AI34" i="6"/>
  <c r="AJ34" i="6" s="1"/>
  <c r="G12" i="2"/>
  <c r="BN24" i="6"/>
  <c r="BO24" i="6" s="1"/>
  <c r="BN31" i="6"/>
  <c r="BO31" i="6" s="1"/>
  <c r="BM31" i="6"/>
  <c r="BN30" i="6"/>
  <c r="BO30" i="6" s="1"/>
  <c r="BM30" i="6"/>
  <c r="BM28" i="6"/>
  <c r="BN28" i="6"/>
  <c r="BO28" i="6" s="1"/>
  <c r="BN32" i="6"/>
  <c r="BO32" i="6" s="1"/>
  <c r="BM32" i="6"/>
  <c r="BN29" i="6"/>
  <c r="BO29" i="6" s="1"/>
  <c r="BM27" i="6"/>
  <c r="BN27" i="6"/>
  <c r="BO27" i="6" s="1"/>
  <c r="BN17" i="6"/>
  <c r="BO17" i="6" s="1"/>
  <c r="BM17" i="6"/>
  <c r="BM26" i="6"/>
  <c r="BN26" i="6"/>
  <c r="BO26" i="6" s="1"/>
  <c r="BN25" i="6"/>
  <c r="BO25" i="6" s="1"/>
  <c r="BM21" i="6"/>
  <c r="BN35" i="6"/>
  <c r="BO35" i="6" s="1"/>
  <c r="BM35" i="6"/>
  <c r="BN34" i="6"/>
  <c r="BO34" i="6" s="1"/>
  <c r="BM34" i="6"/>
  <c r="BM16" i="6"/>
  <c r="I12" i="2"/>
  <c r="I7" i="2"/>
  <c r="BC27" i="6"/>
  <c r="BC28" i="6"/>
  <c r="BC29" i="6"/>
  <c r="BN33" i="6" l="1"/>
  <c r="BO33" i="6" s="1"/>
  <c r="AK25" i="6"/>
  <c r="AK36" i="6"/>
  <c r="AK34" i="6"/>
  <c r="AK29" i="6"/>
  <c r="AK28" i="6"/>
  <c r="AK19" i="6"/>
  <c r="AK33" i="6"/>
  <c r="G7" i="2"/>
  <c r="U71" i="6"/>
  <c r="BC26" i="6"/>
  <c r="BC25" i="6"/>
  <c r="BC24" i="6"/>
  <c r="BC23" i="6"/>
  <c r="BC22" i="6"/>
  <c r="BC21" i="6"/>
  <c r="BC20" i="6"/>
  <c r="BC19" i="6"/>
  <c r="BC18" i="6"/>
  <c r="BP17" i="6"/>
  <c r="BC17" i="6"/>
  <c r="BP16" i="6"/>
  <c r="BC16" i="6"/>
  <c r="BC15" i="6"/>
  <c r="BC14" i="6"/>
  <c r="BN18" i="6" l="1"/>
  <c r="BO18" i="6" s="1"/>
  <c r="BN19" i="6"/>
  <c r="BO19" i="6" s="1"/>
  <c r="BN20" i="6"/>
  <c r="BO20" i="6" s="1"/>
  <c r="BN21" i="6"/>
  <c r="BO21" i="6" s="1"/>
  <c r="BQ17" i="6" l="1"/>
  <c r="BQ16" i="6"/>
  <c r="T35" i="2"/>
  <c r="X24" i="2"/>
  <c r="T21" i="2"/>
  <c r="T11" i="2"/>
  <c r="AB4" i="2"/>
  <c r="AB3" i="2"/>
  <c r="D19" i="5" l="1"/>
  <c r="D13" i="5"/>
  <c r="D16" i="5" l="1"/>
</calcChain>
</file>

<file path=xl/sharedStrings.xml><?xml version="1.0" encoding="utf-8"?>
<sst xmlns="http://schemas.openxmlformats.org/spreadsheetml/2006/main" count="1589" uniqueCount="400">
  <si>
    <t>Medium</t>
  </si>
  <si>
    <t>Initial Medium.</t>
  </si>
  <si>
    <t>Agitation Propellers.</t>
  </si>
  <si>
    <t xml:space="preserve">Adjusted propellers to account for feeding of liquid into the medium. 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</si>
  <si>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</si>
  <si>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</si>
  <si>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</si>
  <si>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</si>
  <si>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</si>
  <si>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</si>
  <si>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</si>
  <si>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</si>
  <si>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R1</t>
  </si>
  <si>
    <t>#</t>
  </si>
  <si>
    <t>Results in g/L</t>
  </si>
  <si>
    <t>SampleName</t>
  </si>
  <si>
    <t>Citric Acid</t>
  </si>
  <si>
    <t>Glucose</t>
  </si>
  <si>
    <t>Xylose</t>
  </si>
  <si>
    <t>Erythritol</t>
  </si>
  <si>
    <t>Lactic Acid</t>
  </si>
  <si>
    <t>Glycerol</t>
  </si>
  <si>
    <t>Acetic Acid</t>
  </si>
  <si>
    <t>-</t>
  </si>
  <si>
    <t>sugar consumed (g/L)</t>
  </si>
  <si>
    <t>sugar consumption rates (g/L/h)</t>
  </si>
  <si>
    <t>Calculations</t>
  </si>
  <si>
    <t>pre</t>
  </si>
  <si>
    <t>post</t>
  </si>
  <si>
    <t>DCW (g/L)</t>
  </si>
  <si>
    <t>date</t>
  </si>
  <si>
    <t>2 cm from bottom for bottom impeller</t>
  </si>
  <si>
    <t>4 cm from bottom impeller for top impeller</t>
  </si>
  <si>
    <t>Calculated volume ~ 1.47 L</t>
  </si>
  <si>
    <t>Final volume ~ 1.25 L</t>
  </si>
  <si>
    <t>mL evaporated</t>
  </si>
  <si>
    <t>L</t>
  </si>
  <si>
    <t>h fermented</t>
  </si>
  <si>
    <t>mL evaporated per hour</t>
  </si>
  <si>
    <t>mL total</t>
  </si>
  <si>
    <t>times more titer at the end</t>
  </si>
  <si>
    <t>estimated titer with evaporation</t>
  </si>
  <si>
    <t>BlueVary start</t>
  </si>
  <si>
    <t>CO2 value</t>
  </si>
  <si>
    <t>O2 value</t>
  </si>
  <si>
    <t>total sugar (g/L)</t>
  </si>
  <si>
    <t>equivilant titer (g/L)</t>
  </si>
  <si>
    <t>r1</t>
  </si>
  <si>
    <t>r2</t>
  </si>
  <si>
    <t>BLANK</t>
  </si>
  <si>
    <t>R2</t>
  </si>
  <si>
    <t>2 mL YPD O/N</t>
  </si>
  <si>
    <t>Reactor</t>
  </si>
  <si>
    <t>redford ratio</t>
  </si>
  <si>
    <t>C:N:P</t>
  </si>
  <si>
    <t>C/N</t>
  </si>
  <si>
    <t>YNB-glucose</t>
  </si>
  <si>
    <t>molecular weight (m.w., g/mol)</t>
  </si>
  <si>
    <t>Yeast Nitrogen Base W/out Amino acids and Ammonium Sulfate (product number Y1251)</t>
  </si>
  <si>
    <t>C/P</t>
  </si>
  <si>
    <t>Media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</si>
  <si>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</si>
  <si>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</si>
  <si>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</si>
  <si>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Conc (g/L)</t>
  </si>
  <si>
    <t>Component</t>
  </si>
  <si>
    <t>C/N ratio</t>
  </si>
  <si>
    <t>C/P ratio*</t>
  </si>
  <si>
    <t>N/P ratio*</t>
  </si>
  <si>
    <t>mol C</t>
  </si>
  <si>
    <t>mol N/L</t>
  </si>
  <si>
    <t>mol P/L</t>
  </si>
  <si>
    <t>Ammonium Sulfate</t>
  </si>
  <si>
    <t>molecular weight (g/mol)</t>
  </si>
  <si>
    <t>mol/L</t>
  </si>
  <si>
    <t>magnesium sulfate</t>
  </si>
  <si>
    <t>sodium chloride</t>
  </si>
  <si>
    <t>Acetate</t>
  </si>
  <si>
    <t>calcium chloride</t>
  </si>
  <si>
    <t>Citric acid</t>
  </si>
  <si>
    <t>g/L total</t>
  </si>
  <si>
    <t>YNB-glucose-AC</t>
  </si>
  <si>
    <t>Ammonium Chloride</t>
  </si>
  <si>
    <t>Trace elements</t>
  </si>
  <si>
    <t>urea</t>
  </si>
  <si>
    <t>Conc (µg/L)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</si>
  <si>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</si>
  <si>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</si>
  <si>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</si>
  <si>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</si>
  <si>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</si>
  <si>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</si>
  <si>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</si>
  <si>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</si>
  <si>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</si>
  <si>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</si>
  <si>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</si>
  <si>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</si>
  <si>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</si>
  <si>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</si>
  <si>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</si>
  <si>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</si>
  <si>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</si>
  <si>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Volume (no seed)</t>
  </si>
  <si>
    <t>Volume (w/seed)</t>
  </si>
  <si>
    <t>OD600 initial</t>
  </si>
  <si>
    <t>pH initial</t>
  </si>
  <si>
    <t>Time of inoculation</t>
  </si>
  <si>
    <t>date of Inoculation</t>
  </si>
  <si>
    <t xml:space="preserve">RPM control </t>
  </si>
  <si>
    <t>Aeration Control</t>
  </si>
  <si>
    <t>pH setpoint</t>
  </si>
  <si>
    <t>Species</t>
  </si>
  <si>
    <t>400 (0%)-600(50%)-800(100%)</t>
  </si>
  <si>
    <t>0.375 (0%)- 0.375 (50%) - 1.5 (100%)</t>
  </si>
  <si>
    <t>Ylp (W29)</t>
  </si>
  <si>
    <t>Note</t>
  </si>
  <si>
    <t>moxiflow</t>
  </si>
  <si>
    <t>DCW</t>
  </si>
  <si>
    <t>Trehalose</t>
  </si>
  <si>
    <t>Ethanol</t>
  </si>
  <si>
    <t>Oxalic Acid</t>
  </si>
  <si>
    <t>Succinic Acid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</si>
  <si>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</si>
  <si>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</si>
  <si>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</si>
  <si>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</si>
  <si>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</si>
  <si>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</si>
  <si>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</si>
  <si>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</si>
  <si>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volume</t>
  </si>
  <si>
    <t>weight (g)</t>
  </si>
  <si>
    <t>sugar consumed / timepoint</t>
  </si>
  <si>
    <t>specific sugar consumption rate (g/L/h)</t>
  </si>
  <si>
    <t xml:space="preserve">specifc biomass formation </t>
  </si>
  <si>
    <t>biomass yield</t>
  </si>
  <si>
    <t>Fumaric</t>
  </si>
  <si>
    <t>Fumaric Acid</t>
  </si>
  <si>
    <t>PPI Biostat Run #4.</t>
  </si>
  <si>
    <t>This biostat run examined effect of sixfor seed culture train for starting 2L growth.</t>
  </si>
  <si>
    <t>A seed culture was grown in the sixfors (250 mL, 400 rpm, 1 vvm, pH 5.6, 10% inoculation from YPD) over the weekend.</t>
  </si>
  <si>
    <t>the seed culture contained YNB50 C/N of either 40 or 60.</t>
  </si>
  <si>
    <t>* Oscillations observed. Changed setpoints and PID controls over first day.</t>
  </si>
  <si>
    <t>YNB - 50 glc, C/N 81</t>
  </si>
  <si>
    <t>*</t>
  </si>
  <si>
    <t>* changes in controls</t>
  </si>
  <si>
    <t>initial</t>
  </si>
  <si>
    <t>500 (0%)-600(50%)-800(100%)</t>
  </si>
  <si>
    <t>0.375 (0%)- 0.5 (25%) - 1.5 (100%)</t>
  </si>
  <si>
    <t xml:space="preserve">YNB Seeds. </t>
  </si>
  <si>
    <t>YNB 2 L</t>
  </si>
  <si>
    <t xml:space="preserve">**Overshot - check process variable. </t>
  </si>
  <si>
    <t>OD600 final</t>
  </si>
  <si>
    <t>Description</t>
  </si>
  <si>
    <t>seed is YNB50 - C/N 60</t>
  </si>
  <si>
    <t>seed is YNB50 - C/N 40</t>
  </si>
  <si>
    <t>file</t>
  </si>
  <si>
    <t>YNB50 - C/N 40</t>
  </si>
  <si>
    <t>YNB50 - C/N 60</t>
  </si>
  <si>
    <t>Ylip (W29)</t>
  </si>
  <si>
    <t>Temp setpoint ©</t>
  </si>
  <si>
    <t>*pH got down to 3.3, overshot to ~6.8</t>
  </si>
  <si>
    <t>1 vvm</t>
  </si>
  <si>
    <t>250 mL</t>
  </si>
  <si>
    <t xml:space="preserve">*pH overshot to ~6.8, probe appeared to be drifting, read low at first and drifted up slowly. </t>
  </si>
  <si>
    <t>PPI_SF_05</t>
  </si>
  <si>
    <t>Culture</t>
  </si>
  <si>
    <t>Initial seed</t>
  </si>
  <si>
    <t>Sixfor seed</t>
  </si>
  <si>
    <t>Biostat2L</t>
  </si>
  <si>
    <t>OD600 initial$</t>
  </si>
  <si>
    <t>0.484#</t>
  </si>
  <si>
    <t>#estimated initial OD</t>
  </si>
  <si>
    <t>seed for Biostat20_2L</t>
  </si>
  <si>
    <t>*OD only</t>
  </si>
  <si>
    <t>~5-6 h</t>
  </si>
  <si>
    <t>~20.5 h</t>
  </si>
  <si>
    <t>Kp from 90%--&gt;200%; Ki from 50 s --&gt; 90 s</t>
  </si>
  <si>
    <t>**</t>
  </si>
  <si>
    <t>SAMPLES ALSO RECORDED EVERY 1 second instead of 5 seconds.</t>
  </si>
  <si>
    <t>** based added, 37, 49 mL</t>
  </si>
  <si>
    <t>Jeff_SloHot50_Biostat 2L-20-3</t>
  </si>
  <si>
    <t xml:space="preserve"> </t>
  </si>
  <si>
    <t>Jeff_SloHot50_Biostat 2L-20-4</t>
  </si>
  <si>
    <t>Jeff_SloHot50_Biostat 2L-20-5</t>
  </si>
  <si>
    <t>Jeff_SloHot50_Biostat 2L-20-6</t>
  </si>
  <si>
    <t>Jeff_SloHot50_Biostat 2L-20-7</t>
  </si>
  <si>
    <t>Jeff_SloHot50_Biostat 2L-20-8</t>
  </si>
  <si>
    <t>Jeff_SloHot50_Biostat 2L-20-9</t>
  </si>
  <si>
    <t>Jeff_SloHot50_Biostat 2L-20-10</t>
  </si>
  <si>
    <t>Jeff_SloHot50_Biostat 2L-20-11</t>
  </si>
  <si>
    <t>Jeff_SloHot50_Biostat 2L-20-12</t>
  </si>
  <si>
    <t>Jeff_SloHot50_Biostat 2L-20-13</t>
  </si>
  <si>
    <t>Jeff_SloHot50_Biostat 2L-20-14</t>
  </si>
  <si>
    <t>Jeff_SloHot50_Biostat 2L-20-17</t>
  </si>
  <si>
    <t>Jeff_SloHot50_Biostat 2L-20-18</t>
  </si>
  <si>
    <t>Jeff_SloHot50_Biostat 2L-20-19</t>
  </si>
  <si>
    <t>Jeff_SloHot50_Biostat 2L-20-20</t>
  </si>
  <si>
    <t>Jeff_SloHot50_Biostat 2L-20-21</t>
  </si>
  <si>
    <t>Jeff_SloHot50_Biostat 2L-20-22</t>
  </si>
  <si>
    <t>Citrate titer</t>
  </si>
  <si>
    <t>N.D.</t>
  </si>
  <si>
    <t>mg/mL</t>
  </si>
  <si>
    <t>500 µL hexane</t>
  </si>
  <si>
    <t>sum (mg/mL)</t>
  </si>
  <si>
    <t>C24:0</t>
  </si>
  <si>
    <t>C21:0</t>
  </si>
  <si>
    <t>C18:2</t>
  </si>
  <si>
    <t>C18:1</t>
  </si>
  <si>
    <t>C18:0</t>
  </si>
  <si>
    <t>C16:1</t>
  </si>
  <si>
    <t>C16:0</t>
  </si>
  <si>
    <t>C14:0</t>
  </si>
  <si>
    <t>C13:0</t>
  </si>
  <si>
    <t>mg FAME</t>
  </si>
  <si>
    <t xml:space="preserve">FAMES_4_10_...lit_241031.M Fri Nov 08 09:12:47 2024   </t>
  </si>
  <si>
    <t xml:space="preserve">FAMES_4_10_...lit_241031.M Fri Nov 08 09:12:22 2024   </t>
  </si>
  <si>
    <t xml:space="preserve">FAMES_4_10_...lit_241031.M Fri Nov 08 09:11:23 2024   </t>
  </si>
  <si>
    <t xml:space="preserve">FAMES_4_10_...lit_241031.M Fri Nov 08 09:10:54 2024   </t>
  </si>
  <si>
    <t xml:space="preserve">FAMES_4_10_...lit_241031.M Fri Nov 08 09:10:20 2024   </t>
  </si>
  <si>
    <t xml:space="preserve">FAMES_4_10_...lit_241031.M Fri Nov 08 09:09:58 2024   </t>
  </si>
  <si>
    <t xml:space="preserve">FAMES_4_10_...lit_241031.M Fri Nov 08 09:09:07 2024   </t>
  </si>
  <si>
    <t xml:space="preserve">FAMES_4_10_...lit_241031.M Fri Nov 08 09:08:39 2024   </t>
  </si>
  <si>
    <t xml:space="preserve">FAMES_4_10_...lit_241031.M Fri Nov 08 09:07:27 2024   </t>
  </si>
  <si>
    <t xml:space="preserve">FAMES_4_10_...lit_241031.M Fri Nov 08 09:07:07 2024   </t>
  </si>
  <si>
    <t xml:space="preserve">FAMES_4_10_...lit_241031.M Fri Nov 08 09:06:36 2024   </t>
  </si>
  <si>
    <t xml:space="preserve">  (f)=RT Delta &gt; 1/2 Window                                (m)=manual int.</t>
  </si>
  <si>
    <t xml:space="preserve">   ---------------------------------------------------------------------------</t>
  </si>
  <si>
    <t>0.068      m</t>
  </si>
  <si>
    <t>9)</t>
  </si>
  <si>
    <t>0.083      m</t>
  </si>
  <si>
    <t>8)</t>
  </si>
  <si>
    <t>7)</t>
  </si>
  <si>
    <t>6)</t>
  </si>
  <si>
    <t>3.353      m</t>
  </si>
  <si>
    <t>3.947      m</t>
  </si>
  <si>
    <t>4.131      m</t>
  </si>
  <si>
    <t>3.761      m</t>
  </si>
  <si>
    <t>5)</t>
  </si>
  <si>
    <t>4)</t>
  </si>
  <si>
    <t>3)</t>
  </si>
  <si>
    <t>2)</t>
  </si>
  <si>
    <t>1)</t>
  </si>
  <si>
    <t xml:space="preserve">   Target Compounds</t>
  </si>
  <si>
    <t xml:space="preserve">          Compound                     R.T.       Response    Conc Units</t>
  </si>
  <si>
    <t xml:space="preserve">  Signal Info  : </t>
  </si>
  <si>
    <t xml:space="preserve">  Signal Phase : </t>
  </si>
  <si>
    <t xml:space="preserve">  Volume Inj.  : </t>
  </si>
  <si>
    <t xml:space="preserve">  Integrator: ChemStation</t>
  </si>
  <si>
    <t xml:space="preserve">  Response via : Initial Calibration</t>
  </si>
  <si>
    <t xml:space="preserve">  QLast Update : Fri Nov 08 08:00:02 2024</t>
  </si>
  <si>
    <t xml:space="preserve">  Quant Title  :  </t>
  </si>
  <si>
    <t xml:space="preserve">  Quant Method : D:\MassHunter\GCMS\1\methods\FAMES_4_10_to_1_split_241031.M</t>
  </si>
  <si>
    <t xml:space="preserve">  Quant Time: Nov 08 09:12:33 2024</t>
  </si>
  <si>
    <t xml:space="preserve">  Quant Time: Nov 08 09:11:34 2024</t>
  </si>
  <si>
    <t xml:space="preserve">  Quant Time: Nov 08 09:11:04 2024</t>
  </si>
  <si>
    <t xml:space="preserve">  Quant Time: Nov 08 09:10:33 2024</t>
  </si>
  <si>
    <t xml:space="preserve">  Quant Time: Nov 08 09:10:07 2024</t>
  </si>
  <si>
    <t xml:space="preserve">  Quant Time: Nov 08 09:09:36 2024</t>
  </si>
  <si>
    <t xml:space="preserve">  Quant Time: Nov 08 09:08:48 2024</t>
  </si>
  <si>
    <t xml:space="preserve">  Quant Time: Nov 08 09:08:15 2024</t>
  </si>
  <si>
    <t xml:space="preserve">  Quant Time: Nov 08 09:07:16 2024</t>
  </si>
  <si>
    <t xml:space="preserve">  Quant Time: Nov 08 09:06:53 2024</t>
  </si>
  <si>
    <t xml:space="preserve">  Quant Time: Nov 08 09:06:22 2024</t>
  </si>
  <si>
    <t xml:space="preserve">  Integration File: events.e</t>
  </si>
  <si>
    <t xml:space="preserve">  ALS Vial  : 44   Sample Multiplier: 1</t>
  </si>
  <si>
    <t xml:space="preserve">  ALS Vial  : 43   Sample Multiplier: 1</t>
  </si>
  <si>
    <t xml:space="preserve">  ALS Vial  : 42   Sample Multiplier: 1</t>
  </si>
  <si>
    <t xml:space="preserve">  ALS Vial  : 41   Sample Multiplier: 1</t>
  </si>
  <si>
    <t xml:space="preserve">  ALS Vial  : 40   Sample Multiplier: 1</t>
  </si>
  <si>
    <t xml:space="preserve">  ALS Vial  : 39   Sample Multiplier: 1</t>
  </si>
  <si>
    <t xml:space="preserve">  ALS Vial  : 38   Sample Multiplier: 1</t>
  </si>
  <si>
    <t xml:space="preserve">  ALS Vial  : 37   Sample Multiplier: 1</t>
  </si>
  <si>
    <t xml:space="preserve">  ALS Vial  : 36   Sample Multiplier: 1</t>
  </si>
  <si>
    <t xml:space="preserve">  ALS Vial  : 35   Sample Multiplier: 1</t>
  </si>
  <si>
    <t xml:space="preserve">  ALS Vial  : 34   Sample Multiplier: 1</t>
  </si>
  <si>
    <t xml:space="preserve">  Misc      :  </t>
  </si>
  <si>
    <t xml:space="preserve">  Sample    : BioStat-2L_20_22</t>
  </si>
  <si>
    <t xml:space="preserve">  Sample    : BioStat-2L_20_21</t>
  </si>
  <si>
    <t xml:space="preserve">  Sample    : BioStat-2L_20_20</t>
  </si>
  <si>
    <t xml:space="preserve">  Sample    : BioStat-2L_20_19</t>
  </si>
  <si>
    <t xml:space="preserve">  Sample    : BioStat-2L_20_18</t>
  </si>
  <si>
    <t xml:space="preserve">  Sample    : BioStat-2L_20_17</t>
  </si>
  <si>
    <t xml:space="preserve">  Sample    : BioStat-2L_20_16</t>
  </si>
  <si>
    <t xml:space="preserve">  Sample    : BioStat-2L_20_15</t>
  </si>
  <si>
    <t xml:space="preserve">  Sample    : BioStat-2L_20_14</t>
  </si>
  <si>
    <t xml:space="preserve">  Sample    : BioStat-2L_20_13</t>
  </si>
  <si>
    <t xml:space="preserve">  Sample    : BioStat-2L_20_12</t>
  </si>
  <si>
    <t xml:space="preserve">  Operator  :  </t>
  </si>
  <si>
    <t xml:space="preserve">  Acq On    : 31 Oct 2024  14:15</t>
  </si>
  <si>
    <t xml:space="preserve">  Acq On    : 31 Oct 2024  13:41</t>
  </si>
  <si>
    <t xml:space="preserve">  Acq On    : 31 Oct 2024  13:07</t>
  </si>
  <si>
    <t xml:space="preserve">  Acq On    : 31 Oct 2024  12:33</t>
  </si>
  <si>
    <t xml:space="preserve">  Acq On    : 31 Oct 2024  11:59</t>
  </si>
  <si>
    <t xml:space="preserve">  Acq On    : 31 Oct 2024  11:25</t>
  </si>
  <si>
    <t xml:space="preserve">  Acq On    : 31 Oct 2024  10:50</t>
  </si>
  <si>
    <t xml:space="preserve">  Acq On    : 31 Oct 2024  10:16</t>
  </si>
  <si>
    <t xml:space="preserve">  Acq On    : 31 Oct 2024  09:42</t>
  </si>
  <si>
    <t xml:space="preserve">  Acq On    : 31 Oct 2024  09:08</t>
  </si>
  <si>
    <t xml:space="preserve">  Acq On    : 31 Oct 2024  08:34</t>
  </si>
  <si>
    <t xml:space="preserve">  Signal(s) : FID1B.ch</t>
  </si>
  <si>
    <t xml:space="preserve">  Data File : BioStat-2L_20_22.D                                  </t>
  </si>
  <si>
    <t xml:space="preserve">  Data File : BioStat-2L_20_21.D                                  </t>
  </si>
  <si>
    <t xml:space="preserve">  Data File : BioStat-2L_20_20.D                                  </t>
  </si>
  <si>
    <t xml:space="preserve">  Data File : BioStat-2L_20_19.D                                  </t>
  </si>
  <si>
    <t xml:space="preserve">  Data File : BioStat-2L_20_18.D                                  </t>
  </si>
  <si>
    <t xml:space="preserve">  Data File : BioStat-2L_20_17.D                                  </t>
  </si>
  <si>
    <t xml:space="preserve">  Data File : BioStat-2L_20_16.D                                  </t>
  </si>
  <si>
    <t xml:space="preserve">  Data File : BioStat-2L_20_15.D                                  </t>
  </si>
  <si>
    <t xml:space="preserve">  Data File : BioStat-2L_20_14.D                                  </t>
  </si>
  <si>
    <t xml:space="preserve">  Data File : BioStat-2L_20_13.D                                  </t>
  </si>
  <si>
    <t xml:space="preserve">  Data File : BioStat-2L_20_12.D                                  </t>
  </si>
  <si>
    <t xml:space="preserve">  Data Path : D:\MassHunter\GCMS\1\data\24-OCT-30-Jeff_FID_FAMES\</t>
  </si>
  <si>
    <t xml:space="preserve">   Quantitation Report    (QT Reviewed)</t>
  </si>
  <si>
    <t xml:space="preserve">  Quantitation Report    (QT Reviewed)</t>
  </si>
  <si>
    <t xml:space="preserve"> Quantitation Report    (QT Reviewed)</t>
  </si>
  <si>
    <t xml:space="preserve">    Quantitation Report    (QT Reviewed)</t>
  </si>
  <si>
    <t xml:space="preserve">     Quantitation Report    (QT Reviewed)</t>
  </si>
  <si>
    <t xml:space="preserve">        Quantitation Report    (QT Reviewed)</t>
  </si>
  <si>
    <t xml:space="preserve">       Quantitation Report    (QT Reviewed)</t>
  </si>
  <si>
    <t xml:space="preserve">      Quantitation Report    (QT Reviewed)</t>
  </si>
  <si>
    <t xml:space="preserve">FAMES_4_10_...lit_241031.M Fri Nov 08 09:06:09 2024   </t>
  </si>
  <si>
    <t xml:space="preserve">FAMES_4_10_...lit_241031.M Fri Nov 08 09:05:43 2024   </t>
  </si>
  <si>
    <t xml:space="preserve">FAMES_4_10_...lit_241031.M Fri Nov 08 08:58:34 2024   </t>
  </si>
  <si>
    <t xml:space="preserve">FAMES_4_10_...lit_241031.M Fri Nov 08 08:57:44 2024   </t>
  </si>
  <si>
    <t xml:space="preserve">FAMES_4_10_...lit_241031.M Fri Nov 08 08:57:09 2024   </t>
  </si>
  <si>
    <t xml:space="preserve">FAMES_4_10_...lit_241031.M Fri Nov 08 08:56:29 2024   </t>
  </si>
  <si>
    <t xml:space="preserve">FAMES_4_10_...lit_241031.M Fri Nov 08 08:55:54 2024   </t>
  </si>
  <si>
    <t xml:space="preserve">FAMES_4_10_...lit_241031.M Fri Nov 08 08:54:42 2024   </t>
  </si>
  <si>
    <t>0.060      m</t>
  </si>
  <si>
    <t>m</t>
  </si>
  <si>
    <t>2.636      m</t>
  </si>
  <si>
    <t xml:space="preserve">  Quant Time: Nov 08 09:06:09 2024</t>
  </si>
  <si>
    <t xml:space="preserve">  Quant Time: Nov 08 09:05:20 2024</t>
  </si>
  <si>
    <t xml:space="preserve">  Quant Time: Nov 08 08:58:12 2024</t>
  </si>
  <si>
    <t xml:space="preserve">  Quant Time: Nov 08 08:57:21 2024</t>
  </si>
  <si>
    <t xml:space="preserve">  Quant Time: Nov 08 08:56:39 2024</t>
  </si>
  <si>
    <t xml:space="preserve">  Quant Time: Nov 08 08:56:03 2024</t>
  </si>
  <si>
    <t xml:space="preserve">  Quant Time: Nov 08 08:55:28 2024</t>
  </si>
  <si>
    <t xml:space="preserve">  Quant Time: Nov 08 08:54:51 2024</t>
  </si>
  <si>
    <t xml:space="preserve">  Quant Time: Nov 08 08:54:11 2024</t>
  </si>
  <si>
    <t xml:space="preserve">  ALS Vial  : 33   Sample Multiplier: 1</t>
  </si>
  <si>
    <t xml:space="preserve">  ALS Vial  : 31   Sample Multiplier: 1</t>
  </si>
  <si>
    <t xml:space="preserve">  ALS Vial  : 30   Sample Multiplier: 1</t>
  </si>
  <si>
    <t xml:space="preserve">  ALS Vial  : 29   Sample Multiplier: 1</t>
  </si>
  <si>
    <t xml:space="preserve">  ALS Vial  : 28   Sample Multiplier: 1</t>
  </si>
  <si>
    <t xml:space="preserve">  ALS Vial  : 27   Sample Multiplier: 1</t>
  </si>
  <si>
    <t xml:space="preserve">  ALS Vial  : 26   Sample Multiplier: 1</t>
  </si>
  <si>
    <t xml:space="preserve">  ALS Vial  : 25   Sample Multiplier: 1</t>
  </si>
  <si>
    <t xml:space="preserve">  ALS Vial  : 24   Sample Multiplier: 1</t>
  </si>
  <si>
    <t xml:space="preserve">  Sample    : BioStat-2L_20_11</t>
  </si>
  <si>
    <t xml:space="preserve">  Sample    : BioStat-2L_20_10</t>
  </si>
  <si>
    <t xml:space="preserve">  Sample    : BioStat-2L_20_09</t>
  </si>
  <si>
    <t xml:space="preserve">  Sample    : BioStat-2L_20_08</t>
  </si>
  <si>
    <t xml:space="preserve">  Sample    : BioStat-2L_20_07</t>
  </si>
  <si>
    <t xml:space="preserve">  Sample    : BioStat-2L_20_06</t>
  </si>
  <si>
    <t xml:space="preserve">  Sample    : BioStat-2L_20_05</t>
  </si>
  <si>
    <t xml:space="preserve">  Sample    : BioStat-2L_20_04</t>
  </si>
  <si>
    <t xml:space="preserve">  Sample    : BioStat-2L_20_03</t>
  </si>
  <si>
    <t xml:space="preserve">  Acq On    : 31 Oct 2024  08:00</t>
  </si>
  <si>
    <t xml:space="preserve">  Acq On    : 31 Oct 2024  06:52</t>
  </si>
  <si>
    <t xml:space="preserve">  Acq On    : 31 Oct 2024  06:18</t>
  </si>
  <si>
    <t xml:space="preserve">  Acq On    : 31 Oct 2024  05:44</t>
  </si>
  <si>
    <t xml:space="preserve">  Acq On    : 31 Oct 2024  05:10</t>
  </si>
  <si>
    <t xml:space="preserve">  Acq On    : 31 Oct 2024  04:36</t>
  </si>
  <si>
    <t xml:space="preserve">  Acq On    : 31 Oct 2024  04:02</t>
  </si>
  <si>
    <t xml:space="preserve">  Acq On    : 31 Oct 2024  03:28</t>
  </si>
  <si>
    <t xml:space="preserve">  Acq On    : 31 Oct 2024  02:54</t>
  </si>
  <si>
    <t xml:space="preserve">  Data File : BioStat-2L_20_11.D                                  </t>
  </si>
  <si>
    <t xml:space="preserve">  Data File : BioStat-2L_20_10.D                                  </t>
  </si>
  <si>
    <t xml:space="preserve">  Data File : BioStat-2L_20_09.D                                  </t>
  </si>
  <si>
    <t xml:space="preserve">  Data File : BioStat-2L_20_08.D                                  </t>
  </si>
  <si>
    <t xml:space="preserve">  Data File : BioStat-2L_20_07.D                                  </t>
  </si>
  <si>
    <t xml:space="preserve">  Data File : BioStat-2L_20_06.D                                  </t>
  </si>
  <si>
    <t xml:space="preserve">  Data File : BioStat-2L_20_05.D                                  </t>
  </si>
  <si>
    <t xml:space="preserve">  Data File : BioStat-2L_20_04.D                                  </t>
  </si>
  <si>
    <t xml:space="preserve">  Data File : BioStat-2L_20_03.D                                  </t>
  </si>
  <si>
    <t xml:space="preserve">  Quantitation Report    (Not Reviewed)</t>
  </si>
  <si>
    <t>C18:2 (cis9,12)</t>
  </si>
  <si>
    <t>C18:1 (cis 9)</t>
  </si>
  <si>
    <t>C16:1 (cis9)</t>
  </si>
  <si>
    <t>Low Cal</t>
  </si>
  <si>
    <t>High Cal</t>
  </si>
  <si>
    <t>Compound</t>
  </si>
  <si>
    <t>CALIBRATION RANGE:</t>
  </si>
  <si>
    <t>bio for FAME (mg)</t>
  </si>
  <si>
    <t>FAME weight (mg)</t>
  </si>
  <si>
    <t>rate</t>
  </si>
  <si>
    <t>specific citrate rate (g/L/h)</t>
  </si>
  <si>
    <t>specfic biomass yield (g/g substrate)</t>
  </si>
  <si>
    <t>specific sugar consumed (g/L/h)</t>
  </si>
  <si>
    <t>specific sugar consume</t>
  </si>
  <si>
    <t>specific DCW/h</t>
  </si>
  <si>
    <t>overall rate</t>
  </si>
  <si>
    <t>sugar consumption rate (g/L/h)</t>
  </si>
  <si>
    <t>biomass production rate (g/L/h)</t>
  </si>
  <si>
    <t>Citrate production rate (g/L/h)</t>
  </si>
  <si>
    <t>FAME titer (g/L)</t>
  </si>
  <si>
    <t>FAME yield (g/g biomass)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</si>
</sst>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%"/>
  </numFmts>
  <fonts count="13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22"/>
      <color indexed="8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9" fontId="12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14" fontId="0" fillId="0" borderId="0" xfId="0" applyNumberFormat="1"/>
    <xf numFmtId="0" fontId="0" fillId="0" borderId="2" xfId="0" applyBorder="1"/>
    <xf numFmtId="1" fontId="0" fillId="0" borderId="0" xfId="0" applyNumberFormat="1"/>
    <xf numFmtId="0" fontId="0" fillId="0" borderId="3" xfId="0" applyBorder="1"/>
    <xf numFmtId="164" fontId="0" fillId="0" borderId="0" xfId="0" applyNumberFormat="1"/>
    <xf numFmtId="0" fontId="0" fillId="0" borderId="0" xfId="0" applyAlignment="1">
      <alignment horizontal="center" wrapText="1"/>
    </xf>
    <xf numFmtId="165" fontId="0" fillId="0" borderId="0" xfId="0" applyNumberFormat="1"/>
    <xf numFmtId="2" fontId="0" fillId="0" borderId="0" xfId="0" applyNumberFormat="1"/>
    <xf numFmtId="0" fontId="0" fillId="0" borderId="5" xfId="0" applyBorder="1"/>
    <xf numFmtId="16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wrapText="1"/>
    </xf>
    <xf numFmtId="164" fontId="0" fillId="0" borderId="8" xfId="0" applyNumberFormat="1" applyBorder="1"/>
    <xf numFmtId="165" fontId="0" fillId="0" borderId="8" xfId="0" applyNumberFormat="1" applyBorder="1"/>
    <xf numFmtId="0" fontId="0" fillId="0" borderId="10" xfId="0" applyBorder="1" applyAlignment="1">
      <alignment horizontal="center" wrapText="1"/>
    </xf>
    <xf numFmtId="165" fontId="0" fillId="0" borderId="7" xfId="0" applyNumberFormat="1" applyBorder="1"/>
    <xf numFmtId="0" fontId="5" fillId="0" borderId="0" xfId="0" applyFont="1"/>
    <xf numFmtId="165" fontId="0" fillId="0" borderId="7" xfId="0" quotePrefix="1" applyNumberFormat="1" applyBorder="1"/>
    <xf numFmtId="0" fontId="0" fillId="0" borderId="11" xfId="0" applyBorder="1"/>
    <xf numFmtId="2" fontId="0" fillId="0" borderId="11" xfId="0" applyNumberFormat="1" applyBorder="1"/>
    <xf numFmtId="3" fontId="0" fillId="0" borderId="0" xfId="0" applyNumberFormat="1"/>
    <xf numFmtId="0" fontId="0" fillId="0" borderId="10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18" fontId="0" fillId="0" borderId="0" xfId="0" applyNumberFormat="1"/>
    <xf numFmtId="2" fontId="0" fillId="0" borderId="3" xfId="0" applyNumberFormat="1" applyBorder="1"/>
    <xf numFmtId="46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3" borderId="0" xfId="2" applyBorder="1" applyAlignment="1">
      <alignment horizontal="center"/>
    </xf>
    <xf numFmtId="0" fontId="1" fillId="2" borderId="0" xfId="1" applyBorder="1" applyAlignment="1">
      <alignment horizontal="center"/>
    </xf>
    <xf numFmtId="0" fontId="0" fillId="7" borderId="0" xfId="0" applyFill="1"/>
    <xf numFmtId="0" fontId="4" fillId="0" borderId="2" xfId="0" applyFont="1" applyBorder="1"/>
    <xf numFmtId="164" fontId="0" fillId="0" borderId="0" xfId="0" quotePrefix="1" applyNumberForma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0" fillId="8" borderId="0" xfId="0" applyFill="1"/>
    <xf numFmtId="166" fontId="10" fillId="5" borderId="2" xfId="0" applyNumberFormat="1" applyFont="1" applyFill="1" applyBorder="1" applyAlignment="1">
      <alignment horizontal="center"/>
    </xf>
    <xf numFmtId="166" fontId="0" fillId="5" borderId="2" xfId="0" applyNumberFormat="1" applyFill="1" applyBorder="1" applyAlignment="1">
      <alignment horizontal="center"/>
    </xf>
    <xf numFmtId="0" fontId="0" fillId="5" borderId="2" xfId="0" applyFill="1" applyBorder="1"/>
    <xf numFmtId="20" fontId="0" fillId="5" borderId="2" xfId="0" applyNumberFormat="1" applyFill="1" applyBorder="1"/>
    <xf numFmtId="0" fontId="7" fillId="0" borderId="2" xfId="0" applyFont="1" applyBorder="1"/>
    <xf numFmtId="0" fontId="11" fillId="0" borderId="0" xfId="0" applyFont="1" applyAlignment="1">
      <alignment horizontal="right"/>
    </xf>
    <xf numFmtId="0" fontId="0" fillId="0" borderId="0" xfId="0" applyAlignment="1">
      <alignment wrapText="1"/>
    </xf>
    <xf numFmtId="0" fontId="1" fillId="2" borderId="4" xfId="1" applyBorder="1" applyAlignment="1">
      <alignment horizontal="center"/>
    </xf>
    <xf numFmtId="0" fontId="2" fillId="3" borderId="6" xfId="2" applyBorder="1" applyAlignment="1">
      <alignment horizontal="center"/>
    </xf>
    <xf numFmtId="0" fontId="2" fillId="3" borderId="0" xfId="2" applyBorder="1" applyAlignment="1">
      <alignment horizontal="center"/>
    </xf>
    <xf numFmtId="167" fontId="0" fillId="0" borderId="0" xfId="3" applyNumberFormat="1" applyFont="1"/>
  </cellXfs>
  <cellStyles count="4">
    <cellStyle name="Calculation 2" xfId="2" xr:uid="{06963B33-0368-4743-9D6F-4480FB79EB78}"/>
    <cellStyle name="Good 2" xfId="1" xr:uid="{C73EABD3-7392-AD48-9677-784C96F12C21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352F-9567-9A4D-B6FE-EE3DF8026B49}">
  <dimension ref="A1:R31"/>
  <sheetViews>
    <sheetView workbookViewId="0">
      <selection activeCell="N23" sqref="N23"/>
    </sheetView>
  </sheetViews>
  <sheetFormatPr baseColWidth="10" defaultColWidth="11" defaultRowHeight="16" x14ac:dyDescent="0.2"/>
  <cols>
    <col min="3" max="3" width="24.6640625" customWidth="1"/>
  </cols>
  <sheetData>
    <row r="1" spans="1:18" x14ac:dyDescent="0.2">
      <c r="A1" t="s">
        <v>139</v>
      </c>
    </row>
    <row r="3" spans="1:18" x14ac:dyDescent="0.2">
      <c r="B3" t="s">
        <v>140</v>
      </c>
    </row>
    <row r="4" spans="1:18" x14ac:dyDescent="0.2">
      <c r="B4" t="s">
        <v>141</v>
      </c>
    </row>
    <row r="5" spans="1:18" x14ac:dyDescent="0.2">
      <c r="B5" t="s">
        <v>142</v>
      </c>
    </row>
    <row r="7" spans="1:18" x14ac:dyDescent="0.2">
      <c r="A7" t="s">
        <v>168</v>
      </c>
      <c r="C7" t="s">
        <v>167</v>
      </c>
      <c r="D7" t="s">
        <v>105</v>
      </c>
    </row>
    <row r="8" spans="1:18" x14ac:dyDescent="0.2">
      <c r="C8" t="s">
        <v>51</v>
      </c>
      <c r="D8">
        <v>4.84</v>
      </c>
    </row>
    <row r="12" spans="1:18" x14ac:dyDescent="0.2">
      <c r="A12" t="s">
        <v>169</v>
      </c>
      <c r="F12" t="s">
        <v>173</v>
      </c>
    </row>
    <row r="13" spans="1:18" x14ac:dyDescent="0.2">
      <c r="B13" t="s">
        <v>52</v>
      </c>
      <c r="C13" t="s">
        <v>154</v>
      </c>
      <c r="D13" t="s">
        <v>103</v>
      </c>
      <c r="E13" t="s">
        <v>104</v>
      </c>
      <c r="F13" t="s">
        <v>171</v>
      </c>
      <c r="G13" t="s">
        <v>153</v>
      </c>
      <c r="H13" t="s">
        <v>106</v>
      </c>
      <c r="I13" t="s">
        <v>107</v>
      </c>
      <c r="J13" t="s">
        <v>108</v>
      </c>
      <c r="K13" t="s">
        <v>109</v>
      </c>
      <c r="L13" t="s">
        <v>110</v>
      </c>
      <c r="M13" t="s">
        <v>111</v>
      </c>
      <c r="N13" t="s">
        <v>161</v>
      </c>
      <c r="O13" t="s">
        <v>0</v>
      </c>
      <c r="P13" t="s">
        <v>112</v>
      </c>
      <c r="Q13" t="s">
        <v>157</v>
      </c>
      <c r="R13" t="s">
        <v>116</v>
      </c>
    </row>
    <row r="14" spans="1:18" x14ac:dyDescent="0.2">
      <c r="B14" t="s">
        <v>12</v>
      </c>
      <c r="C14" t="s">
        <v>174</v>
      </c>
      <c r="D14" t="s">
        <v>164</v>
      </c>
      <c r="E14">
        <v>252</v>
      </c>
      <c r="F14" t="s">
        <v>172</v>
      </c>
      <c r="G14">
        <v>25.88</v>
      </c>
      <c r="I14" s="31">
        <v>0.54166666666666663</v>
      </c>
      <c r="J14" s="2">
        <v>45576</v>
      </c>
      <c r="K14">
        <v>400</v>
      </c>
      <c r="L14" t="s">
        <v>163</v>
      </c>
      <c r="M14">
        <v>5.6</v>
      </c>
      <c r="N14">
        <v>30</v>
      </c>
      <c r="O14" t="s">
        <v>158</v>
      </c>
      <c r="P14" t="s">
        <v>160</v>
      </c>
      <c r="Q14" t="s">
        <v>166</v>
      </c>
      <c r="R14" t="s">
        <v>165</v>
      </c>
    </row>
    <row r="15" spans="1:18" x14ac:dyDescent="0.2">
      <c r="B15" t="s">
        <v>50</v>
      </c>
      <c r="C15" t="s">
        <v>174</v>
      </c>
      <c r="D15" t="s">
        <v>164</v>
      </c>
      <c r="E15">
        <v>252</v>
      </c>
      <c r="F15" t="s">
        <v>172</v>
      </c>
      <c r="G15">
        <v>20.8</v>
      </c>
      <c r="I15" s="31">
        <v>0.54166666666666663</v>
      </c>
      <c r="J15" s="2">
        <v>45576</v>
      </c>
      <c r="K15">
        <v>400</v>
      </c>
      <c r="L15" t="s">
        <v>163</v>
      </c>
      <c r="M15">
        <v>5.6</v>
      </c>
      <c r="N15">
        <v>30</v>
      </c>
      <c r="O15" t="s">
        <v>159</v>
      </c>
      <c r="P15" t="s">
        <v>160</v>
      </c>
      <c r="Q15" t="s">
        <v>166</v>
      </c>
      <c r="R15" t="s">
        <v>162</v>
      </c>
    </row>
    <row r="21" spans="1:16" x14ac:dyDescent="0.2">
      <c r="A21" t="s">
        <v>170</v>
      </c>
    </row>
    <row r="22" spans="1:16" x14ac:dyDescent="0.2">
      <c r="B22" t="s">
        <v>52</v>
      </c>
      <c r="C22" t="s">
        <v>154</v>
      </c>
      <c r="D22" t="s">
        <v>103</v>
      </c>
      <c r="E22" t="s">
        <v>104</v>
      </c>
      <c r="F22" t="s">
        <v>105</v>
      </c>
      <c r="G22" t="s">
        <v>106</v>
      </c>
      <c r="H22" t="s">
        <v>107</v>
      </c>
      <c r="I22" t="s">
        <v>108</v>
      </c>
      <c r="J22" t="s">
        <v>109</v>
      </c>
      <c r="K22" t="s">
        <v>110</v>
      </c>
      <c r="L22" t="s">
        <v>111</v>
      </c>
      <c r="M22" t="s">
        <v>161</v>
      </c>
      <c r="N22" t="s">
        <v>0</v>
      </c>
      <c r="O22" t="s">
        <v>112</v>
      </c>
      <c r="P22" t="s">
        <v>116</v>
      </c>
    </row>
    <row r="23" spans="1:16" x14ac:dyDescent="0.2">
      <c r="B23" t="s">
        <v>12</v>
      </c>
      <c r="C23" t="s">
        <v>156</v>
      </c>
      <c r="D23">
        <v>1.35</v>
      </c>
      <c r="E23">
        <v>1.5</v>
      </c>
      <c r="F23">
        <v>2.5499999999999998</v>
      </c>
      <c r="G23">
        <v>5.6</v>
      </c>
      <c r="H23" s="31">
        <v>0.4375</v>
      </c>
      <c r="I23" s="2">
        <v>45579</v>
      </c>
      <c r="J23" s="12" t="s">
        <v>145</v>
      </c>
      <c r="K23" s="12" t="s">
        <v>145</v>
      </c>
      <c r="L23">
        <v>5.6</v>
      </c>
      <c r="M23">
        <v>30</v>
      </c>
      <c r="N23" t="s">
        <v>144</v>
      </c>
      <c r="O23" t="s">
        <v>115</v>
      </c>
      <c r="P23" t="s">
        <v>143</v>
      </c>
    </row>
    <row r="24" spans="1:16" x14ac:dyDescent="0.2">
      <c r="B24" t="s">
        <v>50</v>
      </c>
      <c r="C24" t="s">
        <v>155</v>
      </c>
      <c r="D24">
        <v>1.35</v>
      </c>
      <c r="E24">
        <v>1.5</v>
      </c>
      <c r="F24">
        <v>2.34</v>
      </c>
      <c r="G24" s="12" t="s">
        <v>152</v>
      </c>
      <c r="H24" s="31">
        <v>0.4375</v>
      </c>
      <c r="I24" s="2">
        <v>45579</v>
      </c>
      <c r="J24" s="12" t="s">
        <v>145</v>
      </c>
      <c r="K24" s="12" t="s">
        <v>145</v>
      </c>
      <c r="L24">
        <v>5.6</v>
      </c>
      <c r="M24">
        <v>30</v>
      </c>
      <c r="N24" t="s">
        <v>144</v>
      </c>
      <c r="O24" t="s">
        <v>115</v>
      </c>
      <c r="P24" t="s">
        <v>143</v>
      </c>
    </row>
    <row r="26" spans="1:16" x14ac:dyDescent="0.2">
      <c r="H26" t="s">
        <v>146</v>
      </c>
    </row>
    <row r="27" spans="1:16" x14ac:dyDescent="0.2">
      <c r="H27" t="s">
        <v>147</v>
      </c>
      <c r="I27" t="s">
        <v>113</v>
      </c>
      <c r="J27" t="s">
        <v>114</v>
      </c>
    </row>
    <row r="28" spans="1:16" x14ac:dyDescent="0.2">
      <c r="H28" t="s">
        <v>176</v>
      </c>
      <c r="I28" t="s">
        <v>148</v>
      </c>
      <c r="J28" t="s">
        <v>178</v>
      </c>
    </row>
    <row r="29" spans="1:16" x14ac:dyDescent="0.2">
      <c r="H29" t="s">
        <v>177</v>
      </c>
      <c r="I29" t="s">
        <v>113</v>
      </c>
      <c r="J29" t="s">
        <v>149</v>
      </c>
      <c r="M29" t="s">
        <v>181</v>
      </c>
    </row>
    <row r="31" spans="1:16" x14ac:dyDescent="0.2">
      <c r="G31" t="s">
        <v>179</v>
      </c>
      <c r="H31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D888-B5FC-A446-AC4D-3A672F4F3AD3}">
  <dimension ref="A1:AB35"/>
  <sheetViews>
    <sheetView topLeftCell="B1" workbookViewId="0">
      <selection activeCell="E13" sqref="E13"/>
    </sheetView>
  </sheetViews>
  <sheetFormatPr baseColWidth="10" defaultColWidth="11" defaultRowHeight="16" x14ac:dyDescent="0.2"/>
  <cols>
    <col min="5" max="5" width="12.83203125" customWidth="1"/>
  </cols>
  <sheetData>
    <row r="1" spans="1:28" x14ac:dyDescent="0.2">
      <c r="A1" t="s">
        <v>0</v>
      </c>
      <c r="AA1" t="s">
        <v>53</v>
      </c>
    </row>
    <row r="2" spans="1:28" x14ac:dyDescent="0.2">
      <c r="B2" s="1" t="s">
        <v>1</v>
      </c>
      <c r="AA2" s="33">
        <v>4.4277893518518523</v>
      </c>
      <c r="AB2" t="s">
        <v>54</v>
      </c>
    </row>
    <row r="3" spans="1:28" x14ac:dyDescent="0.2">
      <c r="AA3" t="s">
        <v>55</v>
      </c>
      <c r="AB3">
        <f>106/16</f>
        <v>6.625</v>
      </c>
    </row>
    <row r="4" spans="1:28" x14ac:dyDescent="0.2">
      <c r="E4" t="s">
        <v>56</v>
      </c>
      <c r="O4" t="s">
        <v>57</v>
      </c>
      <c r="S4" s="1" t="s">
        <v>58</v>
      </c>
      <c r="AA4" t="s">
        <v>59</v>
      </c>
      <c r="AB4">
        <f>106</f>
        <v>106</v>
      </c>
    </row>
    <row r="5" spans="1:28" x14ac:dyDescent="0.2">
      <c r="C5" s="1" t="s">
        <v>60</v>
      </c>
      <c r="D5" s="34" t="s">
        <v>150</v>
      </c>
      <c r="N5" t="s">
        <v>61</v>
      </c>
      <c r="O5">
        <v>136.08600000000001</v>
      </c>
      <c r="T5" t="s">
        <v>62</v>
      </c>
      <c r="AA5" t="s">
        <v>63</v>
      </c>
      <c r="AB5">
        <v>16</v>
      </c>
    </row>
    <row r="6" spans="1:28" x14ac:dyDescent="0.2">
      <c r="C6">
        <v>1</v>
      </c>
      <c r="D6" s="1" t="s">
        <v>81</v>
      </c>
      <c r="E6" s="1" t="s">
        <v>64</v>
      </c>
      <c r="F6" s="1" t="s">
        <v>65</v>
      </c>
      <c r="G6" s="1" t="s">
        <v>66</v>
      </c>
      <c r="H6" s="1" t="s">
        <v>67</v>
      </c>
      <c r="I6" s="1" t="s">
        <v>68</v>
      </c>
      <c r="J6" s="1" t="s">
        <v>69</v>
      </c>
      <c r="K6" s="1" t="s">
        <v>70</v>
      </c>
      <c r="L6" s="1" t="s">
        <v>71</v>
      </c>
      <c r="N6" t="s">
        <v>72</v>
      </c>
      <c r="O6">
        <v>132.13999999999999</v>
      </c>
      <c r="T6" s="1" t="s">
        <v>64</v>
      </c>
      <c r="U6" s="1" t="s">
        <v>65</v>
      </c>
      <c r="V6" t="s">
        <v>73</v>
      </c>
      <c r="X6" t="s">
        <v>74</v>
      </c>
    </row>
    <row r="7" spans="1:28" x14ac:dyDescent="0.2">
      <c r="E7">
        <v>1.7</v>
      </c>
      <c r="F7" t="s">
        <v>58</v>
      </c>
      <c r="G7" s="6">
        <f>J7/K7</f>
        <v>40.305189499417246</v>
      </c>
      <c r="H7" s="6">
        <f>J7/L7</f>
        <v>226.61360154532738</v>
      </c>
      <c r="I7" s="6">
        <f>K7/L7</f>
        <v>5.6224422800097216</v>
      </c>
      <c r="J7" s="8">
        <f>E9/$O$7*6</f>
        <v>1.6652234729900752</v>
      </c>
      <c r="K7" s="8">
        <f>E8/O$12</f>
        <v>4.1315361462675962E-2</v>
      </c>
      <c r="L7" s="8">
        <f>T7/$O$5</f>
        <v>7.3482944608556349E-3</v>
      </c>
      <c r="N7" t="s">
        <v>17</v>
      </c>
      <c r="O7">
        <v>180.15600000000001</v>
      </c>
      <c r="T7">
        <v>1</v>
      </c>
      <c r="U7" t="s">
        <v>61</v>
      </c>
      <c r="V7">
        <v>136.08600000000001</v>
      </c>
    </row>
    <row r="8" spans="1:28" x14ac:dyDescent="0.2">
      <c r="E8">
        <v>2.21</v>
      </c>
      <c r="F8" t="s">
        <v>82</v>
      </c>
      <c r="N8" t="s">
        <v>18</v>
      </c>
      <c r="O8">
        <v>150.13</v>
      </c>
      <c r="T8">
        <v>0.5</v>
      </c>
      <c r="U8" t="s">
        <v>75</v>
      </c>
    </row>
    <row r="9" spans="1:28" x14ac:dyDescent="0.2">
      <c r="E9">
        <v>50</v>
      </c>
      <c r="F9" t="s">
        <v>17</v>
      </c>
      <c r="N9" t="s">
        <v>21</v>
      </c>
      <c r="O9" s="8">
        <v>92.093999999999994</v>
      </c>
      <c r="T9">
        <v>0.1</v>
      </c>
      <c r="U9" t="s">
        <v>76</v>
      </c>
    </row>
    <row r="10" spans="1:28" x14ac:dyDescent="0.2">
      <c r="N10" t="s">
        <v>77</v>
      </c>
      <c r="O10">
        <v>59.043999999999997</v>
      </c>
      <c r="T10">
        <v>0.1</v>
      </c>
      <c r="U10" t="s">
        <v>78</v>
      </c>
    </row>
    <row r="11" spans="1:28" x14ac:dyDescent="0.2">
      <c r="C11">
        <v>2</v>
      </c>
      <c r="D11" s="1" t="s">
        <v>81</v>
      </c>
      <c r="E11" s="1" t="s">
        <v>64</v>
      </c>
      <c r="F11" s="1" t="s">
        <v>65</v>
      </c>
      <c r="G11" s="1" t="s">
        <v>66</v>
      </c>
      <c r="H11" s="1" t="s">
        <v>67</v>
      </c>
      <c r="I11" s="1" t="s">
        <v>68</v>
      </c>
      <c r="J11" s="1" t="s">
        <v>69</v>
      </c>
      <c r="K11" s="1" t="s">
        <v>70</v>
      </c>
      <c r="L11" s="1" t="s">
        <v>71</v>
      </c>
      <c r="N11" s="1" t="s">
        <v>79</v>
      </c>
      <c r="O11">
        <v>192.19399999999999</v>
      </c>
      <c r="T11">
        <f>SUM(T7:T10)</f>
        <v>1.7000000000000002</v>
      </c>
      <c r="U11" t="s">
        <v>80</v>
      </c>
    </row>
    <row r="12" spans="1:28" x14ac:dyDescent="0.2">
      <c r="E12">
        <v>1.7</v>
      </c>
      <c r="F12" t="s">
        <v>58</v>
      </c>
      <c r="G12" s="6">
        <f>J12/K12</f>
        <v>60.594876730416402</v>
      </c>
      <c r="H12" s="6">
        <f>J12/L12</f>
        <v>226.61360154532738</v>
      </c>
      <c r="I12" s="6">
        <f>K12/L12</f>
        <v>3.7398145482417608</v>
      </c>
      <c r="J12" s="8">
        <f>E14/$O$7*6</f>
        <v>1.6652234729900752</v>
      </c>
      <c r="K12" s="8">
        <f>E13/O$12</f>
        <v>2.7481258529472249E-2</v>
      </c>
      <c r="L12" s="8">
        <f>T7/$O$5</f>
        <v>7.3482944608556349E-3</v>
      </c>
      <c r="N12" t="s">
        <v>82</v>
      </c>
      <c r="O12">
        <v>53.491</v>
      </c>
      <c r="T12" t="s">
        <v>83</v>
      </c>
    </row>
    <row r="13" spans="1:28" x14ac:dyDescent="0.2">
      <c r="E13">
        <v>1.47</v>
      </c>
      <c r="F13" t="s">
        <v>82</v>
      </c>
      <c r="N13" t="s">
        <v>84</v>
      </c>
      <c r="O13">
        <v>60.06</v>
      </c>
      <c r="T13" s="1" t="s">
        <v>85</v>
      </c>
      <c r="U13" s="1" t="s">
        <v>65</v>
      </c>
    </row>
    <row r="14" spans="1:28" x14ac:dyDescent="0.2">
      <c r="E14">
        <v>50</v>
      </c>
      <c r="F14" t="s">
        <v>17</v>
      </c>
      <c r="T14">
        <v>500</v>
      </c>
      <c r="U14" t="s">
        <v>86</v>
      </c>
    </row>
    <row r="15" spans="1:28" x14ac:dyDescent="0.2">
      <c r="T15">
        <v>40</v>
      </c>
      <c r="U15" t="s">
        <v>87</v>
      </c>
    </row>
    <row r="16" spans="1:28" x14ac:dyDescent="0.2">
      <c r="T16">
        <v>100</v>
      </c>
      <c r="U16" t="s">
        <v>88</v>
      </c>
    </row>
    <row r="17" spans="2:24" x14ac:dyDescent="0.2">
      <c r="D17" s="35" t="s">
        <v>151</v>
      </c>
      <c r="T17">
        <v>200</v>
      </c>
      <c r="U17" t="s">
        <v>89</v>
      </c>
    </row>
    <row r="18" spans="2:24" x14ac:dyDescent="0.2">
      <c r="B18" s="1"/>
      <c r="D18" s="1" t="s">
        <v>81</v>
      </c>
      <c r="E18" s="1" t="s">
        <v>64</v>
      </c>
      <c r="F18" s="1" t="s">
        <v>65</v>
      </c>
      <c r="G18" s="1" t="s">
        <v>66</v>
      </c>
      <c r="H18" s="1" t="s">
        <v>67</v>
      </c>
      <c r="I18" s="1" t="s">
        <v>68</v>
      </c>
      <c r="J18" s="1" t="s">
        <v>69</v>
      </c>
      <c r="K18" s="1" t="s">
        <v>70</v>
      </c>
      <c r="L18" s="1" t="s">
        <v>71</v>
      </c>
      <c r="T18">
        <v>400</v>
      </c>
      <c r="U18" t="s">
        <v>90</v>
      </c>
    </row>
    <row r="19" spans="2:24" x14ac:dyDescent="0.2">
      <c r="E19">
        <v>1.7</v>
      </c>
      <c r="F19" t="s">
        <v>58</v>
      </c>
      <c r="G19" s="6">
        <f>J19/K19</f>
        <v>80.247269183524409</v>
      </c>
      <c r="H19" s="6">
        <f>J19/L19</f>
        <v>226.61360154532738</v>
      </c>
      <c r="I19" s="6">
        <f>K19/L19</f>
        <v>2.8239415976519422</v>
      </c>
      <c r="J19" s="8">
        <f>E21/$O$7*6</f>
        <v>1.6652234729900752</v>
      </c>
      <c r="K19" s="8">
        <f>E20/O$12</f>
        <v>2.0751154399805578E-2</v>
      </c>
      <c r="L19" s="8">
        <f>T7/$O$5</f>
        <v>7.3482944608556349E-3</v>
      </c>
      <c r="T19">
        <v>200</v>
      </c>
      <c r="U19" t="s">
        <v>91</v>
      </c>
    </row>
    <row r="20" spans="2:24" x14ac:dyDescent="0.2">
      <c r="E20">
        <v>1.1100000000000001</v>
      </c>
      <c r="F20" t="s">
        <v>82</v>
      </c>
      <c r="T20">
        <v>400</v>
      </c>
      <c r="U20" t="s">
        <v>92</v>
      </c>
    </row>
    <row r="21" spans="2:24" x14ac:dyDescent="0.2">
      <c r="E21">
        <v>50</v>
      </c>
      <c r="F21" t="s">
        <v>17</v>
      </c>
      <c r="T21">
        <f>SUM(T14:T20)/1000000</f>
        <v>1.8400000000000001E-3</v>
      </c>
      <c r="U21" t="s">
        <v>80</v>
      </c>
    </row>
    <row r="22" spans="2:24" x14ac:dyDescent="0.2">
      <c r="T22" t="s">
        <v>93</v>
      </c>
    </row>
    <row r="23" spans="2:24" x14ac:dyDescent="0.2">
      <c r="T23" s="1" t="s">
        <v>85</v>
      </c>
      <c r="U23" s="1" t="s">
        <v>65</v>
      </c>
    </row>
    <row r="24" spans="2:24" x14ac:dyDescent="0.2">
      <c r="T24">
        <v>2</v>
      </c>
      <c r="U24" t="s">
        <v>94</v>
      </c>
      <c r="X24">
        <f>550*0.3</f>
        <v>165</v>
      </c>
    </row>
    <row r="25" spans="2:24" x14ac:dyDescent="0.2">
      <c r="C25" s="36"/>
      <c r="D25" s="36"/>
      <c r="E25" s="36"/>
      <c r="F25" s="36"/>
      <c r="G25" s="36"/>
      <c r="H25" s="36"/>
      <c r="I25" s="36"/>
      <c r="J25" s="36"/>
      <c r="K25" s="36"/>
      <c r="L25" s="36"/>
      <c r="T25">
        <v>400</v>
      </c>
      <c r="U25" t="s">
        <v>95</v>
      </c>
    </row>
    <row r="26" spans="2:24" x14ac:dyDescent="0.2">
      <c r="B26" s="1"/>
      <c r="T26">
        <v>2</v>
      </c>
      <c r="U26" t="s">
        <v>96</v>
      </c>
    </row>
    <row r="27" spans="2:24" x14ac:dyDescent="0.2">
      <c r="T27" s="25">
        <v>2000</v>
      </c>
      <c r="U27" t="s">
        <v>97</v>
      </c>
    </row>
    <row r="28" spans="2:24" x14ac:dyDescent="0.2">
      <c r="B28" s="21"/>
      <c r="T28">
        <v>400</v>
      </c>
      <c r="U28" t="s">
        <v>98</v>
      </c>
    </row>
    <row r="29" spans="2:24" x14ac:dyDescent="0.2">
      <c r="T29">
        <v>200</v>
      </c>
      <c r="U29" t="s">
        <v>99</v>
      </c>
    </row>
    <row r="30" spans="2:24" x14ac:dyDescent="0.2">
      <c r="T30">
        <v>400</v>
      </c>
      <c r="U30" t="s">
        <v>100</v>
      </c>
    </row>
    <row r="31" spans="2:24" x14ac:dyDescent="0.2">
      <c r="T31">
        <v>200</v>
      </c>
      <c r="U31" t="s">
        <v>101</v>
      </c>
    </row>
    <row r="32" spans="2:24" x14ac:dyDescent="0.2">
      <c r="T32">
        <v>400</v>
      </c>
      <c r="U32" t="s">
        <v>102</v>
      </c>
    </row>
    <row r="35" spans="20:21" x14ac:dyDescent="0.2">
      <c r="T35">
        <f>SUM(T24:T32)/1000000</f>
        <v>4.0039999999999997E-3</v>
      </c>
      <c r="U3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5956-F128-6947-A020-51EE5ED03271}">
  <dimension ref="A1:B5"/>
  <sheetViews>
    <sheetView workbookViewId="0">
      <selection activeCell="D33" sqref="D33"/>
    </sheetView>
  </sheetViews>
  <sheetFormatPr baseColWidth="10" defaultColWidth="11" defaultRowHeight="16" x14ac:dyDescent="0.2"/>
  <sheetData>
    <row r="1" spans="1:2" x14ac:dyDescent="0.2">
      <c r="A1" t="s">
        <v>2</v>
      </c>
    </row>
    <row r="2" spans="1:2" x14ac:dyDescent="0.2">
      <c r="B2" t="s">
        <v>3</v>
      </c>
    </row>
    <row r="4" spans="1:2" x14ac:dyDescent="0.2">
      <c r="B4" t="s">
        <v>31</v>
      </c>
    </row>
    <row r="5" spans="1:2" x14ac:dyDescent="0.2">
      <c r="B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596-F9AE-2A45-B718-02D336B14C72}">
  <dimension ref="A2:E9"/>
  <sheetViews>
    <sheetView workbookViewId="0">
      <selection activeCell="F24" sqref="F24"/>
    </sheetView>
  </sheetViews>
  <sheetFormatPr baseColWidth="10" defaultColWidth="11" defaultRowHeight="16" x14ac:dyDescent="0.2"/>
  <sheetData>
    <row r="2" spans="1:5" x14ac:dyDescent="0.2">
      <c r="C2" s="25"/>
    </row>
    <row r="7" spans="1:5" x14ac:dyDescent="0.2">
      <c r="E7" s="12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50F9-56E4-9A4C-A6C4-722407ADC1C6}">
  <dimension ref="B4:I25"/>
  <sheetViews>
    <sheetView workbookViewId="0">
      <selection activeCell="I13" sqref="I13"/>
    </sheetView>
  </sheetViews>
  <sheetFormatPr baseColWidth="10" defaultColWidth="11" defaultRowHeight="16" x14ac:dyDescent="0.2"/>
  <sheetData>
    <row r="4" spans="2:9" x14ac:dyDescent="0.2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10" spans="2:9" x14ac:dyDescent="0.2">
      <c r="B10" t="s">
        <v>34</v>
      </c>
      <c r="D10">
        <v>1.25</v>
      </c>
      <c r="E10" t="s">
        <v>36</v>
      </c>
    </row>
    <row r="11" spans="2:9" x14ac:dyDescent="0.2">
      <c r="B11" t="s">
        <v>33</v>
      </c>
      <c r="D11">
        <v>1.41</v>
      </c>
      <c r="E11" t="s">
        <v>36</v>
      </c>
    </row>
    <row r="13" spans="2:9" x14ac:dyDescent="0.2">
      <c r="D13">
        <f>(D11-D10)*1000</f>
        <v>159.99999999999991</v>
      </c>
      <c r="E13" t="s">
        <v>35</v>
      </c>
    </row>
    <row r="14" spans="2:9" x14ac:dyDescent="0.2">
      <c r="D14">
        <v>236.5</v>
      </c>
      <c r="E14" t="s">
        <v>37</v>
      </c>
    </row>
    <row r="16" spans="2:9" x14ac:dyDescent="0.2">
      <c r="D16">
        <f>D13/D14</f>
        <v>0.67653276955602504</v>
      </c>
      <c r="E16" t="s">
        <v>38</v>
      </c>
    </row>
    <row r="18" spans="3:5" x14ac:dyDescent="0.2">
      <c r="D18">
        <v>1</v>
      </c>
      <c r="E18" t="s">
        <v>39</v>
      </c>
    </row>
    <row r="19" spans="3:5" x14ac:dyDescent="0.2">
      <c r="D19">
        <f>D11/D10</f>
        <v>1.1279999999999999</v>
      </c>
      <c r="E19" t="s">
        <v>40</v>
      </c>
    </row>
    <row r="24" spans="3:5" x14ac:dyDescent="0.2">
      <c r="C24" t="s">
        <v>42</v>
      </c>
      <c r="D24" t="s">
        <v>43</v>
      </c>
      <c r="E24">
        <v>4.1000000000000002E-2</v>
      </c>
    </row>
    <row r="25" spans="3:5" x14ac:dyDescent="0.2">
      <c r="D25" t="s">
        <v>44</v>
      </c>
      <c r="E25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077A-180E-2048-ACB0-3483679027C1}">
  <dimension ref="A2:CN76"/>
  <sheetViews>
    <sheetView showGridLines="0" tabSelected="1" topLeftCell="P1" zoomScale="91" zoomScaleNormal="125" workbookViewId="0">
      <selection activeCell="AC22" sqref="AC22"/>
    </sheetView>
  </sheetViews>
  <sheetFormatPr baseColWidth="10" defaultColWidth="11.1640625" defaultRowHeight="16" x14ac:dyDescent="0.2"/>
  <cols>
    <col min="2" max="2" width="36.1640625" customWidth="1"/>
    <col min="50" max="53" width="9.5" customWidth="1"/>
    <col min="54" max="54" width="10.6640625" customWidth="1"/>
    <col min="55" max="55" width="11.6640625" bestFit="1" customWidth="1"/>
    <col min="56" max="56" width="11.1640625" style="5"/>
    <col min="60" max="60" width="14" customWidth="1"/>
    <col min="61" max="61" width="14.6640625" customWidth="1"/>
    <col min="62" max="63" width="18.83203125" customWidth="1"/>
    <col min="64" max="64" width="18.33203125" style="15" customWidth="1"/>
    <col min="65" max="65" width="24.83203125" style="27" customWidth="1"/>
    <col min="66" max="68" width="24.83203125" customWidth="1"/>
    <col min="75" max="76" width="13.83203125" customWidth="1"/>
    <col min="77" max="77" width="19" customWidth="1"/>
    <col min="78" max="78" width="27" customWidth="1"/>
    <col min="79" max="79" width="20.33203125" customWidth="1"/>
    <col min="80" max="80" width="18.33203125" customWidth="1"/>
    <col min="81" max="82" width="11.6640625" bestFit="1" customWidth="1"/>
  </cols>
  <sheetData>
    <row r="2" spans="1:92" x14ac:dyDescent="0.2">
      <c r="BD2"/>
      <c r="BL2"/>
      <c r="BM2"/>
    </row>
    <row r="3" spans="1:92" x14ac:dyDescent="0.2">
      <c r="BD3"/>
      <c r="BL3"/>
      <c r="BM3"/>
    </row>
    <row r="4" spans="1:92" x14ac:dyDescent="0.2">
      <c r="BD4"/>
      <c r="BL4"/>
      <c r="BM4"/>
    </row>
    <row r="5" spans="1:92" x14ac:dyDescent="0.2">
      <c r="BD5"/>
      <c r="BL5"/>
      <c r="BM5"/>
    </row>
    <row r="6" spans="1:92" x14ac:dyDescent="0.2">
      <c r="BD6"/>
      <c r="BL6"/>
      <c r="BM6"/>
    </row>
    <row r="7" spans="1:92" x14ac:dyDescent="0.2">
      <c r="BD7"/>
      <c r="BL7"/>
      <c r="BM7"/>
    </row>
    <row r="8" spans="1:92" x14ac:dyDescent="0.2">
      <c r="BD8"/>
      <c r="BL8"/>
      <c r="BM8"/>
    </row>
    <row r="9" spans="1:92" x14ac:dyDescent="0.2">
      <c r="BD9"/>
      <c r="BL9"/>
      <c r="BM9"/>
    </row>
    <row r="10" spans="1:92" x14ac:dyDescent="0.2">
      <c r="BD10"/>
      <c r="BL10"/>
      <c r="BM10"/>
    </row>
    <row r="11" spans="1:92" x14ac:dyDescent="0.2">
      <c r="AH11" t="s">
        <v>388</v>
      </c>
      <c r="BD11"/>
      <c r="BL11"/>
      <c r="BM11"/>
    </row>
    <row r="12" spans="1:92" x14ac:dyDescent="0.2">
      <c r="V12" t="s">
        <v>117</v>
      </c>
      <c r="Y12" t="s">
        <v>118</v>
      </c>
      <c r="AM12" t="s">
        <v>394</v>
      </c>
      <c r="AP12" s="53" t="s">
        <v>14</v>
      </c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38"/>
      <c r="BC12" s="54" t="s">
        <v>26</v>
      </c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37"/>
    </row>
    <row r="13" spans="1:92" ht="68" x14ac:dyDescent="0.2">
      <c r="A13" s="3" t="s">
        <v>13</v>
      </c>
      <c r="B13" s="3" t="s">
        <v>15</v>
      </c>
      <c r="C13" s="3" t="s">
        <v>119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40" t="s">
        <v>22</v>
      </c>
      <c r="K13" s="40" t="s">
        <v>120</v>
      </c>
      <c r="L13" s="40" t="s">
        <v>121</v>
      </c>
      <c r="M13" s="40" t="s">
        <v>122</v>
      </c>
      <c r="N13" s="5" t="s">
        <v>137</v>
      </c>
      <c r="P13" t="s">
        <v>30</v>
      </c>
      <c r="Q13" t="s">
        <v>123</v>
      </c>
      <c r="R13" s="5" t="s">
        <v>124</v>
      </c>
      <c r="S13" s="5" t="s">
        <v>125</v>
      </c>
      <c r="T13" t="s">
        <v>126</v>
      </c>
      <c r="U13" t="s">
        <v>127</v>
      </c>
      <c r="V13" t="s">
        <v>128</v>
      </c>
      <c r="W13" t="s">
        <v>129</v>
      </c>
      <c r="X13" s="52" t="s">
        <v>130</v>
      </c>
      <c r="Y13" s="52" t="s">
        <v>27</v>
      </c>
      <c r="Z13" s="52" t="s">
        <v>28</v>
      </c>
      <c r="AA13" s="52" t="s">
        <v>131</v>
      </c>
      <c r="AB13" s="52" t="s">
        <v>132</v>
      </c>
      <c r="AC13" s="52" t="s">
        <v>29</v>
      </c>
      <c r="AD13" s="52" t="s">
        <v>386</v>
      </c>
      <c r="AE13" s="52" t="s">
        <v>387</v>
      </c>
      <c r="AF13" s="52" t="s">
        <v>399</v>
      </c>
      <c r="AG13" s="52" t="s">
        <v>398</v>
      </c>
      <c r="AH13" s="52" t="s">
        <v>393</v>
      </c>
      <c r="AI13" s="52" t="s">
        <v>392</v>
      </c>
      <c r="AJ13" s="52" t="s">
        <v>391</v>
      </c>
      <c r="AK13" s="52" t="s">
        <v>390</v>
      </c>
      <c r="AL13" s="52" t="s">
        <v>389</v>
      </c>
      <c r="AM13" s="52" t="s">
        <v>395</v>
      </c>
      <c r="AN13" s="52" t="s">
        <v>396</v>
      </c>
      <c r="AO13" s="52" t="s">
        <v>397</v>
      </c>
      <c r="AP13" s="3" t="s">
        <v>119</v>
      </c>
      <c r="AQ13" s="3" t="s">
        <v>16</v>
      </c>
      <c r="AR13" s="3" t="s">
        <v>17</v>
      </c>
      <c r="AS13" s="3" t="s">
        <v>18</v>
      </c>
      <c r="AT13" s="3" t="s">
        <v>19</v>
      </c>
      <c r="AU13" s="3" t="s">
        <v>20</v>
      </c>
      <c r="AV13" s="3" t="s">
        <v>21</v>
      </c>
      <c r="AW13" s="3" t="s">
        <v>22</v>
      </c>
      <c r="AX13" s="3" t="s">
        <v>120</v>
      </c>
      <c r="AY13" s="3" t="s">
        <v>121</v>
      </c>
      <c r="AZ13" s="3" t="s">
        <v>122</v>
      </c>
      <c r="BA13" s="3" t="s">
        <v>138</v>
      </c>
      <c r="BB13" s="5" t="s">
        <v>30</v>
      </c>
      <c r="BC13" s="11" t="s">
        <v>49</v>
      </c>
      <c r="BD13"/>
      <c r="BG13" s="10" t="s">
        <v>201</v>
      </c>
      <c r="BH13" s="7" t="s">
        <v>41</v>
      </c>
      <c r="BI13" s="7" t="s">
        <v>45</v>
      </c>
      <c r="BJ13" s="7" t="s">
        <v>46</v>
      </c>
      <c r="BK13" s="7" t="s">
        <v>24</v>
      </c>
      <c r="BL13" s="7"/>
      <c r="BM13" s="7" t="s">
        <v>25</v>
      </c>
      <c r="BN13" s="7" t="s">
        <v>133</v>
      </c>
      <c r="BO13" s="16" t="s">
        <v>134</v>
      </c>
      <c r="BP13" s="28" t="s">
        <v>135</v>
      </c>
      <c r="BQ13" s="28" t="s">
        <v>136</v>
      </c>
      <c r="BR13" s="30"/>
      <c r="BS13" s="26"/>
      <c r="BT13" s="19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</row>
    <row r="14" spans="1:92" x14ac:dyDescent="0.2">
      <c r="A14" s="3"/>
      <c r="F14" s="3" t="s">
        <v>183</v>
      </c>
      <c r="G14" s="3" t="s">
        <v>183</v>
      </c>
      <c r="H14" s="3" t="s">
        <v>183</v>
      </c>
      <c r="I14" s="3" t="s">
        <v>183</v>
      </c>
      <c r="J14" s="3" t="s">
        <v>183</v>
      </c>
      <c r="K14" s="3" t="s">
        <v>183</v>
      </c>
      <c r="L14" s="3" t="s">
        <v>183</v>
      </c>
      <c r="M14" s="3"/>
      <c r="N14" s="3"/>
      <c r="P14" s="2">
        <v>45579</v>
      </c>
      <c r="Q14" s="31">
        <v>0.4375</v>
      </c>
      <c r="R14">
        <v>0</v>
      </c>
      <c r="S14" t="s">
        <v>47</v>
      </c>
      <c r="T14">
        <v>1</v>
      </c>
      <c r="V14" t="s">
        <v>23</v>
      </c>
      <c r="W14" s="39"/>
      <c r="AA14">
        <v>8</v>
      </c>
      <c r="AP14" t="str">
        <f t="shared" ref="AP14" si="0">IF(ISNUMBER(C14),C14*1000/100,"")</f>
        <v/>
      </c>
      <c r="AQ14">
        <f>IF(ISNUMBER(D14),D14*1000/100,0)</f>
        <v>0</v>
      </c>
      <c r="AR14">
        <v>50</v>
      </c>
      <c r="AS14" t="str">
        <f>IF(ISNUMBER(F14),F14*1000/100,"")</f>
        <v/>
      </c>
      <c r="AT14" t="str">
        <f>IF(ISNUMBER(G14),G14*1000/100,"")</f>
        <v/>
      </c>
      <c r="AU14" t="str">
        <f>IF(ISNUMBER(H14),H14*1000/100,"")</f>
        <v/>
      </c>
      <c r="AV14" t="str">
        <f>IF(ISNUMBER(I14),I14*1000/100,"")</f>
        <v/>
      </c>
      <c r="AW14" t="str">
        <f>IF(ISNUMBER(J14),J14*1000/100,"")</f>
        <v/>
      </c>
      <c r="AX14" t="str">
        <f>IF(ISNUMBER(K14),K14*1000/100,"")</f>
        <v/>
      </c>
      <c r="AY14" t="str">
        <f>IF(ISNUMBER(L14),L14*1000/100,"")</f>
        <v/>
      </c>
      <c r="AZ14" t="str">
        <f>IF(ISNUMBER(M14),M14*1000/100,"")</f>
        <v/>
      </c>
      <c r="BA14" t="str">
        <f>IF(ISNUMBER(N14),N14*1000/100,"")</f>
        <v/>
      </c>
      <c r="BB14" s="11"/>
      <c r="BC14" s="11" t="str">
        <f>S14</f>
        <v>r1</v>
      </c>
      <c r="BD14" s="6"/>
      <c r="BE14">
        <f>B14</f>
        <v>0</v>
      </c>
      <c r="BG14" s="5"/>
      <c r="BI14" s="6"/>
      <c r="BJ14" s="6"/>
      <c r="BK14" s="41" t="s">
        <v>23</v>
      </c>
      <c r="BL14" s="6"/>
      <c r="BM14" s="41" t="s">
        <v>23</v>
      </c>
      <c r="BN14" s="6"/>
      <c r="BO14" s="17"/>
      <c r="BP14" s="15"/>
      <c r="BQ14" s="15"/>
      <c r="BS14" s="14"/>
      <c r="BT14" s="14"/>
    </row>
    <row r="15" spans="1:92" x14ac:dyDescent="0.2">
      <c r="A15" s="3"/>
      <c r="F15" s="3" t="s">
        <v>183</v>
      </c>
      <c r="G15" s="3" t="s">
        <v>183</v>
      </c>
      <c r="H15" s="3" t="s">
        <v>183</v>
      </c>
      <c r="I15" s="3" t="s">
        <v>183</v>
      </c>
      <c r="J15" s="3" t="s">
        <v>183</v>
      </c>
      <c r="K15" s="3" t="s">
        <v>183</v>
      </c>
      <c r="L15" s="3" t="s">
        <v>183</v>
      </c>
      <c r="M15" s="3"/>
      <c r="N15" s="3"/>
      <c r="P15" s="2">
        <v>45579</v>
      </c>
      <c r="Q15" s="31">
        <v>0.4375</v>
      </c>
      <c r="R15">
        <v>0</v>
      </c>
      <c r="S15" t="s">
        <v>48</v>
      </c>
      <c r="T15">
        <v>2</v>
      </c>
      <c r="U15">
        <v>3</v>
      </c>
      <c r="V15" t="s">
        <v>23</v>
      </c>
      <c r="W15" s="39"/>
      <c r="AA15">
        <v>8</v>
      </c>
      <c r="AP15" t="str">
        <f t="shared" ref="AP15:AP37" si="1">IF(ISNUMBER(C15),C15*1000/100,"")</f>
        <v/>
      </c>
      <c r="AQ15">
        <f t="shared" ref="AQ15:AQ21" si="2">IF(ISNUMBER(D15),D15*1000/100,0)</f>
        <v>0</v>
      </c>
      <c r="AR15">
        <v>50</v>
      </c>
      <c r="AS15" t="str">
        <f t="shared" ref="AS15:AS37" si="3">IF(ISNUMBER(F15),F15*1000/100,"")</f>
        <v/>
      </c>
      <c r="AT15" t="str">
        <f t="shared" ref="AT15:AT37" si="4">IF(ISNUMBER(G15),G15*1000/100,"")</f>
        <v/>
      </c>
      <c r="AU15" t="str">
        <f t="shared" ref="AU15:AU37" si="5">IF(ISNUMBER(H15),H15*1000/100,"")</f>
        <v/>
      </c>
      <c r="AV15" t="str">
        <f t="shared" ref="AV15:AV37" si="6">IF(ISNUMBER(I15),I15*1000/100,"")</f>
        <v/>
      </c>
      <c r="AW15" t="str">
        <f t="shared" ref="AW15:AW37" si="7">IF(ISNUMBER(J15),J15*1000/100,"")</f>
        <v/>
      </c>
      <c r="AX15" t="str">
        <f t="shared" ref="AX15:AX37" si="8">IF(ISNUMBER(K15),K15*1000/100,"")</f>
        <v/>
      </c>
      <c r="AY15" t="str">
        <f t="shared" ref="AY15:AY37" si="9">IF(ISNUMBER(L15),L15*1000/100,"")</f>
        <v/>
      </c>
      <c r="AZ15" t="str">
        <f t="shared" ref="AZ15:AZ37" si="10">IF(ISNUMBER(M15),M15*1000/100,"")</f>
        <v/>
      </c>
      <c r="BA15" t="str">
        <f t="shared" ref="BA15:BA37" si="11">IF(ISNUMBER(N15),N15*1000/100,"")</f>
        <v/>
      </c>
      <c r="BB15" s="11"/>
      <c r="BC15" s="11" t="str">
        <f>S15</f>
        <v>r2</v>
      </c>
      <c r="BD15" s="6"/>
      <c r="BE15">
        <f t="shared" ref="BE15:BE37" si="12">B15</f>
        <v>0</v>
      </c>
      <c r="BF15" s="9"/>
      <c r="BG15" s="32"/>
      <c r="BI15" s="6"/>
      <c r="BJ15" s="6"/>
      <c r="BK15" s="41" t="s">
        <v>23</v>
      </c>
      <c r="BL15" s="6"/>
      <c r="BM15" s="41" t="s">
        <v>23</v>
      </c>
      <c r="BN15" s="6"/>
      <c r="BO15" s="17"/>
      <c r="BP15" s="15"/>
      <c r="BQ15" s="15"/>
      <c r="BS15" s="14"/>
      <c r="BT15" s="14"/>
    </row>
    <row r="16" spans="1:92" x14ac:dyDescent="0.2">
      <c r="A16" s="3"/>
      <c r="B16" s="3" t="s">
        <v>182</v>
      </c>
      <c r="C16" s="3" t="s">
        <v>183</v>
      </c>
      <c r="D16" s="3" t="s">
        <v>183</v>
      </c>
      <c r="E16" s="3">
        <v>4.6318900000000003</v>
      </c>
      <c r="F16" s="3" t="s">
        <v>183</v>
      </c>
      <c r="G16" s="3" t="s">
        <v>183</v>
      </c>
      <c r="H16" s="3" t="s">
        <v>183</v>
      </c>
      <c r="I16" s="3" t="s">
        <v>183</v>
      </c>
      <c r="J16" s="3" t="s">
        <v>183</v>
      </c>
      <c r="K16" s="3" t="s">
        <v>183</v>
      </c>
      <c r="L16" s="3" t="s">
        <v>183</v>
      </c>
      <c r="M16" s="3"/>
      <c r="N16" s="3"/>
      <c r="P16" s="2">
        <v>45579</v>
      </c>
      <c r="Q16" s="31">
        <v>0.58333333333333337</v>
      </c>
      <c r="R16">
        <v>3.5</v>
      </c>
      <c r="S16" t="s">
        <v>47</v>
      </c>
      <c r="T16">
        <v>3</v>
      </c>
      <c r="U16">
        <v>3</v>
      </c>
      <c r="V16" t="s">
        <v>23</v>
      </c>
      <c r="W16">
        <v>2.5499999999999998</v>
      </c>
      <c r="Y16">
        <v>6.6748000000000003</v>
      </c>
      <c r="Z16">
        <v>6.7019000000000002</v>
      </c>
      <c r="AA16">
        <v>7.5</v>
      </c>
      <c r="AB16">
        <f>Z16-Y16</f>
        <v>2.7099999999999902E-2</v>
      </c>
      <c r="AC16" s="9">
        <f>AB16/(AA16/1000)</f>
        <v>3.6133333333333204</v>
      </c>
      <c r="AD16" s="9">
        <v>9</v>
      </c>
      <c r="AE16" s="9">
        <f>FAMES!N127</f>
        <v>0.56299999999999994</v>
      </c>
      <c r="AF16" s="56">
        <f>AE16/AD16</f>
        <v>6.2555555555555545E-2</v>
      </c>
      <c r="AG16" s="9">
        <f>AF16*AC16</f>
        <v>0.22603407407407322</v>
      </c>
      <c r="AH16" s="9">
        <f>(AC16-AC14)/(R16-R14)</f>
        <v>1.0323809523809486</v>
      </c>
      <c r="AI16" s="9">
        <f t="shared" ref="AI16:AI21" si="13">(AR14-AR16)</f>
        <v>3.6810999999999936</v>
      </c>
      <c r="AJ16" s="9">
        <f>AI16/(R16-R14)</f>
        <v>1.0517428571428553</v>
      </c>
      <c r="AK16" s="9"/>
      <c r="AL16" s="9"/>
      <c r="AM16" s="9">
        <f>(50-AR16)/R16</f>
        <v>1.0517428571428553</v>
      </c>
      <c r="AN16" s="9">
        <f t="shared" ref="AN16:AN21" si="14">AC16/R16</f>
        <v>1.0323809523809486</v>
      </c>
      <c r="AO16" s="9">
        <f>AQ16/R16</f>
        <v>0</v>
      </c>
      <c r="AP16" t="str">
        <f t="shared" si="1"/>
        <v/>
      </c>
      <c r="AQ16">
        <f t="shared" si="2"/>
        <v>0</v>
      </c>
      <c r="AR16">
        <f t="shared" ref="AR16:AR32" si="15">IF(ISNUMBER(E16),E16*1000/100,"")</f>
        <v>46.318900000000006</v>
      </c>
      <c r="AS16" t="str">
        <f t="shared" si="3"/>
        <v/>
      </c>
      <c r="AT16" t="str">
        <f t="shared" si="4"/>
        <v/>
      </c>
      <c r="AU16" t="str">
        <f t="shared" si="5"/>
        <v/>
      </c>
      <c r="AV16" t="str">
        <f t="shared" si="6"/>
        <v/>
      </c>
      <c r="AW16" t="str">
        <f t="shared" si="7"/>
        <v/>
      </c>
      <c r="AX16" t="str">
        <f t="shared" si="8"/>
        <v/>
      </c>
      <c r="AY16" t="str">
        <f t="shared" si="9"/>
        <v/>
      </c>
      <c r="AZ16" t="str">
        <f t="shared" si="10"/>
        <v/>
      </c>
      <c r="BA16" t="str">
        <f t="shared" si="11"/>
        <v/>
      </c>
      <c r="BB16" s="11"/>
      <c r="BC16" s="11" t="str">
        <f t="shared" ref="BC16:BC21" si="16">S16</f>
        <v>r1</v>
      </c>
      <c r="BD16" s="6"/>
      <c r="BE16" t="str">
        <f t="shared" si="12"/>
        <v>Jeff_SloHot50_Biostat 2L-20-3</v>
      </c>
      <c r="BF16" s="9"/>
      <c r="BG16" s="32">
        <f>AQ16</f>
        <v>0</v>
      </c>
      <c r="BH16" s="6"/>
      <c r="BI16" s="13"/>
      <c r="BJ16" s="13"/>
      <c r="BK16" s="6">
        <f t="shared" ref="BK16:BK21" si="17">$AR$14-AR16</f>
        <v>3.6810999999999936</v>
      </c>
      <c r="BL16" s="6"/>
      <c r="BM16" s="6">
        <f t="shared" ref="BM16:BM35" si="18">BK16/R16</f>
        <v>1.0517428571428553</v>
      </c>
      <c r="BN16" s="6">
        <f>BK16</f>
        <v>3.6810999999999936</v>
      </c>
      <c r="BO16" s="17">
        <f>BN16/(R16-R14)</f>
        <v>1.0517428571428553</v>
      </c>
      <c r="BP16" s="17">
        <f>AC16-AC14</f>
        <v>3.6133333333333204</v>
      </c>
      <c r="BQ16" s="18">
        <f>BP16/BN16</f>
        <v>0.98159064772305205</v>
      </c>
      <c r="BR16" s="8"/>
      <c r="BS16" s="20"/>
      <c r="BT16" s="14"/>
      <c r="BU16" s="14"/>
      <c r="BZ16" s="9"/>
      <c r="CA16" s="9"/>
      <c r="CB16" s="6"/>
      <c r="CC16" s="6"/>
      <c r="CD16" s="6"/>
      <c r="CE16" s="9"/>
      <c r="CL16" s="6"/>
      <c r="CM16" s="6"/>
      <c r="CN16" s="6"/>
    </row>
    <row r="17" spans="1:92" x14ac:dyDescent="0.2">
      <c r="A17" s="3"/>
      <c r="B17" s="3" t="s">
        <v>184</v>
      </c>
      <c r="C17" s="3" t="s">
        <v>183</v>
      </c>
      <c r="D17" s="3">
        <v>9.4299999999999991E-3</v>
      </c>
      <c r="E17" s="3">
        <v>4.6650299999999998</v>
      </c>
      <c r="F17" s="3" t="s">
        <v>183</v>
      </c>
      <c r="G17" s="3" t="s">
        <v>183</v>
      </c>
      <c r="H17" s="3" t="s">
        <v>183</v>
      </c>
      <c r="I17" s="3" t="s">
        <v>183</v>
      </c>
      <c r="J17" s="3" t="s">
        <v>183</v>
      </c>
      <c r="K17" s="3" t="s">
        <v>183</v>
      </c>
      <c r="L17" s="3" t="s">
        <v>183</v>
      </c>
      <c r="M17" s="3"/>
      <c r="N17" s="3"/>
      <c r="P17" s="2">
        <v>45579</v>
      </c>
      <c r="Q17" s="31">
        <v>0.58333333333333337</v>
      </c>
      <c r="R17">
        <v>3.5</v>
      </c>
      <c r="S17" t="s">
        <v>48</v>
      </c>
      <c r="T17">
        <v>4</v>
      </c>
      <c r="U17">
        <v>3</v>
      </c>
      <c r="V17" t="s">
        <v>23</v>
      </c>
      <c r="W17">
        <v>2.34</v>
      </c>
      <c r="Y17">
        <v>6.7218999999999998</v>
      </c>
      <c r="Z17">
        <v>6.7325999999999997</v>
      </c>
      <c r="AA17">
        <v>7.5</v>
      </c>
      <c r="AB17">
        <f t="shared" ref="AB17:AB21" si="19">Z17-Y17</f>
        <v>1.0699999999999932E-2</v>
      </c>
      <c r="AC17" s="9">
        <f t="shared" ref="AC17:AC21" si="20">AB17/(AA17/1000)</f>
        <v>1.4266666666666576</v>
      </c>
      <c r="AD17" s="9">
        <v>8</v>
      </c>
      <c r="AE17" s="9">
        <f>FAMES!N128</f>
        <v>0.80449999999999999</v>
      </c>
      <c r="AF17" s="56">
        <f t="shared" ref="AF17:AF37" si="21">AE17/AD17</f>
        <v>0.1005625</v>
      </c>
      <c r="AG17" s="9">
        <f t="shared" ref="AG17:AG21" si="22">AF17*AC17</f>
        <v>0.14346916666666576</v>
      </c>
      <c r="AH17" s="9">
        <f>(AC17-AC15)/(R17-R15)</f>
        <v>0.40761904761904505</v>
      </c>
      <c r="AI17" s="9">
        <f t="shared" si="13"/>
        <v>3.3497000000000057</v>
      </c>
      <c r="AJ17" s="9">
        <f>AI17/(R17-R15)</f>
        <v>0.95705714285714449</v>
      </c>
      <c r="AK17" s="9"/>
      <c r="AL17" s="9">
        <f>(AQ17-AQ15)/(R17-R15)</f>
        <v>2.694285714285714E-2</v>
      </c>
      <c r="AM17" s="9">
        <f t="shared" ref="AM17:AM37" si="23">(50-AR17)/R17</f>
        <v>0.95705714285714449</v>
      </c>
      <c r="AN17" s="9">
        <f t="shared" si="14"/>
        <v>0.40761904761904505</v>
      </c>
      <c r="AO17" s="9">
        <f t="shared" ref="AO17:AO37" si="24">AQ17/R17</f>
        <v>2.694285714285714E-2</v>
      </c>
      <c r="AP17" t="str">
        <f t="shared" si="1"/>
        <v/>
      </c>
      <c r="AQ17">
        <f t="shared" si="2"/>
        <v>9.4299999999999995E-2</v>
      </c>
      <c r="AR17">
        <f t="shared" si="15"/>
        <v>46.650299999999994</v>
      </c>
      <c r="AS17" t="str">
        <f t="shared" si="3"/>
        <v/>
      </c>
      <c r="AT17" t="str">
        <f t="shared" si="4"/>
        <v/>
      </c>
      <c r="AU17" t="str">
        <f t="shared" si="5"/>
        <v/>
      </c>
      <c r="AV17" t="str">
        <f t="shared" si="6"/>
        <v/>
      </c>
      <c r="AW17" t="str">
        <f t="shared" si="7"/>
        <v/>
      </c>
      <c r="AX17" t="str">
        <f t="shared" si="8"/>
        <v/>
      </c>
      <c r="AY17" t="str">
        <f t="shared" si="9"/>
        <v/>
      </c>
      <c r="AZ17" t="str">
        <f t="shared" si="10"/>
        <v/>
      </c>
      <c r="BA17" t="str">
        <f t="shared" si="11"/>
        <v/>
      </c>
      <c r="BB17" s="11"/>
      <c r="BC17" s="11" t="str">
        <f t="shared" si="16"/>
        <v>r2</v>
      </c>
      <c r="BD17" s="6"/>
      <c r="BE17" t="str">
        <f t="shared" si="12"/>
        <v>Jeff_SloHot50_Biostat 2L-20-4</v>
      </c>
      <c r="BF17" s="9"/>
      <c r="BG17" s="32">
        <f t="shared" ref="BG17:BG35" si="25">AQ17</f>
        <v>9.4299999999999995E-2</v>
      </c>
      <c r="BH17" s="6"/>
      <c r="BI17" s="13"/>
      <c r="BJ17" s="13"/>
      <c r="BK17" s="6">
        <f t="shared" si="17"/>
        <v>3.3497000000000057</v>
      </c>
      <c r="BL17" s="6"/>
      <c r="BM17" s="6">
        <f t="shared" si="18"/>
        <v>0.95705714285714449</v>
      </c>
      <c r="BN17" s="6">
        <f>BK17</f>
        <v>3.3497000000000057</v>
      </c>
      <c r="BO17" s="17">
        <f t="shared" ref="BO17:BO35" si="26">BN17/(R17-R15)</f>
        <v>0.95705714285714449</v>
      </c>
      <c r="BP17" s="17">
        <f>AC17-AC15</f>
        <v>1.4266666666666576</v>
      </c>
      <c r="BQ17" s="18">
        <f>BP17/BN17</f>
        <v>0.42590878785164499</v>
      </c>
      <c r="BR17" s="8"/>
      <c r="BS17" s="20"/>
      <c r="BT17" s="20"/>
      <c r="BU17" s="14"/>
      <c r="BZ17" s="9"/>
      <c r="CA17" s="9"/>
      <c r="CB17" s="6"/>
      <c r="CC17" s="6"/>
      <c r="CD17" s="6"/>
      <c r="CE17" s="9"/>
      <c r="CL17" s="6"/>
      <c r="CM17" s="6"/>
      <c r="CN17" s="6"/>
    </row>
    <row r="18" spans="1:92" x14ac:dyDescent="0.2">
      <c r="A18" s="3"/>
      <c r="B18" s="3" t="s">
        <v>185</v>
      </c>
      <c r="C18" s="3" t="s">
        <v>183</v>
      </c>
      <c r="D18" s="3" t="s">
        <v>183</v>
      </c>
      <c r="E18" s="3">
        <v>4.5167299999999999</v>
      </c>
      <c r="F18" s="3" t="s">
        <v>183</v>
      </c>
      <c r="G18" s="3" t="s">
        <v>183</v>
      </c>
      <c r="H18" s="3" t="s">
        <v>183</v>
      </c>
      <c r="I18" s="3" t="s">
        <v>183</v>
      </c>
      <c r="J18" s="3" t="s">
        <v>183</v>
      </c>
      <c r="K18" s="3" t="s">
        <v>183</v>
      </c>
      <c r="L18" s="3" t="s">
        <v>183</v>
      </c>
      <c r="M18" s="3"/>
      <c r="N18" s="3"/>
      <c r="P18" s="2">
        <v>45579</v>
      </c>
      <c r="Q18" s="31">
        <v>0.66666666666666663</v>
      </c>
      <c r="R18">
        <v>5.5</v>
      </c>
      <c r="S18" t="s">
        <v>47</v>
      </c>
      <c r="T18">
        <v>5</v>
      </c>
      <c r="U18">
        <v>3</v>
      </c>
      <c r="V18" t="s">
        <v>23</v>
      </c>
      <c r="W18" s="39"/>
      <c r="Y18">
        <v>6.6825000000000001</v>
      </c>
      <c r="Z18">
        <v>6.7133000000000003</v>
      </c>
      <c r="AA18">
        <v>8</v>
      </c>
      <c r="AB18">
        <f t="shared" si="19"/>
        <v>3.0800000000000161E-2</v>
      </c>
      <c r="AC18" s="9">
        <f t="shared" si="20"/>
        <v>3.8500000000000201</v>
      </c>
      <c r="AD18" s="9">
        <v>13</v>
      </c>
      <c r="AE18" s="9">
        <f>FAMES!N129</f>
        <v>0.78049999999999997</v>
      </c>
      <c r="AF18" s="56">
        <f t="shared" si="21"/>
        <v>6.0038461538461534E-2</v>
      </c>
      <c r="AG18" s="9">
        <f t="shared" si="22"/>
        <v>0.23114807692307812</v>
      </c>
      <c r="AH18" s="9">
        <f t="shared" ref="AH18:AH37" si="27">(AC18-AC16)/(R18-R16)</f>
        <v>0.11833333333334983</v>
      </c>
      <c r="AI18" s="9">
        <f t="shared" si="13"/>
        <v>1.1516000000000091</v>
      </c>
      <c r="AJ18" s="9">
        <f t="shared" ref="AJ18:AJ21" si="28">AI18/(R18-R16)</f>
        <v>0.57580000000000453</v>
      </c>
      <c r="AK18" s="9">
        <f>AH18/AJ18</f>
        <v>0.20551117286097412</v>
      </c>
      <c r="AL18" s="9">
        <f t="shared" ref="AL18:AL21" si="29">(AQ18-AQ16)/(R18-R16)</f>
        <v>0</v>
      </c>
      <c r="AM18" s="9">
        <f t="shared" si="23"/>
        <v>0.87867272727272772</v>
      </c>
      <c r="AN18" s="9">
        <f t="shared" si="14"/>
        <v>0.70000000000000362</v>
      </c>
      <c r="AO18" s="9">
        <f t="shared" si="24"/>
        <v>0</v>
      </c>
      <c r="AP18" t="str">
        <f t="shared" si="1"/>
        <v/>
      </c>
      <c r="AQ18">
        <f t="shared" si="2"/>
        <v>0</v>
      </c>
      <c r="AR18">
        <f t="shared" si="15"/>
        <v>45.167299999999997</v>
      </c>
      <c r="AS18" t="str">
        <f t="shared" si="3"/>
        <v/>
      </c>
      <c r="AT18" t="str">
        <f t="shared" si="4"/>
        <v/>
      </c>
      <c r="AU18" t="str">
        <f t="shared" si="5"/>
        <v/>
      </c>
      <c r="AV18" t="str">
        <f t="shared" si="6"/>
        <v/>
      </c>
      <c r="AW18" t="str">
        <f t="shared" si="7"/>
        <v/>
      </c>
      <c r="AX18" t="str">
        <f t="shared" si="8"/>
        <v/>
      </c>
      <c r="AY18" t="str">
        <f t="shared" si="9"/>
        <v/>
      </c>
      <c r="AZ18" t="str">
        <f t="shared" si="10"/>
        <v/>
      </c>
      <c r="BA18" t="str">
        <f t="shared" si="11"/>
        <v/>
      </c>
      <c r="BB18" s="11"/>
      <c r="BC18" s="11" t="str">
        <f t="shared" si="16"/>
        <v>r1</v>
      </c>
      <c r="BD18" s="6"/>
      <c r="BE18" t="str">
        <f t="shared" si="12"/>
        <v>Jeff_SloHot50_Biostat 2L-20-5</v>
      </c>
      <c r="BF18" s="9"/>
      <c r="BG18" s="32">
        <f t="shared" si="25"/>
        <v>0</v>
      </c>
      <c r="BH18" s="6"/>
      <c r="BI18" s="13"/>
      <c r="BJ18" s="6"/>
      <c r="BK18" s="6">
        <f t="shared" si="17"/>
        <v>4.8327000000000027</v>
      </c>
      <c r="BL18" s="6"/>
      <c r="BM18" s="6">
        <f t="shared" si="18"/>
        <v>0.87867272727272772</v>
      </c>
      <c r="BN18" s="6">
        <f t="shared" ref="BN18:BN21" si="30">BK18-BK16</f>
        <v>1.1516000000000091</v>
      </c>
      <c r="BO18" s="17">
        <f t="shared" si="26"/>
        <v>0.57580000000000453</v>
      </c>
      <c r="BP18" s="17"/>
      <c r="BQ18" s="18"/>
      <c r="BR18" s="8"/>
      <c r="BS18" s="20"/>
      <c r="BT18" s="20"/>
      <c r="BU18" s="8"/>
      <c r="BZ18" s="9"/>
      <c r="CA18" s="9"/>
      <c r="CB18" s="6"/>
      <c r="CC18" s="6"/>
      <c r="CD18" s="6"/>
      <c r="CE18" s="9"/>
      <c r="CF18" s="9"/>
      <c r="CG18" s="9"/>
      <c r="CL18" s="6"/>
      <c r="CM18" s="6"/>
      <c r="CN18" s="6"/>
    </row>
    <row r="19" spans="1:92" x14ac:dyDescent="0.2">
      <c r="A19" s="3"/>
      <c r="B19" s="3" t="s">
        <v>186</v>
      </c>
      <c r="C19" s="3" t="s">
        <v>183</v>
      </c>
      <c r="D19" s="3">
        <v>7.3899999999999999E-3</v>
      </c>
      <c r="E19" s="3">
        <v>4.5627899999999997</v>
      </c>
      <c r="F19" s="3" t="s">
        <v>183</v>
      </c>
      <c r="G19" s="3" t="s">
        <v>183</v>
      </c>
      <c r="H19" s="3" t="s">
        <v>183</v>
      </c>
      <c r="I19" s="3" t="s">
        <v>183</v>
      </c>
      <c r="J19" s="3" t="s">
        <v>183</v>
      </c>
      <c r="K19" s="3" t="s">
        <v>183</v>
      </c>
      <c r="L19" s="3" t="s">
        <v>183</v>
      </c>
      <c r="M19" s="3"/>
      <c r="N19" s="3"/>
      <c r="P19" s="2">
        <v>45579</v>
      </c>
      <c r="Q19" s="31">
        <v>0.66666666666666663</v>
      </c>
      <c r="R19">
        <v>5.5</v>
      </c>
      <c r="S19" t="s">
        <v>48</v>
      </c>
      <c r="T19">
        <v>6</v>
      </c>
      <c r="U19">
        <v>3</v>
      </c>
      <c r="V19" t="s">
        <v>23</v>
      </c>
      <c r="W19" s="39"/>
      <c r="Y19">
        <v>6.7225000000000001</v>
      </c>
      <c r="Z19">
        <v>6.7380000000000004</v>
      </c>
      <c r="AA19">
        <v>8</v>
      </c>
      <c r="AB19">
        <f t="shared" si="19"/>
        <v>1.5500000000000291E-2</v>
      </c>
      <c r="AC19" s="9">
        <f t="shared" si="20"/>
        <v>1.9375000000000364</v>
      </c>
      <c r="AD19" s="9">
        <v>13</v>
      </c>
      <c r="AE19" s="9">
        <f>FAMES!N130</f>
        <v>0.8294999999999999</v>
      </c>
      <c r="AF19" s="56">
        <f t="shared" si="21"/>
        <v>6.3807692307692301E-2</v>
      </c>
      <c r="AG19" s="9">
        <f t="shared" si="22"/>
        <v>0.12362740384615616</v>
      </c>
      <c r="AH19" s="9">
        <f t="shared" si="27"/>
        <v>0.25541666666668938</v>
      </c>
      <c r="AI19" s="9">
        <f t="shared" si="13"/>
        <v>1.0223999999999975</v>
      </c>
      <c r="AJ19" s="9">
        <f t="shared" si="28"/>
        <v>0.51119999999999877</v>
      </c>
      <c r="AK19" s="9">
        <f>AH19/AJ19</f>
        <v>0.49964136671887716</v>
      </c>
      <c r="AL19" s="9">
        <f t="shared" si="29"/>
        <v>-1.0200000000000001E-2</v>
      </c>
      <c r="AM19" s="9">
        <f t="shared" si="23"/>
        <v>0.79492727272727326</v>
      </c>
      <c r="AN19" s="9">
        <f t="shared" si="14"/>
        <v>0.3522727272727339</v>
      </c>
      <c r="AO19" s="9">
        <f t="shared" si="24"/>
        <v>1.3436363636363635E-2</v>
      </c>
      <c r="AP19" t="str">
        <f t="shared" si="1"/>
        <v/>
      </c>
      <c r="AQ19">
        <f t="shared" si="2"/>
        <v>7.3899999999999993E-2</v>
      </c>
      <c r="AR19">
        <f t="shared" si="15"/>
        <v>45.627899999999997</v>
      </c>
      <c r="AS19" t="str">
        <f t="shared" si="3"/>
        <v/>
      </c>
      <c r="AT19" t="str">
        <f t="shared" si="4"/>
        <v/>
      </c>
      <c r="AU19" t="str">
        <f t="shared" si="5"/>
        <v/>
      </c>
      <c r="AV19" t="str">
        <f t="shared" si="6"/>
        <v/>
      </c>
      <c r="AW19" t="str">
        <f t="shared" si="7"/>
        <v/>
      </c>
      <c r="AX19" t="str">
        <f t="shared" si="8"/>
        <v/>
      </c>
      <c r="AY19" t="str">
        <f t="shared" si="9"/>
        <v/>
      </c>
      <c r="AZ19" t="str">
        <f t="shared" si="10"/>
        <v/>
      </c>
      <c r="BA19" t="str">
        <f t="shared" si="11"/>
        <v/>
      </c>
      <c r="BB19" s="11"/>
      <c r="BC19" s="11" t="str">
        <f t="shared" si="16"/>
        <v>r2</v>
      </c>
      <c r="BD19" s="6"/>
      <c r="BE19" t="str">
        <f t="shared" si="12"/>
        <v>Jeff_SloHot50_Biostat 2L-20-6</v>
      </c>
      <c r="BF19" s="9"/>
      <c r="BG19" s="32">
        <f t="shared" si="25"/>
        <v>7.3899999999999993E-2</v>
      </c>
      <c r="BH19" s="6"/>
      <c r="BI19" s="13"/>
      <c r="BJ19" s="6"/>
      <c r="BK19" s="6">
        <f t="shared" si="17"/>
        <v>4.3721000000000032</v>
      </c>
      <c r="BL19" s="6"/>
      <c r="BM19" s="6">
        <f t="shared" si="18"/>
        <v>0.79492727272727326</v>
      </c>
      <c r="BN19" s="6">
        <f t="shared" si="30"/>
        <v>1.0223999999999975</v>
      </c>
      <c r="BO19" s="17">
        <f t="shared" si="26"/>
        <v>0.51119999999999877</v>
      </c>
      <c r="BP19" s="17"/>
      <c r="BQ19" s="18"/>
      <c r="BR19" s="8"/>
      <c r="BS19" s="20"/>
      <c r="BT19" s="20"/>
      <c r="BU19" s="8"/>
      <c r="BZ19" s="9"/>
      <c r="CA19" s="9"/>
      <c r="CB19" s="6"/>
      <c r="CC19" s="6"/>
      <c r="CD19" s="6"/>
      <c r="CE19" s="9"/>
      <c r="CF19" s="9"/>
      <c r="CG19" s="9"/>
      <c r="CL19" s="6"/>
      <c r="CM19" s="6"/>
      <c r="CN19" s="6"/>
    </row>
    <row r="20" spans="1:92" x14ac:dyDescent="0.2">
      <c r="B20" s="3" t="s">
        <v>187</v>
      </c>
      <c r="C20" s="3" t="s">
        <v>183</v>
      </c>
      <c r="D20" s="3">
        <v>0.19581999999999999</v>
      </c>
      <c r="E20" s="3">
        <v>2.9418299999999999</v>
      </c>
      <c r="F20" s="3" t="s">
        <v>183</v>
      </c>
      <c r="G20" s="3" t="s">
        <v>183</v>
      </c>
      <c r="H20" s="3" t="s">
        <v>183</v>
      </c>
      <c r="I20" s="3" t="s">
        <v>183</v>
      </c>
      <c r="J20" s="3" t="s">
        <v>183</v>
      </c>
      <c r="K20" s="3" t="s">
        <v>183</v>
      </c>
      <c r="L20" s="3" t="s">
        <v>183</v>
      </c>
      <c r="M20" s="3"/>
      <c r="N20" s="3"/>
      <c r="P20" s="2">
        <v>45580</v>
      </c>
      <c r="Q20" s="31">
        <v>0.39583333333333331</v>
      </c>
      <c r="R20">
        <v>23</v>
      </c>
      <c r="S20" t="s">
        <v>47</v>
      </c>
      <c r="T20">
        <v>7</v>
      </c>
      <c r="U20">
        <v>3</v>
      </c>
      <c r="V20" t="s">
        <v>23</v>
      </c>
      <c r="W20">
        <v>20.64</v>
      </c>
      <c r="X20">
        <v>42</v>
      </c>
      <c r="Y20">
        <v>6.7173999999999996</v>
      </c>
      <c r="Z20">
        <v>6.7728000000000002</v>
      </c>
      <c r="AA20">
        <v>8</v>
      </c>
      <c r="AB20">
        <f t="shared" si="19"/>
        <v>5.540000000000056E-2</v>
      </c>
      <c r="AC20" s="9">
        <f t="shared" si="20"/>
        <v>6.92500000000007</v>
      </c>
      <c r="AD20" s="9">
        <v>15</v>
      </c>
      <c r="AE20" s="9">
        <f>FAMES!N131</f>
        <v>1.6944999999999999</v>
      </c>
      <c r="AF20" s="56">
        <f t="shared" si="21"/>
        <v>0.11296666666666666</v>
      </c>
      <c r="AG20" s="9">
        <f t="shared" si="22"/>
        <v>0.78229416666667451</v>
      </c>
      <c r="AH20" s="9">
        <f t="shared" si="27"/>
        <v>0.17571428571428857</v>
      </c>
      <c r="AI20" s="9">
        <f t="shared" si="13"/>
        <v>15.748999999999999</v>
      </c>
      <c r="AJ20" s="9">
        <f t="shared" si="28"/>
        <v>0.89994285714285704</v>
      </c>
      <c r="AK20" s="9">
        <f>AH20/AJ20</f>
        <v>0.19525049209473938</v>
      </c>
      <c r="AL20" s="9">
        <f t="shared" si="29"/>
        <v>0.11189714285714285</v>
      </c>
      <c r="AM20" s="9">
        <f t="shared" si="23"/>
        <v>0.89485652173913055</v>
      </c>
      <c r="AN20" s="9">
        <f t="shared" si="14"/>
        <v>0.30108695652174217</v>
      </c>
      <c r="AO20" s="9">
        <f t="shared" si="24"/>
        <v>8.5139130434782606E-2</v>
      </c>
      <c r="AP20" t="str">
        <f t="shared" si="1"/>
        <v/>
      </c>
      <c r="AQ20">
        <f t="shared" si="2"/>
        <v>1.9581999999999999</v>
      </c>
      <c r="AR20">
        <f t="shared" si="15"/>
        <v>29.418299999999999</v>
      </c>
      <c r="AS20" t="str">
        <f t="shared" si="3"/>
        <v/>
      </c>
      <c r="AT20" t="str">
        <f t="shared" si="4"/>
        <v/>
      </c>
      <c r="AU20" t="str">
        <f t="shared" si="5"/>
        <v/>
      </c>
      <c r="AV20" t="str">
        <f t="shared" si="6"/>
        <v/>
      </c>
      <c r="AW20" t="str">
        <f t="shared" si="7"/>
        <v/>
      </c>
      <c r="AX20" t="str">
        <f t="shared" si="8"/>
        <v/>
      </c>
      <c r="AY20" t="str">
        <f t="shared" si="9"/>
        <v/>
      </c>
      <c r="AZ20" t="str">
        <f t="shared" si="10"/>
        <v/>
      </c>
      <c r="BA20" t="str">
        <f t="shared" si="11"/>
        <v/>
      </c>
      <c r="BB20" s="11"/>
      <c r="BC20" s="11" t="str">
        <f t="shared" si="16"/>
        <v>r1</v>
      </c>
      <c r="BD20" s="6"/>
      <c r="BE20" t="str">
        <f t="shared" si="12"/>
        <v>Jeff_SloHot50_Biostat 2L-20-7</v>
      </c>
      <c r="BF20" s="9"/>
      <c r="BG20" s="32">
        <f t="shared" si="25"/>
        <v>1.9581999999999999</v>
      </c>
      <c r="BH20" s="6"/>
      <c r="BI20" s="13"/>
      <c r="BJ20" s="6"/>
      <c r="BK20" s="6">
        <f t="shared" si="17"/>
        <v>20.581700000000001</v>
      </c>
      <c r="BL20" s="6"/>
      <c r="BM20" s="6">
        <f t="shared" si="18"/>
        <v>0.89485652173913055</v>
      </c>
      <c r="BN20" s="6">
        <f t="shared" si="30"/>
        <v>15.748999999999999</v>
      </c>
      <c r="BO20" s="17">
        <f t="shared" si="26"/>
        <v>0.89994285714285704</v>
      </c>
      <c r="BP20" s="17"/>
      <c r="BQ20" s="18"/>
      <c r="BR20" s="8"/>
      <c r="BS20" s="20"/>
      <c r="BT20" s="20"/>
      <c r="BU20" s="8"/>
      <c r="BZ20" s="8"/>
      <c r="CA20" s="9"/>
      <c r="CB20" s="6"/>
      <c r="CC20" s="6"/>
      <c r="CD20" s="6"/>
      <c r="CE20" s="9"/>
      <c r="CF20" s="9"/>
      <c r="CG20" s="9"/>
      <c r="CL20" s="6"/>
      <c r="CM20" s="6"/>
      <c r="CN20" s="6"/>
    </row>
    <row r="21" spans="1:92" x14ac:dyDescent="0.2">
      <c r="B21" s="3" t="s">
        <v>188</v>
      </c>
      <c r="C21" s="3" t="s">
        <v>183</v>
      </c>
      <c r="D21" s="3">
        <v>0.30109999999999998</v>
      </c>
      <c r="E21" s="3">
        <v>2.7806600000000001</v>
      </c>
      <c r="F21" s="3" t="s">
        <v>183</v>
      </c>
      <c r="G21" s="3" t="s">
        <v>183</v>
      </c>
      <c r="H21" s="3" t="s">
        <v>183</v>
      </c>
      <c r="I21" s="3" t="s">
        <v>183</v>
      </c>
      <c r="J21" s="3" t="s">
        <v>183</v>
      </c>
      <c r="K21" s="3" t="s">
        <v>183</v>
      </c>
      <c r="L21" s="3" t="s">
        <v>183</v>
      </c>
      <c r="M21" s="3"/>
      <c r="N21" s="3"/>
      <c r="P21" s="2">
        <v>45580</v>
      </c>
      <c r="Q21" s="31">
        <v>0.39583333333333331</v>
      </c>
      <c r="R21">
        <v>23</v>
      </c>
      <c r="S21" t="s">
        <v>48</v>
      </c>
      <c r="T21">
        <v>8</v>
      </c>
      <c r="U21">
        <v>3</v>
      </c>
      <c r="V21" t="s">
        <v>23</v>
      </c>
      <c r="W21">
        <v>20.96</v>
      </c>
      <c r="X21">
        <v>57</v>
      </c>
      <c r="Y21">
        <v>6.6657999999999999</v>
      </c>
      <c r="Z21">
        <v>6.7294</v>
      </c>
      <c r="AA21">
        <v>8</v>
      </c>
      <c r="AB21">
        <f t="shared" si="19"/>
        <v>6.3600000000000101E-2</v>
      </c>
      <c r="AC21" s="9">
        <f t="shared" si="20"/>
        <v>7.9500000000000126</v>
      </c>
      <c r="AD21" s="9">
        <v>13</v>
      </c>
      <c r="AE21" s="9">
        <f>FAMES!N132</f>
        <v>1.3320000000000001</v>
      </c>
      <c r="AF21" s="56">
        <f t="shared" si="21"/>
        <v>0.10246153846153847</v>
      </c>
      <c r="AG21" s="9">
        <f t="shared" si="22"/>
        <v>0.81456923076923204</v>
      </c>
      <c r="AH21" s="9">
        <f t="shared" si="27"/>
        <v>0.3435714285714272</v>
      </c>
      <c r="AI21" s="9">
        <f t="shared" si="13"/>
        <v>17.821299999999994</v>
      </c>
      <c r="AJ21" s="9">
        <f t="shared" si="28"/>
        <v>1.0183599999999997</v>
      </c>
      <c r="AK21" s="9">
        <f>AH21/AJ21</f>
        <v>0.33737718348268519</v>
      </c>
      <c r="AL21" s="9">
        <f t="shared" si="29"/>
        <v>0.16783428571428569</v>
      </c>
      <c r="AM21" s="9">
        <f t="shared" si="23"/>
        <v>0.96493043478260854</v>
      </c>
      <c r="AN21" s="9">
        <f t="shared" si="14"/>
        <v>0.34565217391304404</v>
      </c>
      <c r="AO21" s="9">
        <f t="shared" si="24"/>
        <v>0.13091304347826085</v>
      </c>
      <c r="AP21" t="str">
        <f t="shared" si="1"/>
        <v/>
      </c>
      <c r="AQ21">
        <f t="shared" si="2"/>
        <v>3.0109999999999997</v>
      </c>
      <c r="AR21">
        <f t="shared" si="15"/>
        <v>27.806600000000003</v>
      </c>
      <c r="AS21" t="str">
        <f t="shared" si="3"/>
        <v/>
      </c>
      <c r="AT21" t="str">
        <f t="shared" si="4"/>
        <v/>
      </c>
      <c r="AU21" t="str">
        <f t="shared" si="5"/>
        <v/>
      </c>
      <c r="AV21" t="str">
        <f t="shared" si="6"/>
        <v/>
      </c>
      <c r="AW21" t="str">
        <f t="shared" si="7"/>
        <v/>
      </c>
      <c r="AX21" t="str">
        <f t="shared" si="8"/>
        <v/>
      </c>
      <c r="AY21" t="str">
        <f t="shared" si="9"/>
        <v/>
      </c>
      <c r="AZ21" t="str">
        <f t="shared" si="10"/>
        <v/>
      </c>
      <c r="BA21" t="str">
        <f t="shared" si="11"/>
        <v/>
      </c>
      <c r="BB21" s="11"/>
      <c r="BC21" s="11" t="str">
        <f t="shared" si="16"/>
        <v>r2</v>
      </c>
      <c r="BD21" s="6"/>
      <c r="BE21" t="str">
        <f t="shared" si="12"/>
        <v>Jeff_SloHot50_Biostat 2L-20-8</v>
      </c>
      <c r="BF21" s="9"/>
      <c r="BG21" s="32">
        <f t="shared" si="25"/>
        <v>3.0109999999999997</v>
      </c>
      <c r="BH21" s="6"/>
      <c r="BI21" s="13"/>
      <c r="BJ21" s="6"/>
      <c r="BK21" s="6">
        <f t="shared" si="17"/>
        <v>22.193399999999997</v>
      </c>
      <c r="BL21" s="6"/>
      <c r="BM21" s="6">
        <f t="shared" si="18"/>
        <v>0.96493043478260854</v>
      </c>
      <c r="BN21" s="6">
        <f t="shared" si="30"/>
        <v>17.821299999999994</v>
      </c>
      <c r="BO21" s="17">
        <f t="shared" si="26"/>
        <v>1.0183599999999997</v>
      </c>
      <c r="BP21" s="17"/>
      <c r="BQ21" s="18"/>
      <c r="BR21" s="8"/>
      <c r="BS21" s="20"/>
      <c r="BT21" s="20"/>
      <c r="BU21" s="8"/>
      <c r="BZ21" s="8"/>
      <c r="CA21" s="9"/>
      <c r="CB21" s="6"/>
      <c r="CC21" s="6"/>
      <c r="CD21" s="6"/>
      <c r="CE21" s="9"/>
      <c r="CF21" s="9"/>
      <c r="CG21" s="9"/>
      <c r="CL21" s="6"/>
      <c r="CM21" s="6"/>
      <c r="CN21" s="6"/>
    </row>
    <row r="22" spans="1:92" x14ac:dyDescent="0.2">
      <c r="F22" s="3" t="s">
        <v>183</v>
      </c>
      <c r="G22" s="3" t="s">
        <v>183</v>
      </c>
      <c r="H22" s="3" t="s">
        <v>183</v>
      </c>
      <c r="I22" s="3" t="s">
        <v>183</v>
      </c>
      <c r="J22" s="3" t="s">
        <v>183</v>
      </c>
      <c r="K22" s="3" t="s">
        <v>183</v>
      </c>
      <c r="L22" s="3" t="s">
        <v>183</v>
      </c>
      <c r="M22" s="3"/>
      <c r="N22" s="3"/>
      <c r="P22" s="2">
        <v>45580</v>
      </c>
      <c r="Q22" s="31">
        <v>0.5</v>
      </c>
      <c r="R22">
        <v>25.5</v>
      </c>
      <c r="S22" t="s">
        <v>47</v>
      </c>
      <c r="T22" t="s">
        <v>175</v>
      </c>
      <c r="U22">
        <v>1</v>
      </c>
      <c r="V22" t="s">
        <v>23</v>
      </c>
      <c r="W22">
        <v>20.84</v>
      </c>
      <c r="AA22" t="s">
        <v>23</v>
      </c>
      <c r="AC22" s="9"/>
      <c r="AD22" s="9"/>
      <c r="AF22" s="56"/>
      <c r="AH22" s="9"/>
      <c r="AI22" s="9"/>
      <c r="AM22" s="9"/>
      <c r="AN22" s="9"/>
      <c r="AO22" s="9"/>
      <c r="AP22" t="str">
        <f t="shared" si="1"/>
        <v/>
      </c>
      <c r="AQ22" t="str">
        <f t="shared" ref="AQ22:AQ37" si="31">IF(ISNUMBER(D22),D22*1000/100,"")</f>
        <v/>
      </c>
      <c r="AR22" t="str">
        <f t="shared" si="15"/>
        <v/>
      </c>
      <c r="AS22" t="str">
        <f t="shared" si="3"/>
        <v/>
      </c>
      <c r="AT22" t="str">
        <f t="shared" si="4"/>
        <v/>
      </c>
      <c r="AU22" t="str">
        <f t="shared" si="5"/>
        <v/>
      </c>
      <c r="AV22" t="str">
        <f t="shared" si="6"/>
        <v/>
      </c>
      <c r="AW22" t="str">
        <f t="shared" si="7"/>
        <v/>
      </c>
      <c r="AX22" t="str">
        <f t="shared" si="8"/>
        <v/>
      </c>
      <c r="AY22" t="str">
        <f t="shared" si="9"/>
        <v/>
      </c>
      <c r="AZ22" t="str">
        <f t="shared" si="10"/>
        <v/>
      </c>
      <c r="BA22" t="str">
        <f t="shared" si="11"/>
        <v/>
      </c>
      <c r="BB22" s="11"/>
      <c r="BC22" s="11" t="str">
        <f t="shared" ref="BC22:BC29" si="32">S24</f>
        <v>r1</v>
      </c>
      <c r="BD22" s="6"/>
      <c r="BE22">
        <f t="shared" si="12"/>
        <v>0</v>
      </c>
      <c r="BF22" s="9"/>
      <c r="BG22" s="32" t="str">
        <f t="shared" si="25"/>
        <v/>
      </c>
      <c r="BH22" s="6"/>
      <c r="BI22" s="6"/>
      <c r="BJ22" s="6"/>
      <c r="BK22" s="41" t="s">
        <v>23</v>
      </c>
      <c r="BL22" s="6"/>
      <c r="BM22" s="6"/>
      <c r="BN22" s="6"/>
      <c r="BO22" s="6"/>
      <c r="BP22" s="6"/>
      <c r="BQ22" s="6"/>
      <c r="BR22" s="8"/>
      <c r="BS22" s="20"/>
      <c r="BT22" s="20"/>
      <c r="BU22" s="8"/>
      <c r="BZ22" s="8"/>
      <c r="CA22" s="9"/>
      <c r="CB22" s="6"/>
      <c r="CC22" s="6"/>
      <c r="CD22" s="6"/>
      <c r="CE22" s="9"/>
      <c r="CF22" s="9"/>
      <c r="CG22" s="9"/>
      <c r="CL22" s="6"/>
      <c r="CM22" s="8"/>
      <c r="CN22" s="6"/>
    </row>
    <row r="23" spans="1:92" x14ac:dyDescent="0.2">
      <c r="F23" s="3" t="s">
        <v>183</v>
      </c>
      <c r="G23" s="3" t="s">
        <v>183</v>
      </c>
      <c r="H23" s="3" t="s">
        <v>183</v>
      </c>
      <c r="I23" s="3" t="s">
        <v>183</v>
      </c>
      <c r="J23" s="3" t="s">
        <v>183</v>
      </c>
      <c r="K23" s="3" t="s">
        <v>183</v>
      </c>
      <c r="L23" s="3" t="s">
        <v>183</v>
      </c>
      <c r="M23" s="3"/>
      <c r="N23" s="3"/>
      <c r="P23" s="2">
        <v>45580</v>
      </c>
      <c r="Q23" s="31">
        <v>0.5</v>
      </c>
      <c r="R23">
        <v>25.5</v>
      </c>
      <c r="S23" t="s">
        <v>48</v>
      </c>
      <c r="T23" t="s">
        <v>175</v>
      </c>
      <c r="U23">
        <v>1</v>
      </c>
      <c r="V23" t="s">
        <v>23</v>
      </c>
      <c r="W23">
        <v>21.44</v>
      </c>
      <c r="AA23" t="s">
        <v>23</v>
      </c>
      <c r="AC23" s="9"/>
      <c r="AD23" s="9"/>
      <c r="AF23" s="56"/>
      <c r="AH23" s="9"/>
      <c r="AI23" s="9"/>
      <c r="AM23" s="9"/>
      <c r="AN23" s="9"/>
      <c r="AO23" s="9"/>
      <c r="AP23" t="str">
        <f t="shared" si="1"/>
        <v/>
      </c>
      <c r="AQ23" t="str">
        <f t="shared" si="31"/>
        <v/>
      </c>
      <c r="AR23" t="str">
        <f t="shared" si="15"/>
        <v/>
      </c>
      <c r="AS23" t="str">
        <f t="shared" si="3"/>
        <v/>
      </c>
      <c r="AT23" t="str">
        <f t="shared" si="4"/>
        <v/>
      </c>
      <c r="AU23" t="str">
        <f t="shared" si="5"/>
        <v/>
      </c>
      <c r="AV23" t="str">
        <f t="shared" si="6"/>
        <v/>
      </c>
      <c r="AW23" t="str">
        <f t="shared" si="7"/>
        <v/>
      </c>
      <c r="AX23" t="str">
        <f t="shared" si="8"/>
        <v/>
      </c>
      <c r="AY23" t="str">
        <f t="shared" si="9"/>
        <v/>
      </c>
      <c r="AZ23" t="str">
        <f t="shared" si="10"/>
        <v/>
      </c>
      <c r="BA23" t="str">
        <f t="shared" si="11"/>
        <v/>
      </c>
      <c r="BB23" s="11"/>
      <c r="BC23" s="11" t="str">
        <f t="shared" si="32"/>
        <v>r2</v>
      </c>
      <c r="BD23" s="6"/>
      <c r="BE23">
        <f t="shared" si="12"/>
        <v>0</v>
      </c>
      <c r="BF23" s="9"/>
      <c r="BG23" s="32" t="str">
        <f t="shared" si="25"/>
        <v/>
      </c>
      <c r="BH23" s="6"/>
      <c r="BI23" s="6"/>
      <c r="BJ23" s="6"/>
      <c r="BK23" s="41" t="s">
        <v>23</v>
      </c>
      <c r="BL23" s="6"/>
      <c r="BM23" s="6"/>
      <c r="BN23" s="6"/>
      <c r="BO23" s="6"/>
      <c r="BP23" s="6"/>
      <c r="BQ23" s="6"/>
      <c r="BR23" s="8"/>
      <c r="BS23" s="20"/>
      <c r="BT23" s="20"/>
      <c r="BU23" s="8"/>
      <c r="BZ23" s="8"/>
      <c r="CA23" s="9"/>
      <c r="CB23" s="6"/>
      <c r="CC23" s="6"/>
      <c r="CD23" s="6"/>
      <c r="CE23" s="9"/>
      <c r="CF23" s="9"/>
      <c r="CG23" s="9"/>
      <c r="CL23" s="6"/>
      <c r="CM23" s="8"/>
      <c r="CN23" s="6"/>
    </row>
    <row r="24" spans="1:92" x14ac:dyDescent="0.2">
      <c r="A24" s="3"/>
      <c r="B24" s="3" t="s">
        <v>189</v>
      </c>
      <c r="C24" s="3" t="s">
        <v>183</v>
      </c>
      <c r="D24" s="3">
        <v>0.28766999999999998</v>
      </c>
      <c r="E24" s="3">
        <v>2.61239</v>
      </c>
      <c r="F24" s="3" t="s">
        <v>183</v>
      </c>
      <c r="G24" s="3" t="s">
        <v>183</v>
      </c>
      <c r="H24" s="3" t="s">
        <v>183</v>
      </c>
      <c r="I24" s="3" t="s">
        <v>183</v>
      </c>
      <c r="J24" s="3" t="s">
        <v>183</v>
      </c>
      <c r="K24" s="3" t="s">
        <v>183</v>
      </c>
      <c r="L24" s="3" t="s">
        <v>183</v>
      </c>
      <c r="M24" s="3"/>
      <c r="N24" s="3"/>
      <c r="P24" s="2">
        <v>45580</v>
      </c>
      <c r="Q24" s="31">
        <v>0.63541666666666663</v>
      </c>
      <c r="R24">
        <v>28.75</v>
      </c>
      <c r="S24" t="s">
        <v>47</v>
      </c>
      <c r="T24">
        <v>9</v>
      </c>
      <c r="V24" t="s">
        <v>23</v>
      </c>
      <c r="W24">
        <v>21.12</v>
      </c>
      <c r="X24">
        <v>52</v>
      </c>
      <c r="Y24">
        <v>6.7046000000000001</v>
      </c>
      <c r="Z24">
        <v>6.774</v>
      </c>
      <c r="AA24">
        <v>8</v>
      </c>
      <c r="AB24">
        <f t="shared" ref="AB24:AB37" si="33">Z24-Y24</f>
        <v>6.9399999999999906E-2</v>
      </c>
      <c r="AC24" s="9">
        <f>AB24/(AA24/1000)</f>
        <v>8.6749999999999883</v>
      </c>
      <c r="AD24" s="9">
        <v>20</v>
      </c>
      <c r="AE24" s="9">
        <f>FAMES!N133</f>
        <v>2.5210000000000004</v>
      </c>
      <c r="AF24" s="56">
        <f t="shared" si="21"/>
        <v>0.12605000000000002</v>
      </c>
      <c r="AG24" s="9">
        <f t="shared" ref="AG24:AG37" si="34">AF24*AC24</f>
        <v>1.0934837499999988</v>
      </c>
      <c r="AH24" s="9">
        <f>(AC24-AC20)/(R24-R20)</f>
        <v>0.30434782608694233</v>
      </c>
      <c r="AI24" s="9">
        <f>(AR20-AR24)</f>
        <v>3.2943999999999996</v>
      </c>
      <c r="AJ24" s="9">
        <f>AI24/(R24-R20)</f>
        <v>0.57293913043478251</v>
      </c>
      <c r="AK24" s="9">
        <f>AH24/AJ24</f>
        <v>0.53120446818841627</v>
      </c>
      <c r="AL24" s="9">
        <f>(AQ24-AQ20)/(R24-R22)</f>
        <v>0.28261538461538449</v>
      </c>
      <c r="AM24" s="9">
        <f t="shared" si="23"/>
        <v>0.8304730434782609</v>
      </c>
      <c r="AN24" s="9">
        <f t="shared" ref="AN24:AN37" si="35">AC24/R24</f>
        <v>0.30173913043478218</v>
      </c>
      <c r="AO24" s="9">
        <f t="shared" si="24"/>
        <v>0.10005913043478259</v>
      </c>
      <c r="AP24" t="str">
        <f t="shared" si="1"/>
        <v/>
      </c>
      <c r="AQ24">
        <f t="shared" si="31"/>
        <v>2.8766999999999996</v>
      </c>
      <c r="AR24">
        <f t="shared" si="15"/>
        <v>26.123899999999999</v>
      </c>
      <c r="AS24" t="str">
        <f t="shared" si="3"/>
        <v/>
      </c>
      <c r="AT24" t="str">
        <f t="shared" si="4"/>
        <v/>
      </c>
      <c r="AU24" t="str">
        <f t="shared" si="5"/>
        <v/>
      </c>
      <c r="AV24" t="str">
        <f t="shared" si="6"/>
        <v/>
      </c>
      <c r="AW24" t="str">
        <f t="shared" si="7"/>
        <v/>
      </c>
      <c r="AX24" t="str">
        <f t="shared" si="8"/>
        <v/>
      </c>
      <c r="AY24" t="str">
        <f t="shared" si="9"/>
        <v/>
      </c>
      <c r="AZ24" t="str">
        <f t="shared" si="10"/>
        <v/>
      </c>
      <c r="BA24" t="str">
        <f t="shared" si="11"/>
        <v/>
      </c>
      <c r="BB24" s="11"/>
      <c r="BC24" s="11" t="str">
        <f t="shared" si="32"/>
        <v>r1</v>
      </c>
      <c r="BD24" s="6"/>
      <c r="BE24" t="str">
        <f t="shared" si="12"/>
        <v>Jeff_SloHot50_Biostat 2L-20-9</v>
      </c>
      <c r="BF24" s="9"/>
      <c r="BG24" s="32">
        <f t="shared" si="25"/>
        <v>2.8766999999999996</v>
      </c>
      <c r="BH24" s="6"/>
      <c r="BI24" s="6"/>
      <c r="BJ24" s="6"/>
      <c r="BK24" s="6">
        <f t="shared" ref="BK24:BK32" si="36">$AR$14-IF(ISNUMBER(AR24),AR24,0)</f>
        <v>23.876100000000001</v>
      </c>
      <c r="BL24" s="6"/>
      <c r="BM24" s="6">
        <f t="shared" si="18"/>
        <v>0.8304730434782609</v>
      </c>
      <c r="BN24" s="6">
        <f>BK24-BK20</f>
        <v>3.2943999999999996</v>
      </c>
      <c r="BO24" s="17">
        <f t="shared" si="26"/>
        <v>1.0136615384615384</v>
      </c>
      <c r="BP24" s="17"/>
      <c r="BQ24" s="18"/>
      <c r="BR24" s="8"/>
      <c r="BS24" s="20"/>
      <c r="BT24" s="20"/>
      <c r="BU24" s="8"/>
      <c r="BZ24" s="8"/>
      <c r="CA24" s="9"/>
      <c r="CB24" s="6"/>
      <c r="CC24" s="6"/>
      <c r="CD24" s="6"/>
      <c r="CE24" s="9"/>
      <c r="CF24" s="9"/>
      <c r="CG24" s="9"/>
      <c r="CL24" s="6"/>
      <c r="CM24" s="8"/>
      <c r="CN24" s="6"/>
    </row>
    <row r="25" spans="1:92" x14ac:dyDescent="0.2">
      <c r="A25" s="5"/>
      <c r="B25" s="3" t="s">
        <v>190</v>
      </c>
      <c r="C25" s="3" t="s">
        <v>183</v>
      </c>
      <c r="D25" s="3">
        <v>0.51541999999999999</v>
      </c>
      <c r="E25" s="3">
        <v>2.3371400000000002</v>
      </c>
      <c r="F25" s="3" t="s">
        <v>183</v>
      </c>
      <c r="G25" s="3" t="s">
        <v>183</v>
      </c>
      <c r="H25" s="3" t="s">
        <v>183</v>
      </c>
      <c r="I25" s="3" t="s">
        <v>183</v>
      </c>
      <c r="J25" s="3" t="s">
        <v>183</v>
      </c>
      <c r="K25" s="3" t="s">
        <v>183</v>
      </c>
      <c r="L25" s="3" t="s">
        <v>183</v>
      </c>
      <c r="M25" s="3"/>
      <c r="N25" s="3"/>
      <c r="P25" s="2">
        <v>45580</v>
      </c>
      <c r="Q25" s="31">
        <v>0.63541666666666663</v>
      </c>
      <c r="R25">
        <v>28.75</v>
      </c>
      <c r="S25" t="s">
        <v>48</v>
      </c>
      <c r="T25">
        <v>10</v>
      </c>
      <c r="V25" t="s">
        <v>23</v>
      </c>
      <c r="W25">
        <v>20.68</v>
      </c>
      <c r="X25">
        <v>79</v>
      </c>
      <c r="Y25">
        <v>6.6894999999999998</v>
      </c>
      <c r="Z25">
        <v>6.7553999999999998</v>
      </c>
      <c r="AA25">
        <v>8</v>
      </c>
      <c r="AB25">
        <f t="shared" si="33"/>
        <v>6.590000000000007E-2</v>
      </c>
      <c r="AC25" s="9">
        <f t="shared" ref="AC25:AC37" si="37">AB25/(AA25/1000)</f>
        <v>8.2375000000000078</v>
      </c>
      <c r="AD25" s="9">
        <v>13</v>
      </c>
      <c r="AE25" s="9">
        <f>FAMES!N134</f>
        <v>1.5274999999999999</v>
      </c>
      <c r="AF25" s="56">
        <f t="shared" si="21"/>
        <v>0.11749999999999999</v>
      </c>
      <c r="AG25" s="9">
        <f t="shared" si="34"/>
        <v>0.96790625000000086</v>
      </c>
      <c r="AH25" s="9">
        <f>(AC25-AC21)/(R25-R21)</f>
        <v>4.9999999999999163E-2</v>
      </c>
      <c r="AI25" s="9">
        <f>(AR21-AR25)</f>
        <v>4.4351999999999983</v>
      </c>
      <c r="AJ25" s="9">
        <f>AI25/(R25-R21)</f>
        <v>0.77133913043478231</v>
      </c>
      <c r="AK25" s="9">
        <f>AH25/AJ25</f>
        <v>6.4822330447329393E-2</v>
      </c>
      <c r="AL25" s="9">
        <f>(AQ25-AQ21)/(R25-R23)</f>
        <v>0.65944615384615379</v>
      </c>
      <c r="AM25" s="9">
        <f t="shared" si="23"/>
        <v>0.92621217391304334</v>
      </c>
      <c r="AN25" s="9">
        <f t="shared" si="35"/>
        <v>0.28652173913043505</v>
      </c>
      <c r="AO25" s="9">
        <f t="shared" si="24"/>
        <v>0.17927652173913042</v>
      </c>
      <c r="AP25" t="str">
        <f t="shared" si="1"/>
        <v/>
      </c>
      <c r="AQ25">
        <f t="shared" si="31"/>
        <v>5.1541999999999994</v>
      </c>
      <c r="AR25">
        <f t="shared" si="15"/>
        <v>23.371400000000005</v>
      </c>
      <c r="AS25" t="str">
        <f t="shared" si="3"/>
        <v/>
      </c>
      <c r="AT25" t="str">
        <f t="shared" si="4"/>
        <v/>
      </c>
      <c r="AU25" t="str">
        <f t="shared" si="5"/>
        <v/>
      </c>
      <c r="AV25" t="str">
        <f t="shared" si="6"/>
        <v/>
      </c>
      <c r="AW25" t="str">
        <f t="shared" si="7"/>
        <v/>
      </c>
      <c r="AX25" t="str">
        <f t="shared" si="8"/>
        <v/>
      </c>
      <c r="AY25" t="str">
        <f t="shared" si="9"/>
        <v/>
      </c>
      <c r="AZ25" t="str">
        <f t="shared" si="10"/>
        <v/>
      </c>
      <c r="BA25" t="str">
        <f t="shared" si="11"/>
        <v/>
      </c>
      <c r="BB25" s="11"/>
      <c r="BC25" s="11" t="str">
        <f t="shared" si="32"/>
        <v>r2</v>
      </c>
      <c r="BD25" s="6"/>
      <c r="BE25" t="str">
        <f t="shared" si="12"/>
        <v>Jeff_SloHot50_Biostat 2L-20-10</v>
      </c>
      <c r="BF25" s="6"/>
      <c r="BG25" s="32">
        <f t="shared" si="25"/>
        <v>5.1541999999999994</v>
      </c>
      <c r="BH25" s="6"/>
      <c r="BI25" s="6"/>
      <c r="BJ25" s="6"/>
      <c r="BK25" s="6">
        <f t="shared" si="36"/>
        <v>26.628599999999995</v>
      </c>
      <c r="BL25" s="6"/>
      <c r="BM25" s="6">
        <f t="shared" si="18"/>
        <v>0.92621217391304334</v>
      </c>
      <c r="BN25" s="6">
        <f>BK25-BK21</f>
        <v>4.4351999999999983</v>
      </c>
      <c r="BO25" s="17">
        <f t="shared" si="26"/>
        <v>1.3646769230769225</v>
      </c>
      <c r="BP25" s="17"/>
      <c r="BQ25" s="18"/>
      <c r="BR25" s="8"/>
      <c r="BS25" s="20"/>
      <c r="BT25" s="20"/>
      <c r="BU25" s="8"/>
      <c r="BZ25" s="8"/>
      <c r="CA25" s="9"/>
      <c r="CB25" s="6"/>
      <c r="CC25" s="6"/>
      <c r="CD25" s="6"/>
      <c r="CE25" s="9"/>
      <c r="CF25" s="9"/>
      <c r="CG25" s="9"/>
      <c r="CL25" s="6"/>
      <c r="CM25" s="8"/>
      <c r="CN25" s="6"/>
    </row>
    <row r="26" spans="1:92" x14ac:dyDescent="0.2">
      <c r="B26" s="3" t="s">
        <v>191</v>
      </c>
      <c r="C26" s="3" t="s">
        <v>183</v>
      </c>
      <c r="D26" s="3">
        <v>0.61807999999999996</v>
      </c>
      <c r="E26" s="3">
        <v>1.8072999999999999</v>
      </c>
      <c r="F26" s="3" t="s">
        <v>183</v>
      </c>
      <c r="G26" s="3" t="s">
        <v>183</v>
      </c>
      <c r="H26" s="3" t="s">
        <v>183</v>
      </c>
      <c r="I26" s="3" t="s">
        <v>183</v>
      </c>
      <c r="J26" s="3" t="s">
        <v>183</v>
      </c>
      <c r="K26" s="3" t="s">
        <v>183</v>
      </c>
      <c r="L26" s="3" t="s">
        <v>183</v>
      </c>
      <c r="M26" s="3"/>
      <c r="N26" s="3"/>
      <c r="P26" s="2">
        <v>45581</v>
      </c>
      <c r="Q26" s="31">
        <v>0.375</v>
      </c>
      <c r="R26">
        <v>46.5</v>
      </c>
      <c r="S26" t="s">
        <v>47</v>
      </c>
      <c r="T26">
        <v>11</v>
      </c>
      <c r="V26" t="s">
        <v>23</v>
      </c>
      <c r="W26">
        <v>25.6</v>
      </c>
      <c r="X26">
        <v>85</v>
      </c>
      <c r="Y26">
        <v>6.7163000000000004</v>
      </c>
      <c r="Z26">
        <v>6.7869999999999999</v>
      </c>
      <c r="AA26">
        <v>8</v>
      </c>
      <c r="AB26">
        <f t="shared" si="33"/>
        <v>7.0699999999999541E-2</v>
      </c>
      <c r="AC26" s="9">
        <f t="shared" si="37"/>
        <v>8.8374999999999417</v>
      </c>
      <c r="AD26" s="9">
        <v>10</v>
      </c>
      <c r="AE26" s="9">
        <f>FAMES!N135</f>
        <v>2.0590000000000002</v>
      </c>
      <c r="AF26" s="56">
        <f t="shared" si="21"/>
        <v>0.20590000000000003</v>
      </c>
      <c r="AG26" s="9">
        <f t="shared" si="34"/>
        <v>1.8196412499999883</v>
      </c>
      <c r="AH26" s="9">
        <f t="shared" si="27"/>
        <v>9.1549295774621675E-3</v>
      </c>
      <c r="AI26" s="9">
        <f>(AR24-AR26)</f>
        <v>8.0508999999999986</v>
      </c>
      <c r="AJ26" s="9">
        <f t="shared" ref="AJ26:AJ29" si="38">AI26/(R26-R24)</f>
        <v>0.45357183098591541</v>
      </c>
      <c r="AK26" s="9">
        <f t="shared" ref="AK26:AK29" si="39">AH26/AJ26</f>
        <v>2.0184078798637855E-2</v>
      </c>
      <c r="AL26" s="9">
        <f t="shared" ref="AL26:AL29" si="40">(AQ26-AQ24)/(R26-R24)</f>
        <v>0.18614647887323943</v>
      </c>
      <c r="AM26" s="9">
        <f t="shared" si="23"/>
        <v>0.6866021505376344</v>
      </c>
      <c r="AN26" s="9">
        <f t="shared" si="35"/>
        <v>0.19005376344085897</v>
      </c>
      <c r="AO26" s="9">
        <f t="shared" si="24"/>
        <v>0.13292043010752688</v>
      </c>
      <c r="AP26" t="str">
        <f t="shared" si="1"/>
        <v/>
      </c>
      <c r="AQ26">
        <f t="shared" si="31"/>
        <v>6.1807999999999996</v>
      </c>
      <c r="AR26">
        <f t="shared" si="15"/>
        <v>18.073</v>
      </c>
      <c r="AS26" t="str">
        <f t="shared" si="3"/>
        <v/>
      </c>
      <c r="AT26" t="str">
        <f t="shared" si="4"/>
        <v/>
      </c>
      <c r="AU26" t="str">
        <f t="shared" si="5"/>
        <v/>
      </c>
      <c r="AV26" t="str">
        <f t="shared" si="6"/>
        <v/>
      </c>
      <c r="AW26" t="str">
        <f t="shared" si="7"/>
        <v/>
      </c>
      <c r="AX26" t="str">
        <f t="shared" si="8"/>
        <v/>
      </c>
      <c r="AY26" t="str">
        <f t="shared" si="9"/>
        <v/>
      </c>
      <c r="AZ26" t="str">
        <f t="shared" si="10"/>
        <v/>
      </c>
      <c r="BA26" t="str">
        <f t="shared" si="11"/>
        <v/>
      </c>
      <c r="BB26" s="11"/>
      <c r="BC26" s="11" t="str">
        <f t="shared" si="32"/>
        <v>r1</v>
      </c>
      <c r="BD26" s="6"/>
      <c r="BE26" t="str">
        <f t="shared" si="12"/>
        <v>Jeff_SloHot50_Biostat 2L-20-11</v>
      </c>
      <c r="BF26" s="6"/>
      <c r="BG26" s="32">
        <f t="shared" si="25"/>
        <v>6.1807999999999996</v>
      </c>
      <c r="BH26" s="6"/>
      <c r="BI26" s="6"/>
      <c r="BJ26" s="6"/>
      <c r="BK26" s="6">
        <f t="shared" si="36"/>
        <v>31.927</v>
      </c>
      <c r="BL26" s="6"/>
      <c r="BM26" s="6">
        <f t="shared" si="18"/>
        <v>0.6866021505376344</v>
      </c>
      <c r="BN26" s="6">
        <f t="shared" ref="BN26:BN35" si="41">BK26-BK24</f>
        <v>8.0508999999999986</v>
      </c>
      <c r="BO26" s="17">
        <f t="shared" si="26"/>
        <v>0.45357183098591541</v>
      </c>
      <c r="BP26" s="17"/>
      <c r="BQ26" s="18"/>
      <c r="BR26" s="8"/>
      <c r="BS26" s="20"/>
      <c r="BT26" s="20"/>
      <c r="BU26" s="8"/>
      <c r="BZ26" s="8"/>
      <c r="CA26" s="9"/>
      <c r="CB26" s="6"/>
      <c r="CC26" s="6"/>
      <c r="CD26" s="6"/>
      <c r="CE26" s="9"/>
      <c r="CF26" s="9"/>
      <c r="CG26" s="9"/>
      <c r="CK26" s="12"/>
      <c r="CL26" s="6"/>
      <c r="CM26" s="8"/>
      <c r="CN26" s="6"/>
    </row>
    <row r="27" spans="1:92" x14ac:dyDescent="0.2">
      <c r="B27" s="3" t="s">
        <v>192</v>
      </c>
      <c r="C27" s="3" t="s">
        <v>183</v>
      </c>
      <c r="D27" s="3">
        <v>1.03331</v>
      </c>
      <c r="E27" s="3">
        <v>1.3621099999999999</v>
      </c>
      <c r="F27" s="3" t="s">
        <v>183</v>
      </c>
      <c r="G27" s="3" t="s">
        <v>183</v>
      </c>
      <c r="H27" s="3" t="s">
        <v>183</v>
      </c>
      <c r="I27" s="3" t="s">
        <v>183</v>
      </c>
      <c r="J27" s="3" t="s">
        <v>183</v>
      </c>
      <c r="K27" s="3" t="s">
        <v>183</v>
      </c>
      <c r="L27" s="3" t="s">
        <v>183</v>
      </c>
      <c r="M27" s="3"/>
      <c r="N27" s="3"/>
      <c r="P27" s="2">
        <v>45581</v>
      </c>
      <c r="Q27" s="31">
        <v>0.375</v>
      </c>
      <c r="R27">
        <v>46.5</v>
      </c>
      <c r="S27" t="s">
        <v>48</v>
      </c>
      <c r="T27">
        <v>12</v>
      </c>
      <c r="V27" t="s">
        <v>23</v>
      </c>
      <c r="W27">
        <v>21.8</v>
      </c>
      <c r="X27">
        <v>131</v>
      </c>
      <c r="Y27">
        <v>6.7374999999999998</v>
      </c>
      <c r="Z27">
        <v>6.8049999999999997</v>
      </c>
      <c r="AA27">
        <v>8</v>
      </c>
      <c r="AB27">
        <f t="shared" si="33"/>
        <v>6.7499999999999893E-2</v>
      </c>
      <c r="AC27" s="9">
        <f t="shared" si="37"/>
        <v>8.4374999999999858</v>
      </c>
      <c r="AD27" s="9">
        <v>14</v>
      </c>
      <c r="AE27" s="9">
        <f>FAMES!N136</f>
        <v>2.1380000000000003</v>
      </c>
      <c r="AF27" s="56">
        <f t="shared" si="21"/>
        <v>0.15271428571428575</v>
      </c>
      <c r="AG27" s="9">
        <f t="shared" si="34"/>
        <v>1.2885267857142839</v>
      </c>
      <c r="AH27" s="9">
        <f t="shared" si="27"/>
        <v>1.1267605633801575E-2</v>
      </c>
      <c r="AI27" s="9">
        <f>(AR25-AR27)</f>
        <v>9.7503000000000064</v>
      </c>
      <c r="AJ27" s="9">
        <f t="shared" si="38"/>
        <v>0.54931267605633838</v>
      </c>
      <c r="AK27" s="9">
        <f t="shared" si="39"/>
        <v>2.0512189368529977E-2</v>
      </c>
      <c r="AL27" s="9">
        <f t="shared" si="40"/>
        <v>0.29176901408450706</v>
      </c>
      <c r="AM27" s="9">
        <f t="shared" si="23"/>
        <v>0.78234193548387099</v>
      </c>
      <c r="AN27" s="9">
        <f t="shared" si="35"/>
        <v>0.18145161290322551</v>
      </c>
      <c r="AO27" s="9">
        <f t="shared" si="24"/>
        <v>0.22221720430107528</v>
      </c>
      <c r="AP27" t="str">
        <f t="shared" si="1"/>
        <v/>
      </c>
      <c r="AQ27">
        <f t="shared" si="31"/>
        <v>10.3331</v>
      </c>
      <c r="AR27">
        <f t="shared" si="15"/>
        <v>13.621099999999998</v>
      </c>
      <c r="AS27" t="str">
        <f t="shared" si="3"/>
        <v/>
      </c>
      <c r="AT27" t="str">
        <f t="shared" si="4"/>
        <v/>
      </c>
      <c r="AU27" t="str">
        <f t="shared" si="5"/>
        <v/>
      </c>
      <c r="AV27" t="str">
        <f t="shared" si="6"/>
        <v/>
      </c>
      <c r="AW27" t="str">
        <f t="shared" si="7"/>
        <v/>
      </c>
      <c r="AX27" t="str">
        <f t="shared" si="8"/>
        <v/>
      </c>
      <c r="AY27" t="str">
        <f t="shared" si="9"/>
        <v/>
      </c>
      <c r="AZ27" t="str">
        <f t="shared" si="10"/>
        <v/>
      </c>
      <c r="BA27" t="str">
        <f t="shared" si="11"/>
        <v/>
      </c>
      <c r="BB27" s="11"/>
      <c r="BC27" s="11" t="str">
        <f t="shared" si="32"/>
        <v>r2</v>
      </c>
      <c r="BD27" s="6"/>
      <c r="BE27" t="str">
        <f t="shared" si="12"/>
        <v>Jeff_SloHot50_Biostat 2L-20-12</v>
      </c>
      <c r="BF27" s="6"/>
      <c r="BG27" s="32">
        <f t="shared" si="25"/>
        <v>10.3331</v>
      </c>
      <c r="BH27" s="6"/>
      <c r="BI27" s="6"/>
      <c r="BJ27" s="6"/>
      <c r="BK27" s="6">
        <f t="shared" si="36"/>
        <v>36.378900000000002</v>
      </c>
      <c r="BL27" s="6"/>
      <c r="BM27" s="6">
        <f t="shared" si="18"/>
        <v>0.78234193548387099</v>
      </c>
      <c r="BN27" s="6">
        <f t="shared" si="41"/>
        <v>9.7503000000000064</v>
      </c>
      <c r="BO27" s="17">
        <f t="shared" si="26"/>
        <v>0.54931267605633838</v>
      </c>
      <c r="BP27" s="17"/>
      <c r="BQ27" s="18"/>
      <c r="BR27" s="8"/>
      <c r="BS27" s="20"/>
      <c r="BT27" s="20"/>
      <c r="BU27" s="8"/>
      <c r="BZ27" s="8"/>
      <c r="CA27" s="9"/>
      <c r="CB27" s="6"/>
      <c r="CC27" s="6"/>
      <c r="CD27" s="6"/>
      <c r="CE27" s="9"/>
      <c r="CF27" s="9"/>
      <c r="CG27" s="9"/>
      <c r="CL27" s="6"/>
      <c r="CM27" s="8"/>
      <c r="CN27" s="6"/>
    </row>
    <row r="28" spans="1:92" x14ac:dyDescent="0.2">
      <c r="B28" s="3" t="s">
        <v>193</v>
      </c>
      <c r="C28" s="3" t="s">
        <v>183</v>
      </c>
      <c r="D28" s="3">
        <v>0.70233999999999996</v>
      </c>
      <c r="E28" s="3">
        <v>1.6439999999999999</v>
      </c>
      <c r="F28" s="3" t="s">
        <v>183</v>
      </c>
      <c r="G28" s="3" t="s">
        <v>183</v>
      </c>
      <c r="H28" s="3" t="s">
        <v>183</v>
      </c>
      <c r="I28" s="3" t="s">
        <v>183</v>
      </c>
      <c r="J28" s="3" t="s">
        <v>183</v>
      </c>
      <c r="K28" s="3" t="s">
        <v>183</v>
      </c>
      <c r="L28" s="3" t="s">
        <v>183</v>
      </c>
      <c r="M28" s="3"/>
      <c r="N28" s="3"/>
      <c r="P28" s="2">
        <v>45581</v>
      </c>
      <c r="Q28" s="31">
        <v>0.58333333333333337</v>
      </c>
      <c r="R28">
        <v>51.5</v>
      </c>
      <c r="S28" t="s">
        <v>47</v>
      </c>
      <c r="T28">
        <v>13</v>
      </c>
      <c r="U28">
        <v>3</v>
      </c>
      <c r="W28">
        <v>22.52</v>
      </c>
      <c r="X28">
        <v>95</v>
      </c>
      <c r="Y28">
        <v>6.6813000000000002</v>
      </c>
      <c r="Z28">
        <v>6.7538</v>
      </c>
      <c r="AA28">
        <v>8</v>
      </c>
      <c r="AB28">
        <f t="shared" si="33"/>
        <v>7.2499999999999787E-2</v>
      </c>
      <c r="AC28" s="9">
        <f t="shared" si="37"/>
        <v>9.0624999999999734</v>
      </c>
      <c r="AD28" s="9">
        <v>17</v>
      </c>
      <c r="AE28" s="9">
        <f>FAMES!N137</f>
        <v>2.9290000000000003</v>
      </c>
      <c r="AF28" s="56">
        <f t="shared" si="21"/>
        <v>0.17229411764705885</v>
      </c>
      <c r="AG28" s="9">
        <f t="shared" si="34"/>
        <v>1.5614154411764662</v>
      </c>
      <c r="AH28" s="9">
        <f t="shared" si="27"/>
        <v>4.5000000000006327E-2</v>
      </c>
      <c r="AI28" s="9">
        <f>(AR26-AR28)</f>
        <v>1.6329999999999991</v>
      </c>
      <c r="AJ28" s="9">
        <f t="shared" si="38"/>
        <v>0.32659999999999983</v>
      </c>
      <c r="AK28" s="9">
        <f t="shared" si="39"/>
        <v>0.13778322106554303</v>
      </c>
      <c r="AL28" s="9">
        <f t="shared" si="40"/>
        <v>0.16851999999999984</v>
      </c>
      <c r="AM28" s="9">
        <f t="shared" si="23"/>
        <v>0.6516504854368933</v>
      </c>
      <c r="AN28" s="9">
        <f t="shared" si="35"/>
        <v>0.17597087378640724</v>
      </c>
      <c r="AO28" s="9">
        <f t="shared" si="24"/>
        <v>0.13637669902912619</v>
      </c>
      <c r="AP28" t="str">
        <f t="shared" si="1"/>
        <v/>
      </c>
      <c r="AQ28">
        <f t="shared" si="31"/>
        <v>7.0233999999999988</v>
      </c>
      <c r="AR28">
        <f t="shared" si="15"/>
        <v>16.440000000000001</v>
      </c>
      <c r="AS28" t="str">
        <f t="shared" si="3"/>
        <v/>
      </c>
      <c r="AT28" t="str">
        <f t="shared" si="4"/>
        <v/>
      </c>
      <c r="AU28" t="str">
        <f t="shared" si="5"/>
        <v/>
      </c>
      <c r="AV28" t="str">
        <f t="shared" si="6"/>
        <v/>
      </c>
      <c r="AW28" t="str">
        <f t="shared" si="7"/>
        <v/>
      </c>
      <c r="AX28" t="str">
        <f t="shared" si="8"/>
        <v/>
      </c>
      <c r="AY28" t="str">
        <f t="shared" si="9"/>
        <v/>
      </c>
      <c r="AZ28" t="str">
        <f t="shared" si="10"/>
        <v/>
      </c>
      <c r="BA28" t="str">
        <f t="shared" si="11"/>
        <v/>
      </c>
      <c r="BB28" s="11"/>
      <c r="BC28" s="11" t="str">
        <f t="shared" si="32"/>
        <v>r1</v>
      </c>
      <c r="BD28" s="6"/>
      <c r="BE28" t="str">
        <f t="shared" si="12"/>
        <v>Jeff_SloHot50_Biostat 2L-20-13</v>
      </c>
      <c r="BF28" s="6"/>
      <c r="BG28" s="32">
        <f t="shared" si="25"/>
        <v>7.0233999999999988</v>
      </c>
      <c r="BH28" s="6"/>
      <c r="BI28" s="6"/>
      <c r="BJ28" s="6"/>
      <c r="BK28" s="6">
        <f t="shared" si="36"/>
        <v>33.56</v>
      </c>
      <c r="BL28" s="6"/>
      <c r="BM28" s="6">
        <f t="shared" si="18"/>
        <v>0.6516504854368933</v>
      </c>
      <c r="BN28" s="6">
        <f t="shared" si="41"/>
        <v>1.6330000000000027</v>
      </c>
      <c r="BO28" s="17">
        <f t="shared" si="26"/>
        <v>0.32660000000000056</v>
      </c>
      <c r="BP28" s="17"/>
      <c r="BQ28" s="18"/>
      <c r="BR28" s="8"/>
      <c r="BS28" s="20"/>
      <c r="BT28" s="20"/>
      <c r="BU28" s="8"/>
      <c r="BZ28" s="8"/>
      <c r="CA28" s="9"/>
      <c r="CB28" s="6"/>
      <c r="CC28" s="6"/>
      <c r="CD28" s="6"/>
      <c r="CE28" s="9"/>
      <c r="CF28" s="9"/>
      <c r="CG28" s="9"/>
      <c r="CM28" s="8"/>
      <c r="CN28" s="6"/>
    </row>
    <row r="29" spans="1:92" x14ac:dyDescent="0.2">
      <c r="B29" s="3" t="s">
        <v>194</v>
      </c>
      <c r="C29" s="3" t="s">
        <v>183</v>
      </c>
      <c r="D29" s="3">
        <v>1.13872</v>
      </c>
      <c r="E29" s="3">
        <v>1.1749700000000001</v>
      </c>
      <c r="F29" s="3" t="s">
        <v>183</v>
      </c>
      <c r="G29" s="3" t="s">
        <v>183</v>
      </c>
      <c r="H29" s="3" t="s">
        <v>183</v>
      </c>
      <c r="I29" s="3" t="s">
        <v>183</v>
      </c>
      <c r="J29" s="3" t="s">
        <v>183</v>
      </c>
      <c r="K29" s="3" t="s">
        <v>183</v>
      </c>
      <c r="L29" s="3" t="s">
        <v>183</v>
      </c>
      <c r="M29" s="3"/>
      <c r="N29" s="3"/>
      <c r="P29" s="2">
        <v>45581</v>
      </c>
      <c r="Q29" s="31">
        <v>0.58333333333333337</v>
      </c>
      <c r="R29">
        <v>51.5</v>
      </c>
      <c r="S29" t="s">
        <v>48</v>
      </c>
      <c r="T29">
        <v>14</v>
      </c>
      <c r="U29">
        <v>3</v>
      </c>
      <c r="W29">
        <v>20.76</v>
      </c>
      <c r="X29">
        <v>144</v>
      </c>
      <c r="Y29">
        <v>6.7192999999999996</v>
      </c>
      <c r="Z29">
        <v>6.7934999999999999</v>
      </c>
      <c r="AA29">
        <v>8</v>
      </c>
      <c r="AB29">
        <f t="shared" si="33"/>
        <v>7.4200000000000266E-2</v>
      </c>
      <c r="AC29" s="9">
        <f t="shared" si="37"/>
        <v>9.2750000000000323</v>
      </c>
      <c r="AD29" s="9">
        <v>15</v>
      </c>
      <c r="AE29" s="9">
        <f>FAMES!N138</f>
        <v>2.5814999999999997</v>
      </c>
      <c r="AF29" s="56">
        <f t="shared" si="21"/>
        <v>0.17209999999999998</v>
      </c>
      <c r="AG29" s="9">
        <f t="shared" si="34"/>
        <v>1.5962275000000052</v>
      </c>
      <c r="AH29" s="9">
        <f t="shared" si="27"/>
        <v>0.16750000000000931</v>
      </c>
      <c r="AI29" s="9">
        <f>(AR27-AR29)</f>
        <v>1.8713999999999977</v>
      </c>
      <c r="AJ29" s="9">
        <f t="shared" si="38"/>
        <v>0.37427999999999956</v>
      </c>
      <c r="AK29" s="9">
        <f t="shared" si="39"/>
        <v>0.44752591642623035</v>
      </c>
      <c r="AL29" s="9">
        <f t="shared" si="40"/>
        <v>0.21082000000000001</v>
      </c>
      <c r="AM29" s="9">
        <f t="shared" si="23"/>
        <v>0.74272427184466017</v>
      </c>
      <c r="AN29" s="9">
        <f t="shared" si="35"/>
        <v>0.18009708737864141</v>
      </c>
      <c r="AO29" s="9">
        <f t="shared" si="24"/>
        <v>0.22111067961165048</v>
      </c>
      <c r="AP29" t="str">
        <f t="shared" si="1"/>
        <v/>
      </c>
      <c r="AQ29">
        <f t="shared" si="31"/>
        <v>11.3872</v>
      </c>
      <c r="AR29">
        <f t="shared" si="15"/>
        <v>11.749700000000001</v>
      </c>
      <c r="AS29" t="str">
        <f t="shared" si="3"/>
        <v/>
      </c>
      <c r="AT29" t="str">
        <f t="shared" si="4"/>
        <v/>
      </c>
      <c r="AU29" t="str">
        <f t="shared" si="5"/>
        <v/>
      </c>
      <c r="AV29" t="str">
        <f t="shared" si="6"/>
        <v/>
      </c>
      <c r="AW29" t="str">
        <f t="shared" si="7"/>
        <v/>
      </c>
      <c r="AX29" t="str">
        <f t="shared" si="8"/>
        <v/>
      </c>
      <c r="AY29" t="str">
        <f t="shared" si="9"/>
        <v/>
      </c>
      <c r="AZ29" t="str">
        <f t="shared" si="10"/>
        <v/>
      </c>
      <c r="BA29" t="str">
        <f t="shared" si="11"/>
        <v/>
      </c>
      <c r="BB29" s="11"/>
      <c r="BC29" s="11" t="str">
        <f t="shared" si="32"/>
        <v>r2</v>
      </c>
      <c r="BD29" s="6"/>
      <c r="BE29" t="str">
        <f t="shared" si="12"/>
        <v>Jeff_SloHot50_Biostat 2L-20-14</v>
      </c>
      <c r="BF29" s="6"/>
      <c r="BG29" s="32">
        <f t="shared" si="25"/>
        <v>11.3872</v>
      </c>
      <c r="BH29" s="6"/>
      <c r="BI29" s="6"/>
      <c r="BJ29" s="6"/>
      <c r="BK29" s="6">
        <f t="shared" si="36"/>
        <v>38.250299999999996</v>
      </c>
      <c r="BL29" s="6"/>
      <c r="BM29" s="6">
        <f t="shared" si="18"/>
        <v>0.74272427184466017</v>
      </c>
      <c r="BN29" s="6">
        <f t="shared" si="41"/>
        <v>1.8713999999999942</v>
      </c>
      <c r="BO29" s="17">
        <f t="shared" si="26"/>
        <v>0.37427999999999884</v>
      </c>
      <c r="BP29" s="17"/>
      <c r="BQ29" s="18"/>
      <c r="BR29" s="8"/>
      <c r="BS29" s="20"/>
      <c r="BT29" s="20"/>
      <c r="BU29" s="8"/>
      <c r="BZ29" s="8"/>
      <c r="CA29" s="9"/>
      <c r="CB29" s="6"/>
      <c r="CC29" s="6"/>
      <c r="CD29" s="6"/>
      <c r="CE29" s="9"/>
      <c r="CF29" s="9"/>
      <c r="CG29" s="9"/>
      <c r="CL29" s="6"/>
      <c r="CM29" s="8"/>
      <c r="CN29" s="6"/>
    </row>
    <row r="30" spans="1:92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2">
        <v>45582</v>
      </c>
      <c r="Q30" s="31">
        <v>0.38541666666666669</v>
      </c>
      <c r="R30">
        <v>70.75</v>
      </c>
      <c r="S30" t="s">
        <v>47</v>
      </c>
      <c r="T30">
        <v>15</v>
      </c>
      <c r="U30">
        <v>3</v>
      </c>
      <c r="W30">
        <v>21.76</v>
      </c>
      <c r="X30">
        <v>129</v>
      </c>
      <c r="Y30">
        <v>6.6853999999999996</v>
      </c>
      <c r="Z30">
        <v>6.7595000000000001</v>
      </c>
      <c r="AA30">
        <v>8</v>
      </c>
      <c r="AB30">
        <f t="shared" si="33"/>
        <v>7.4100000000000499E-2</v>
      </c>
      <c r="AC30" s="9">
        <f t="shared" si="37"/>
        <v>9.2625000000000615</v>
      </c>
      <c r="AD30" s="9">
        <v>18</v>
      </c>
      <c r="AE30" s="9">
        <f>FAMES!N139</f>
        <v>3.5745</v>
      </c>
      <c r="AF30" s="56">
        <f t="shared" si="21"/>
        <v>0.19858333333333333</v>
      </c>
      <c r="AG30" s="9">
        <f t="shared" si="34"/>
        <v>1.8393781250000123</v>
      </c>
      <c r="AH30" s="9">
        <f t="shared" si="27"/>
        <v>1.0389610389614966E-2</v>
      </c>
      <c r="AI30" s="9"/>
      <c r="AJ30" s="9"/>
      <c r="AK30" s="9"/>
      <c r="AL30" s="9"/>
      <c r="AM30" s="9"/>
      <c r="AN30" s="9">
        <f t="shared" si="35"/>
        <v>0.13091872791519521</v>
      </c>
      <c r="AO30" s="9"/>
      <c r="AP30" t="str">
        <f t="shared" si="1"/>
        <v/>
      </c>
      <c r="AQ30" t="str">
        <f t="shared" si="31"/>
        <v/>
      </c>
      <c r="AR30" t="str">
        <f t="shared" si="15"/>
        <v/>
      </c>
      <c r="AS30" t="str">
        <f t="shared" si="3"/>
        <v/>
      </c>
      <c r="AT30" t="str">
        <f t="shared" si="4"/>
        <v/>
      </c>
      <c r="AU30" t="str">
        <f t="shared" si="5"/>
        <v/>
      </c>
      <c r="AV30" t="str">
        <f t="shared" si="6"/>
        <v/>
      </c>
      <c r="AW30" t="str">
        <f t="shared" si="7"/>
        <v/>
      </c>
      <c r="AX30" t="str">
        <f t="shared" si="8"/>
        <v/>
      </c>
      <c r="AY30" t="str">
        <f t="shared" si="9"/>
        <v/>
      </c>
      <c r="AZ30" t="str">
        <f t="shared" si="10"/>
        <v/>
      </c>
      <c r="BA30" t="str">
        <f t="shared" si="11"/>
        <v/>
      </c>
      <c r="BB30" s="11"/>
      <c r="BC30" s="11" t="str">
        <f>S30</f>
        <v>r1</v>
      </c>
      <c r="BD30" s="6"/>
      <c r="BE30">
        <f>B30</f>
        <v>0</v>
      </c>
      <c r="BF30" s="6"/>
      <c r="BG30" s="32" t="str">
        <f t="shared" si="25"/>
        <v/>
      </c>
      <c r="BH30" s="6"/>
      <c r="BI30" s="6"/>
      <c r="BJ30" s="6"/>
      <c r="BK30" s="6">
        <f t="shared" si="36"/>
        <v>50</v>
      </c>
      <c r="BL30" s="6"/>
      <c r="BM30" s="6">
        <f t="shared" si="18"/>
        <v>0.70671378091872794</v>
      </c>
      <c r="BN30" s="6">
        <f t="shared" si="41"/>
        <v>16.439999999999998</v>
      </c>
      <c r="BO30" s="17">
        <f t="shared" si="26"/>
        <v>0.85402597402597391</v>
      </c>
      <c r="BP30" s="17"/>
      <c r="BQ30" s="18"/>
      <c r="BR30" s="8"/>
      <c r="BS30" s="20"/>
      <c r="BT30" s="20"/>
      <c r="BU30" s="8"/>
      <c r="BZ30" s="8"/>
      <c r="CA30" s="9"/>
      <c r="CB30" s="6"/>
      <c r="CC30" s="6"/>
      <c r="CD30" s="6"/>
      <c r="CE30" s="9"/>
      <c r="CF30" s="9"/>
      <c r="CG30" s="9"/>
      <c r="CL30" s="6"/>
      <c r="CM30" s="8"/>
      <c r="CN30" s="6"/>
    </row>
    <row r="31" spans="1:92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P31" s="2">
        <v>45582</v>
      </c>
      <c r="Q31" s="31">
        <v>0.38541666666666669</v>
      </c>
      <c r="R31">
        <v>70.75</v>
      </c>
      <c r="S31" t="s">
        <v>48</v>
      </c>
      <c r="T31">
        <v>16</v>
      </c>
      <c r="U31">
        <v>3</v>
      </c>
      <c r="W31">
        <v>23</v>
      </c>
      <c r="X31">
        <v>187</v>
      </c>
      <c r="Y31">
        <v>6.7294</v>
      </c>
      <c r="Z31">
        <v>6.7976000000000001</v>
      </c>
      <c r="AA31">
        <v>8</v>
      </c>
      <c r="AB31">
        <f t="shared" si="33"/>
        <v>6.8200000000000038E-2</v>
      </c>
      <c r="AC31" s="9">
        <f t="shared" si="37"/>
        <v>8.5250000000000039</v>
      </c>
      <c r="AD31" s="9">
        <v>15</v>
      </c>
      <c r="AE31" s="9">
        <f>FAMES!N140</f>
        <v>2.7414999999999998</v>
      </c>
      <c r="AF31" s="56">
        <f t="shared" si="21"/>
        <v>0.18276666666666666</v>
      </c>
      <c r="AG31" s="9">
        <f t="shared" si="34"/>
        <v>1.5580858333333341</v>
      </c>
      <c r="AH31" s="9">
        <f>(AC31-AC27)/(R31-R29)</f>
        <v>4.5454545454554863E-3</v>
      </c>
      <c r="AI31" s="9"/>
      <c r="AJ31" s="9"/>
      <c r="AK31" s="9"/>
      <c r="AL31" s="9"/>
      <c r="AM31" s="9"/>
      <c r="AN31" s="9">
        <f t="shared" si="35"/>
        <v>0.12049469964664317</v>
      </c>
      <c r="AO31" s="9"/>
      <c r="AP31" t="str">
        <f t="shared" si="1"/>
        <v/>
      </c>
      <c r="AQ31" t="str">
        <f t="shared" si="31"/>
        <v/>
      </c>
      <c r="AR31" t="str">
        <f t="shared" si="15"/>
        <v/>
      </c>
      <c r="AS31" t="str">
        <f t="shared" si="3"/>
        <v/>
      </c>
      <c r="AT31" t="str">
        <f t="shared" si="4"/>
        <v/>
      </c>
      <c r="AU31" t="str">
        <f t="shared" si="5"/>
        <v/>
      </c>
      <c r="AV31" t="str">
        <f t="shared" si="6"/>
        <v/>
      </c>
      <c r="AW31" t="str">
        <f t="shared" si="7"/>
        <v/>
      </c>
      <c r="AX31" t="str">
        <f t="shared" si="8"/>
        <v/>
      </c>
      <c r="AY31" t="str">
        <f t="shared" si="9"/>
        <v/>
      </c>
      <c r="AZ31" t="str">
        <f t="shared" si="10"/>
        <v/>
      </c>
      <c r="BA31" t="str">
        <f t="shared" si="11"/>
        <v/>
      </c>
      <c r="BB31" s="11"/>
      <c r="BC31" s="11" t="str">
        <f>S31</f>
        <v>r2</v>
      </c>
      <c r="BD31" s="6"/>
      <c r="BE31">
        <f t="shared" si="12"/>
        <v>0</v>
      </c>
      <c r="BF31" s="4"/>
      <c r="BG31" s="32" t="str">
        <f t="shared" si="25"/>
        <v/>
      </c>
      <c r="BH31" s="6"/>
      <c r="BI31" s="6"/>
      <c r="BJ31" s="6"/>
      <c r="BK31" s="6">
        <f t="shared" si="36"/>
        <v>50</v>
      </c>
      <c r="BL31" s="6"/>
      <c r="BM31" s="6">
        <f t="shared" si="18"/>
        <v>0.70671378091872794</v>
      </c>
      <c r="BN31" s="6">
        <f t="shared" si="41"/>
        <v>11.749700000000004</v>
      </c>
      <c r="BO31" s="17">
        <f t="shared" si="26"/>
        <v>0.61037402597402624</v>
      </c>
      <c r="BP31" s="17"/>
      <c r="BQ31" s="18"/>
      <c r="BR31" s="8"/>
      <c r="BS31" s="20"/>
      <c r="BT31" s="20"/>
      <c r="BU31" s="8"/>
      <c r="BZ31" s="8"/>
      <c r="CA31" s="9"/>
      <c r="CB31" s="6"/>
      <c r="CC31" s="6"/>
      <c r="CD31" s="6"/>
      <c r="CE31" s="9"/>
      <c r="CF31" s="9"/>
      <c r="CG31" s="9"/>
      <c r="CL31" s="6"/>
      <c r="CM31" s="8"/>
      <c r="CN31" s="6"/>
    </row>
    <row r="32" spans="1:92" x14ac:dyDescent="0.2">
      <c r="B32" s="3" t="s">
        <v>195</v>
      </c>
      <c r="C32" s="3" t="s">
        <v>183</v>
      </c>
      <c r="D32" s="3">
        <v>1.09293</v>
      </c>
      <c r="E32" s="3">
        <v>0.90754999999999997</v>
      </c>
      <c r="F32" s="3" t="s">
        <v>183</v>
      </c>
      <c r="G32" s="3" t="s">
        <v>183</v>
      </c>
      <c r="H32" s="3" t="s">
        <v>183</v>
      </c>
      <c r="I32" s="3" t="s">
        <v>183</v>
      </c>
      <c r="J32" s="3" t="s">
        <v>183</v>
      </c>
      <c r="K32" s="3" t="s">
        <v>183</v>
      </c>
      <c r="L32" s="3" t="s">
        <v>183</v>
      </c>
      <c r="M32" s="3"/>
      <c r="P32" s="2">
        <v>45582</v>
      </c>
      <c r="Q32" s="31">
        <v>0.60416666666666663</v>
      </c>
      <c r="R32">
        <v>76</v>
      </c>
      <c r="S32" t="s">
        <v>47</v>
      </c>
      <c r="T32">
        <v>17</v>
      </c>
      <c r="U32">
        <v>3</v>
      </c>
      <c r="W32" s="39"/>
      <c r="X32">
        <v>139</v>
      </c>
      <c r="Y32">
        <v>6.7092999999999998</v>
      </c>
      <c r="Z32">
        <v>6.7804700000000002</v>
      </c>
      <c r="AA32">
        <v>8</v>
      </c>
      <c r="AB32">
        <f t="shared" si="33"/>
        <v>7.11700000000004E-2</v>
      </c>
      <c r="AC32" s="9">
        <f t="shared" si="37"/>
        <v>8.89625000000005</v>
      </c>
      <c r="AD32" s="9">
        <v>19</v>
      </c>
      <c r="AE32" s="9">
        <f>FAMES!N141</f>
        <v>3.8439999999999999</v>
      </c>
      <c r="AF32" s="56">
        <f t="shared" si="21"/>
        <v>0.2023157894736842</v>
      </c>
      <c r="AG32" s="9">
        <f t="shared" si="34"/>
        <v>1.7998518421052732</v>
      </c>
      <c r="AH32" s="9">
        <f>(AC32-AC28)/(R32-R30)</f>
        <v>-3.1666666666652077E-2</v>
      </c>
      <c r="AI32" s="9">
        <f>(AR28-AR32)</f>
        <v>7.3645000000000014</v>
      </c>
      <c r="AJ32" s="9">
        <f>AI32/(R32-R28)</f>
        <v>0.30059183673469392</v>
      </c>
      <c r="AK32" s="9">
        <f t="shared" ref="AK32:AK36" si="42">AH32/AJ32</f>
        <v>-0.10534772670690146</v>
      </c>
      <c r="AL32" s="9">
        <f>(AQ32-AQ28)/(R32-R30)</f>
        <v>0.74398095238095285</v>
      </c>
      <c r="AM32" s="9">
        <f t="shared" si="23"/>
        <v>0.53848026315789477</v>
      </c>
      <c r="AN32" s="9">
        <f t="shared" si="35"/>
        <v>0.11705592105263224</v>
      </c>
      <c r="AO32" s="9">
        <f t="shared" si="24"/>
        <v>0.14380657894736845</v>
      </c>
      <c r="AP32" t="str">
        <f t="shared" si="1"/>
        <v/>
      </c>
      <c r="AQ32">
        <f t="shared" si="31"/>
        <v>10.929300000000001</v>
      </c>
      <c r="AR32">
        <f t="shared" si="15"/>
        <v>9.0754999999999999</v>
      </c>
      <c r="AS32" t="str">
        <f t="shared" si="3"/>
        <v/>
      </c>
      <c r="AT32" t="str">
        <f t="shared" si="4"/>
        <v/>
      </c>
      <c r="AU32" t="str">
        <f t="shared" si="5"/>
        <v/>
      </c>
      <c r="AV32" t="str">
        <f t="shared" si="6"/>
        <v/>
      </c>
      <c r="AW32" t="str">
        <f t="shared" si="7"/>
        <v/>
      </c>
      <c r="AX32" t="str">
        <f t="shared" si="8"/>
        <v/>
      </c>
      <c r="AY32" t="str">
        <f t="shared" si="9"/>
        <v/>
      </c>
      <c r="AZ32" t="str">
        <f t="shared" si="10"/>
        <v/>
      </c>
      <c r="BA32" t="str">
        <f t="shared" si="11"/>
        <v/>
      </c>
      <c r="BB32" s="11"/>
      <c r="BC32" s="11" t="str">
        <f t="shared" ref="BC32:BC37" si="43">S32</f>
        <v>r1</v>
      </c>
      <c r="BD32" s="6"/>
      <c r="BE32" t="str">
        <f t="shared" si="12"/>
        <v>Jeff_SloHot50_Biostat 2L-20-17</v>
      </c>
      <c r="BF32" s="4"/>
      <c r="BG32" s="32">
        <f t="shared" si="25"/>
        <v>10.929300000000001</v>
      </c>
      <c r="BH32" s="6"/>
      <c r="BI32" s="6"/>
      <c r="BJ32" s="6"/>
      <c r="BK32" s="6">
        <f t="shared" si="36"/>
        <v>40.924500000000002</v>
      </c>
      <c r="BL32" s="6"/>
      <c r="BM32" s="6">
        <f t="shared" si="18"/>
        <v>0.53848026315789477</v>
      </c>
      <c r="BN32" s="6">
        <f t="shared" si="41"/>
        <v>-9.0754999999999981</v>
      </c>
      <c r="BO32" s="17">
        <f t="shared" si="26"/>
        <v>-1.7286666666666664</v>
      </c>
      <c r="BP32" s="17"/>
      <c r="BQ32" s="18"/>
      <c r="BR32" s="8"/>
      <c r="BS32" s="20"/>
      <c r="BT32" s="20"/>
      <c r="BU32" s="8"/>
      <c r="BZ32" s="8"/>
      <c r="CA32" s="9"/>
      <c r="CB32" s="6"/>
      <c r="CC32" s="6"/>
      <c r="CD32" s="6"/>
      <c r="CE32" s="9"/>
      <c r="CF32" s="9"/>
      <c r="CG32" s="9"/>
      <c r="CL32" s="6"/>
      <c r="CM32" s="8"/>
      <c r="CN32" s="6"/>
    </row>
    <row r="33" spans="2:91" x14ac:dyDescent="0.2">
      <c r="B33" s="3" t="s">
        <v>196</v>
      </c>
      <c r="C33" s="3" t="s">
        <v>183</v>
      </c>
      <c r="D33" s="3">
        <v>1.62039</v>
      </c>
      <c r="E33" s="3">
        <v>0.40129999999999999</v>
      </c>
      <c r="F33" s="3" t="s">
        <v>183</v>
      </c>
      <c r="G33" s="3" t="s">
        <v>183</v>
      </c>
      <c r="H33" s="3" t="s">
        <v>183</v>
      </c>
      <c r="I33" s="3" t="s">
        <v>183</v>
      </c>
      <c r="J33" s="3" t="s">
        <v>183</v>
      </c>
      <c r="K33" s="3" t="s">
        <v>183</v>
      </c>
      <c r="L33" s="3" t="s">
        <v>183</v>
      </c>
      <c r="M33" s="3"/>
      <c r="P33" s="2">
        <v>45582</v>
      </c>
      <c r="Q33" s="31">
        <v>0.60416666666666663</v>
      </c>
      <c r="R33">
        <v>76</v>
      </c>
      <c r="S33" t="s">
        <v>48</v>
      </c>
      <c r="T33">
        <v>18</v>
      </c>
      <c r="U33">
        <v>3</v>
      </c>
      <c r="W33" s="39"/>
      <c r="X33">
        <v>197</v>
      </c>
      <c r="Y33">
        <v>6.7042000000000002</v>
      </c>
      <c r="Z33">
        <v>6.7737999999999996</v>
      </c>
      <c r="AA33">
        <v>8</v>
      </c>
      <c r="AB33">
        <f t="shared" si="33"/>
        <v>6.959999999999944E-2</v>
      </c>
      <c r="AC33" s="9">
        <f t="shared" si="37"/>
        <v>8.69999999999993</v>
      </c>
      <c r="AD33" s="9">
        <v>14</v>
      </c>
      <c r="AE33" s="9">
        <f>FAMES!N142</f>
        <v>2.6704999999999997</v>
      </c>
      <c r="AF33" s="56">
        <f t="shared" si="21"/>
        <v>0.19074999999999998</v>
      </c>
      <c r="AG33" s="9">
        <f t="shared" si="34"/>
        <v>1.6595249999999864</v>
      </c>
      <c r="AH33" s="9">
        <f t="shared" si="27"/>
        <v>3.3333333333319261E-2</v>
      </c>
      <c r="AI33" s="9">
        <f>(AR29-AR33)</f>
        <v>7.7367000000000008</v>
      </c>
      <c r="AJ33" s="9">
        <f>AI33/(R33-R29)</f>
        <v>0.31578367346938779</v>
      </c>
      <c r="AK33" s="9">
        <f t="shared" si="42"/>
        <v>0.105557494366632</v>
      </c>
      <c r="AL33" s="9">
        <f>(AQ33-AQ29)/(R33-R31)</f>
        <v>0.91746666666666687</v>
      </c>
      <c r="AM33" s="9">
        <f t="shared" si="23"/>
        <v>0.60509210526315793</v>
      </c>
      <c r="AN33" s="9">
        <f t="shared" si="35"/>
        <v>0.11447368421052539</v>
      </c>
      <c r="AO33" s="9">
        <f t="shared" si="24"/>
        <v>0.21320921052631581</v>
      </c>
      <c r="AP33" t="str">
        <f t="shared" si="1"/>
        <v/>
      </c>
      <c r="AQ33">
        <f t="shared" si="31"/>
        <v>16.203900000000001</v>
      </c>
      <c r="AR33">
        <f>IF(ISNUMBER(E33),E33*1000/100,0)</f>
        <v>4.0129999999999999</v>
      </c>
      <c r="AS33" t="str">
        <f t="shared" si="3"/>
        <v/>
      </c>
      <c r="AT33" t="str">
        <f t="shared" si="4"/>
        <v/>
      </c>
      <c r="AU33" t="str">
        <f t="shared" si="5"/>
        <v/>
      </c>
      <c r="AV33" t="str">
        <f t="shared" si="6"/>
        <v/>
      </c>
      <c r="AW33" t="str">
        <f t="shared" si="7"/>
        <v/>
      </c>
      <c r="AX33" t="str">
        <f t="shared" si="8"/>
        <v/>
      </c>
      <c r="AY33" t="str">
        <f t="shared" si="9"/>
        <v/>
      </c>
      <c r="AZ33" t="str">
        <f t="shared" si="10"/>
        <v/>
      </c>
      <c r="BA33" t="str">
        <f t="shared" si="11"/>
        <v/>
      </c>
      <c r="BB33" s="11"/>
      <c r="BC33" s="11" t="str">
        <f t="shared" si="43"/>
        <v>r2</v>
      </c>
      <c r="BD33" s="6"/>
      <c r="BE33" t="str">
        <f t="shared" si="12"/>
        <v>Jeff_SloHot50_Biostat 2L-20-18</v>
      </c>
      <c r="BG33" s="32">
        <f t="shared" si="25"/>
        <v>16.203900000000001</v>
      </c>
      <c r="BH33" s="6"/>
      <c r="BI33" s="6"/>
      <c r="BJ33" s="6"/>
      <c r="BK33" s="6">
        <f>$AR$14-IF(ISNUMBER(AR33),AR33,0)</f>
        <v>45.987000000000002</v>
      </c>
      <c r="BL33" s="6"/>
      <c r="BM33" s="6">
        <f t="shared" si="18"/>
        <v>0.60509210526315793</v>
      </c>
      <c r="BN33" s="6">
        <f t="shared" si="41"/>
        <v>-4.0129999999999981</v>
      </c>
      <c r="BO33" s="17">
        <f t="shared" si="26"/>
        <v>-0.76438095238095205</v>
      </c>
      <c r="BP33" s="17"/>
      <c r="BQ33" s="18"/>
      <c r="BR33" s="8"/>
      <c r="BS33" s="20"/>
      <c r="BT33" s="20"/>
      <c r="BU33" s="8"/>
      <c r="BZ33" s="8"/>
      <c r="CA33" s="9"/>
      <c r="CB33" s="6"/>
      <c r="CC33" s="6"/>
      <c r="CD33" s="6"/>
      <c r="CE33" s="22"/>
      <c r="CF33" s="9"/>
      <c r="CG33" s="9"/>
      <c r="CL33" s="6"/>
      <c r="CM33" s="8"/>
    </row>
    <row r="34" spans="2:91" s="23" customFormat="1" ht="17" thickBot="1" x14ac:dyDescent="0.25">
      <c r="B34" s="3" t="s">
        <v>197</v>
      </c>
      <c r="C34" s="3" t="s">
        <v>183</v>
      </c>
      <c r="D34" s="3">
        <v>1.4021699999999999</v>
      </c>
      <c r="E34" s="3">
        <v>0.40183999999999997</v>
      </c>
      <c r="F34" s="3"/>
      <c r="G34" s="3"/>
      <c r="H34" s="3"/>
      <c r="I34" s="3"/>
      <c r="J34" s="3"/>
      <c r="K34" s="3"/>
      <c r="L34" s="3"/>
      <c r="M34" s="3"/>
      <c r="N34"/>
      <c r="O34"/>
      <c r="P34" s="2">
        <v>45583</v>
      </c>
      <c r="Q34" s="31">
        <v>0.41666666666666669</v>
      </c>
      <c r="R34">
        <v>95.5</v>
      </c>
      <c r="S34" t="s">
        <v>47</v>
      </c>
      <c r="T34">
        <v>19</v>
      </c>
      <c r="U34">
        <v>3</v>
      </c>
      <c r="V34"/>
      <c r="W34" s="12">
        <v>22.24</v>
      </c>
      <c r="X34">
        <v>174</v>
      </c>
      <c r="Y34">
        <v>6.6771000000000003</v>
      </c>
      <c r="Z34">
        <v>6.7374000000000001</v>
      </c>
      <c r="AA34">
        <v>8</v>
      </c>
      <c r="AB34">
        <f t="shared" si="33"/>
        <v>6.0299999999999798E-2</v>
      </c>
      <c r="AC34" s="9">
        <f t="shared" si="37"/>
        <v>7.5374999999999748</v>
      </c>
      <c r="AD34" s="9">
        <v>19</v>
      </c>
      <c r="AE34" s="9">
        <f>FAMES!N143</f>
        <v>3.6194999999999999</v>
      </c>
      <c r="AF34" s="56">
        <f t="shared" si="21"/>
        <v>0.1905</v>
      </c>
      <c r="AG34" s="9">
        <f t="shared" si="34"/>
        <v>1.4358937499999953</v>
      </c>
      <c r="AH34" s="9">
        <f t="shared" si="27"/>
        <v>-6.9679487179491031E-2</v>
      </c>
      <c r="AI34" s="9">
        <f>(AR32-AR34)</f>
        <v>5.0571000000000002</v>
      </c>
      <c r="AJ34" s="9">
        <f t="shared" ref="AJ34:AJ37" si="44">AI34/(R34-R32)</f>
        <v>0.25933846153846157</v>
      </c>
      <c r="AK34" s="9">
        <f t="shared" si="42"/>
        <v>-0.26868165549427042</v>
      </c>
      <c r="AL34" s="9">
        <f t="shared" ref="AL34:AL37" si="45">(AQ34-AQ32)/(R34-R32)</f>
        <v>0.15858461538461527</v>
      </c>
      <c r="AM34" s="9">
        <f t="shared" si="23"/>
        <v>0.48148272251308899</v>
      </c>
      <c r="AN34" s="9">
        <f t="shared" si="35"/>
        <v>7.8926701570680366E-2</v>
      </c>
      <c r="AO34" s="9">
        <f t="shared" si="24"/>
        <v>0.14682408376963349</v>
      </c>
      <c r="AP34" t="str">
        <f t="shared" si="1"/>
        <v/>
      </c>
      <c r="AQ34">
        <f t="shared" si="31"/>
        <v>14.021699999999999</v>
      </c>
      <c r="AR34">
        <f>IF(ISNUMBER(E34),E34*1000/100,"")</f>
        <v>4.0183999999999997</v>
      </c>
      <c r="AS34" t="str">
        <f t="shared" si="3"/>
        <v/>
      </c>
      <c r="AT34" t="str">
        <f t="shared" si="4"/>
        <v/>
      </c>
      <c r="AU34" t="str">
        <f t="shared" si="5"/>
        <v/>
      </c>
      <c r="AV34" t="str">
        <f t="shared" si="6"/>
        <v/>
      </c>
      <c r="AW34" t="str">
        <f t="shared" si="7"/>
        <v/>
      </c>
      <c r="AX34" t="str">
        <f t="shared" si="8"/>
        <v/>
      </c>
      <c r="AY34" t="str">
        <f t="shared" si="9"/>
        <v/>
      </c>
      <c r="AZ34" t="str">
        <f t="shared" si="10"/>
        <v/>
      </c>
      <c r="BA34" t="str">
        <f t="shared" si="11"/>
        <v/>
      </c>
      <c r="BB34" s="11"/>
      <c r="BC34" s="11" t="str">
        <f t="shared" si="43"/>
        <v>r1</v>
      </c>
      <c r="BD34" s="6"/>
      <c r="BE34" t="str">
        <f t="shared" si="12"/>
        <v>Jeff_SloHot50_Biostat 2L-20-19</v>
      </c>
      <c r="BF34"/>
      <c r="BG34" s="32">
        <f t="shared" si="25"/>
        <v>14.021699999999999</v>
      </c>
      <c r="BH34" s="6"/>
      <c r="BI34" s="6"/>
      <c r="BJ34" s="6"/>
      <c r="BK34" s="6">
        <f>$AR$14-AR34</f>
        <v>45.9816</v>
      </c>
      <c r="BL34" s="6"/>
      <c r="BM34" s="6">
        <f t="shared" si="18"/>
        <v>0.48148272251308899</v>
      </c>
      <c r="BN34" s="6">
        <f t="shared" si="41"/>
        <v>5.0570999999999984</v>
      </c>
      <c r="BO34" s="17">
        <f t="shared" si="26"/>
        <v>0.25933846153846146</v>
      </c>
      <c r="BP34" s="17"/>
      <c r="BQ34" s="18"/>
      <c r="BR34" s="8"/>
      <c r="BS34" s="20"/>
      <c r="BT34" s="20"/>
      <c r="BU34" s="8"/>
      <c r="BV34"/>
      <c r="BX34"/>
      <c r="BY34"/>
      <c r="BZ34" s="8"/>
      <c r="CA34" s="9"/>
      <c r="CB34" s="6"/>
      <c r="CC34" s="6"/>
      <c r="CD34" s="6"/>
      <c r="CE34" s="24"/>
      <c r="CF34" s="9"/>
      <c r="CG34" s="9"/>
      <c r="CJ34"/>
      <c r="CK34"/>
      <c r="CL34" s="6"/>
      <c r="CM34" s="8"/>
    </row>
    <row r="35" spans="2:91" x14ac:dyDescent="0.2">
      <c r="B35" s="3" t="s">
        <v>198</v>
      </c>
      <c r="C35" s="3" t="s">
        <v>183</v>
      </c>
      <c r="D35" s="3">
        <v>1.9117999999999999</v>
      </c>
      <c r="E35" s="3" t="s">
        <v>183</v>
      </c>
      <c r="F35" s="3"/>
      <c r="G35" s="3"/>
      <c r="H35" s="3"/>
      <c r="I35" s="3"/>
      <c r="J35" s="3"/>
      <c r="K35" s="3"/>
      <c r="L35" s="3"/>
      <c r="M35" s="3"/>
      <c r="P35" s="2">
        <v>45583</v>
      </c>
      <c r="Q35" s="31">
        <v>0.41666666666666669</v>
      </c>
      <c r="R35">
        <v>95.5</v>
      </c>
      <c r="S35" t="s">
        <v>48</v>
      </c>
      <c r="T35">
        <v>20</v>
      </c>
      <c r="U35">
        <v>3</v>
      </c>
      <c r="W35" s="12">
        <v>21.2</v>
      </c>
      <c r="X35">
        <v>230</v>
      </c>
      <c r="Y35">
        <v>6.6727999999999996</v>
      </c>
      <c r="Z35">
        <v>6.7435</v>
      </c>
      <c r="AA35">
        <v>8</v>
      </c>
      <c r="AB35">
        <f t="shared" si="33"/>
        <v>7.0700000000000429E-2</v>
      </c>
      <c r="AC35" s="9">
        <f t="shared" si="37"/>
        <v>8.8375000000000536</v>
      </c>
      <c r="AD35" s="9">
        <v>16</v>
      </c>
      <c r="AE35" s="9">
        <f>FAMES!N144</f>
        <v>3.16</v>
      </c>
      <c r="AF35" s="56">
        <f t="shared" si="21"/>
        <v>0.19750000000000001</v>
      </c>
      <c r="AG35" s="9">
        <f t="shared" si="34"/>
        <v>1.7454062500000107</v>
      </c>
      <c r="AH35" s="9">
        <f t="shared" si="27"/>
        <v>7.0512820512883918E-3</v>
      </c>
      <c r="AI35" s="9">
        <f>(AR33-AR35)</f>
        <v>4.0129999999999999</v>
      </c>
      <c r="AJ35" s="9">
        <f t="shared" si="44"/>
        <v>0.2057948717948718</v>
      </c>
      <c r="AK35" s="9">
        <f t="shared" si="42"/>
        <v>3.4263643159761686E-2</v>
      </c>
      <c r="AL35" s="9">
        <f t="shared" si="45"/>
        <v>0.14944102564102552</v>
      </c>
      <c r="AM35" s="9">
        <f t="shared" si="23"/>
        <v>0.52356020942408377</v>
      </c>
      <c r="AN35" s="9">
        <f t="shared" si="35"/>
        <v>9.2539267015707374E-2</v>
      </c>
      <c r="AO35" s="9">
        <f t="shared" si="24"/>
        <v>0.20018848167539266</v>
      </c>
      <c r="AP35" t="str">
        <f t="shared" si="1"/>
        <v/>
      </c>
      <c r="AQ35">
        <f t="shared" si="31"/>
        <v>19.117999999999999</v>
      </c>
      <c r="AR35">
        <f>IF(ISNUMBER(E35),E35*1000/100,0)</f>
        <v>0</v>
      </c>
      <c r="AS35" t="str">
        <f t="shared" si="3"/>
        <v/>
      </c>
      <c r="AT35" t="str">
        <f t="shared" si="4"/>
        <v/>
      </c>
      <c r="AU35" t="str">
        <f t="shared" si="5"/>
        <v/>
      </c>
      <c r="AV35" t="str">
        <f t="shared" si="6"/>
        <v/>
      </c>
      <c r="AW35" t="str">
        <f t="shared" si="7"/>
        <v/>
      </c>
      <c r="AX35" t="str">
        <f t="shared" si="8"/>
        <v/>
      </c>
      <c r="AY35" t="str">
        <f t="shared" si="9"/>
        <v/>
      </c>
      <c r="AZ35" t="str">
        <f t="shared" si="10"/>
        <v/>
      </c>
      <c r="BA35" t="str">
        <f t="shared" si="11"/>
        <v/>
      </c>
      <c r="BB35" s="11"/>
      <c r="BC35" s="11" t="str">
        <f t="shared" si="43"/>
        <v>r2</v>
      </c>
      <c r="BD35" s="6"/>
      <c r="BE35" t="str">
        <f t="shared" si="12"/>
        <v>Jeff_SloHot50_Biostat 2L-20-20</v>
      </c>
      <c r="BF35" s="6"/>
      <c r="BG35" s="32">
        <f t="shared" si="25"/>
        <v>19.117999999999999</v>
      </c>
      <c r="BH35" s="6"/>
      <c r="BI35" s="6"/>
      <c r="BJ35" s="6"/>
      <c r="BK35" s="6">
        <f>$AR$14-IF(ISNUMBER(AR35),AR35,0)</f>
        <v>50</v>
      </c>
      <c r="BL35" s="6"/>
      <c r="BM35" s="6">
        <f t="shared" si="18"/>
        <v>0.52356020942408377</v>
      </c>
      <c r="BN35" s="6">
        <f t="shared" si="41"/>
        <v>4.0129999999999981</v>
      </c>
      <c r="BO35" s="17">
        <f t="shared" si="26"/>
        <v>0.20579487179487169</v>
      </c>
      <c r="BP35" s="17"/>
      <c r="BQ35" s="18"/>
      <c r="BR35" s="8"/>
      <c r="BS35" s="20"/>
      <c r="BT35" s="20"/>
      <c r="BU35" s="8"/>
      <c r="BZ35" s="8"/>
      <c r="CA35" s="9"/>
      <c r="CB35" s="6"/>
      <c r="CC35" s="6"/>
      <c r="CD35" s="6"/>
      <c r="CE35" s="9"/>
      <c r="CF35" s="9"/>
      <c r="CG35" s="9"/>
      <c r="CL35" s="6"/>
      <c r="CM35" s="8"/>
    </row>
    <row r="36" spans="2:91" x14ac:dyDescent="0.2">
      <c r="B36" s="3" t="s">
        <v>199</v>
      </c>
      <c r="C36" s="3" t="s">
        <v>183</v>
      </c>
      <c r="D36" s="3">
        <v>1.45356</v>
      </c>
      <c r="E36" s="3">
        <v>0.31079000000000001</v>
      </c>
      <c r="F36" s="3"/>
      <c r="G36" s="3"/>
      <c r="H36" s="3"/>
      <c r="I36" s="3"/>
      <c r="J36" s="3"/>
      <c r="K36" s="3"/>
      <c r="L36" s="3"/>
      <c r="M36" s="3"/>
      <c r="P36" s="2">
        <v>45583</v>
      </c>
      <c r="Q36" s="31">
        <v>0.58333333333333337</v>
      </c>
      <c r="R36">
        <v>99.5</v>
      </c>
      <c r="S36" t="s">
        <v>47</v>
      </c>
      <c r="T36">
        <v>21</v>
      </c>
      <c r="U36">
        <v>3</v>
      </c>
      <c r="W36" s="39"/>
      <c r="X36">
        <v>180</v>
      </c>
      <c r="Y36">
        <v>6.7388000000000003</v>
      </c>
      <c r="Z36">
        <v>6.8021000000000003</v>
      </c>
      <c r="AA36">
        <v>8</v>
      </c>
      <c r="AB36">
        <f t="shared" si="33"/>
        <v>6.3299999999999912E-2</v>
      </c>
      <c r="AC36" s="9">
        <f t="shared" si="37"/>
        <v>7.912499999999989</v>
      </c>
      <c r="AD36" s="9">
        <v>13</v>
      </c>
      <c r="AE36" s="9">
        <f>FAMES!N145</f>
        <v>2.6245000000000003</v>
      </c>
      <c r="AF36" s="56">
        <f t="shared" si="21"/>
        <v>0.20188461538461541</v>
      </c>
      <c r="AG36" s="9">
        <f t="shared" si="34"/>
        <v>1.5974120192307673</v>
      </c>
      <c r="AH36" s="9">
        <f t="shared" si="27"/>
        <v>9.3750000000003553E-2</v>
      </c>
      <c r="AI36" s="9">
        <f>(AR34-AR36)</f>
        <v>0.91049999999999942</v>
      </c>
      <c r="AJ36" s="9">
        <f t="shared" si="44"/>
        <v>0.22762499999999986</v>
      </c>
      <c r="AK36" s="9">
        <f t="shared" si="42"/>
        <v>0.41186161449754471</v>
      </c>
      <c r="AL36" s="9">
        <f t="shared" si="45"/>
        <v>0.12847499999999989</v>
      </c>
      <c r="AM36" s="9">
        <f t="shared" si="23"/>
        <v>0.47127738693467336</v>
      </c>
      <c r="AN36" s="9">
        <f t="shared" si="35"/>
        <v>7.9522613065326528E-2</v>
      </c>
      <c r="AO36" s="9">
        <f t="shared" si="24"/>
        <v>0.146086432160804</v>
      </c>
      <c r="AP36" t="str">
        <f t="shared" si="1"/>
        <v/>
      </c>
      <c r="AQ36">
        <f t="shared" si="31"/>
        <v>14.535599999999999</v>
      </c>
      <c r="AR36">
        <f>IF(ISNUMBER(E36),E36*1000/100,"")</f>
        <v>3.1079000000000003</v>
      </c>
      <c r="AS36" t="str">
        <f t="shared" si="3"/>
        <v/>
      </c>
      <c r="AT36" t="str">
        <f t="shared" si="4"/>
        <v/>
      </c>
      <c r="AU36" t="str">
        <f t="shared" si="5"/>
        <v/>
      </c>
      <c r="AV36" t="str">
        <f t="shared" si="6"/>
        <v/>
      </c>
      <c r="AW36" t="str">
        <f t="shared" si="7"/>
        <v/>
      </c>
      <c r="AX36" t="str">
        <f t="shared" si="8"/>
        <v/>
      </c>
      <c r="AY36" t="str">
        <f t="shared" si="9"/>
        <v/>
      </c>
      <c r="AZ36" t="str">
        <f t="shared" si="10"/>
        <v/>
      </c>
      <c r="BA36" t="str">
        <f t="shared" si="11"/>
        <v/>
      </c>
      <c r="BB36" s="11"/>
      <c r="BC36" s="11" t="str">
        <f t="shared" si="43"/>
        <v>r1</v>
      </c>
      <c r="BD36"/>
      <c r="BE36" t="str">
        <f t="shared" si="12"/>
        <v>Jeff_SloHot50_Biostat 2L-20-21</v>
      </c>
      <c r="BK36" s="6"/>
      <c r="BL36"/>
      <c r="BM36"/>
    </row>
    <row r="37" spans="2:91" x14ac:dyDescent="0.2">
      <c r="B37" s="3" t="s">
        <v>200</v>
      </c>
      <c r="C37" s="3" t="s">
        <v>183</v>
      </c>
      <c r="D37" s="3">
        <v>1.9381900000000001</v>
      </c>
      <c r="E37" s="3" t="s">
        <v>183</v>
      </c>
      <c r="F37" s="3"/>
      <c r="G37" s="3"/>
      <c r="H37" s="3"/>
      <c r="I37" s="3"/>
      <c r="J37" s="3"/>
      <c r="K37" s="3"/>
      <c r="L37" s="3"/>
      <c r="M37" s="3"/>
      <c r="P37" s="2">
        <v>45583</v>
      </c>
      <c r="Q37" s="31">
        <v>0.58333333333333337</v>
      </c>
      <c r="R37">
        <v>99.5</v>
      </c>
      <c r="S37" t="s">
        <v>48</v>
      </c>
      <c r="T37">
        <v>22</v>
      </c>
      <c r="U37">
        <v>3</v>
      </c>
      <c r="W37" s="39"/>
      <c r="X37">
        <v>232</v>
      </c>
      <c r="Y37">
        <v>6.7466999999999997</v>
      </c>
      <c r="Z37">
        <v>6.8000999999999996</v>
      </c>
      <c r="AA37">
        <v>8</v>
      </c>
      <c r="AB37">
        <f t="shared" si="33"/>
        <v>5.3399999999999892E-2</v>
      </c>
      <c r="AC37" s="9">
        <f t="shared" si="37"/>
        <v>6.6749999999999865</v>
      </c>
      <c r="AD37" s="9">
        <v>14</v>
      </c>
      <c r="AE37" s="9">
        <f>FAMES!N146</f>
        <v>2.4500000000000002</v>
      </c>
      <c r="AF37" s="56">
        <f t="shared" si="21"/>
        <v>0.17500000000000002</v>
      </c>
      <c r="AG37" s="9">
        <f t="shared" si="34"/>
        <v>1.1681249999999979</v>
      </c>
      <c r="AH37" s="9">
        <f t="shared" si="27"/>
        <v>-0.54062500000001679</v>
      </c>
      <c r="AI37" s="9">
        <f>(AR35-AR37)</f>
        <v>0</v>
      </c>
      <c r="AJ37" s="9">
        <f t="shared" si="44"/>
        <v>0</v>
      </c>
      <c r="AK37" s="9"/>
      <c r="AL37" s="9">
        <f t="shared" si="45"/>
        <v>6.5975000000000783E-2</v>
      </c>
      <c r="AM37" s="9">
        <f t="shared" si="23"/>
        <v>0.50251256281407031</v>
      </c>
      <c r="AN37" s="9">
        <f t="shared" si="35"/>
        <v>6.7085427135678249E-2</v>
      </c>
      <c r="AO37" s="9">
        <f t="shared" si="24"/>
        <v>0.19479296482412062</v>
      </c>
      <c r="AP37" t="str">
        <f t="shared" si="1"/>
        <v/>
      </c>
      <c r="AQ37">
        <f t="shared" si="31"/>
        <v>19.381900000000002</v>
      </c>
      <c r="AR37">
        <f>IF(ISNUMBER(E37),E37*1000/100,0)</f>
        <v>0</v>
      </c>
      <c r="AS37" t="str">
        <f t="shared" si="3"/>
        <v/>
      </c>
      <c r="AT37" t="str">
        <f t="shared" si="4"/>
        <v/>
      </c>
      <c r="AU37" t="str">
        <f t="shared" si="5"/>
        <v/>
      </c>
      <c r="AV37" t="str">
        <f t="shared" si="6"/>
        <v/>
      </c>
      <c r="AW37" t="str">
        <f t="shared" si="7"/>
        <v/>
      </c>
      <c r="AX37" t="str">
        <f t="shared" si="8"/>
        <v/>
      </c>
      <c r="AY37" t="str">
        <f t="shared" si="9"/>
        <v/>
      </c>
      <c r="AZ37" t="str">
        <f t="shared" si="10"/>
        <v/>
      </c>
      <c r="BA37" t="str">
        <f t="shared" si="11"/>
        <v/>
      </c>
      <c r="BB37" s="11"/>
      <c r="BC37" s="11" t="str">
        <f t="shared" si="43"/>
        <v>r2</v>
      </c>
      <c r="BD37"/>
      <c r="BE37" t="str">
        <f t="shared" si="12"/>
        <v>Jeff_SloHot50_Biostat 2L-20-22</v>
      </c>
      <c r="BL37"/>
      <c r="BM37"/>
    </row>
    <row r="38" spans="2:91" x14ac:dyDescent="0.2">
      <c r="AD38" s="9"/>
      <c r="BB38" s="11"/>
      <c r="BD38"/>
      <c r="BL38"/>
      <c r="BM38"/>
    </row>
    <row r="39" spans="2:91" x14ac:dyDescent="0.2">
      <c r="BB39" s="11"/>
      <c r="BD39"/>
      <c r="BL39"/>
      <c r="BM39"/>
    </row>
    <row r="40" spans="2:91" x14ac:dyDescent="0.2">
      <c r="BB40" s="11"/>
      <c r="BD40"/>
      <c r="BL40"/>
      <c r="BM40"/>
    </row>
    <row r="41" spans="2:91" x14ac:dyDescent="0.2">
      <c r="BB41" s="11"/>
      <c r="BD41"/>
      <c r="BL41"/>
      <c r="BM41"/>
    </row>
    <row r="42" spans="2:91" x14ac:dyDescent="0.2">
      <c r="BB42" s="11"/>
      <c r="BD42"/>
      <c r="BL42"/>
      <c r="BM42"/>
    </row>
    <row r="43" spans="2:91" x14ac:dyDescent="0.2">
      <c r="BB43" s="11"/>
      <c r="BD43"/>
      <c r="BL43"/>
      <c r="BM43"/>
    </row>
    <row r="44" spans="2:91" x14ac:dyDescent="0.2">
      <c r="BB44" s="11"/>
      <c r="BD44"/>
      <c r="BL44"/>
      <c r="BM44"/>
    </row>
    <row r="45" spans="2:91" x14ac:dyDescent="0.2">
      <c r="BB45" s="11"/>
      <c r="BD45"/>
      <c r="BL45"/>
      <c r="BM45"/>
    </row>
    <row r="46" spans="2:91" x14ac:dyDescent="0.2">
      <c r="BB46" s="11"/>
      <c r="BD46"/>
      <c r="BL46"/>
      <c r="BM46"/>
    </row>
    <row r="47" spans="2:91" x14ac:dyDescent="0.2">
      <c r="BB47" s="11"/>
      <c r="BD47"/>
      <c r="BL47"/>
      <c r="BM47"/>
    </row>
    <row r="48" spans="2:91" x14ac:dyDescent="0.2">
      <c r="BB48" s="11"/>
      <c r="BD48"/>
      <c r="BL48"/>
      <c r="BM48"/>
    </row>
    <row r="49" spans="54:65" x14ac:dyDescent="0.2">
      <c r="BB49" s="11"/>
      <c r="BD49"/>
      <c r="BL49"/>
      <c r="BM49"/>
    </row>
    <row r="50" spans="54:65" x14ac:dyDescent="0.2">
      <c r="BB50" s="11"/>
      <c r="BD50"/>
      <c r="BL50"/>
      <c r="BM50"/>
    </row>
    <row r="51" spans="54:65" x14ac:dyDescent="0.2">
      <c r="BB51" s="11"/>
      <c r="BD51"/>
      <c r="BL51"/>
      <c r="BM51"/>
    </row>
    <row r="52" spans="54:65" x14ac:dyDescent="0.2">
      <c r="BB52" s="11"/>
      <c r="BD52"/>
      <c r="BL52"/>
      <c r="BM52"/>
    </row>
    <row r="53" spans="54:65" x14ac:dyDescent="0.2">
      <c r="BB53" s="11"/>
      <c r="BD53"/>
      <c r="BL53"/>
      <c r="BM53"/>
    </row>
    <row r="54" spans="54:65" x14ac:dyDescent="0.2">
      <c r="BB54" s="11"/>
      <c r="BD54"/>
      <c r="BL54"/>
      <c r="BM54"/>
    </row>
    <row r="55" spans="54:65" x14ac:dyDescent="0.2">
      <c r="BB55" s="11"/>
      <c r="BD55"/>
      <c r="BL55"/>
      <c r="BM55"/>
    </row>
    <row r="56" spans="54:65" x14ac:dyDescent="0.2">
      <c r="BB56" s="11"/>
      <c r="BD56"/>
      <c r="BL56"/>
      <c r="BM56"/>
    </row>
    <row r="57" spans="54:65" x14ac:dyDescent="0.2">
      <c r="BB57" s="11"/>
      <c r="BD57"/>
      <c r="BL57"/>
      <c r="BM57"/>
    </row>
    <row r="58" spans="54:65" x14ac:dyDescent="0.2">
      <c r="BB58" s="11"/>
      <c r="BD58"/>
      <c r="BL58"/>
      <c r="BM58"/>
    </row>
    <row r="59" spans="54:65" x14ac:dyDescent="0.2">
      <c r="BB59" s="11"/>
      <c r="BD59"/>
      <c r="BL59"/>
      <c r="BM59"/>
    </row>
    <row r="60" spans="54:65" x14ac:dyDescent="0.2">
      <c r="BB60" s="11"/>
      <c r="BD60"/>
      <c r="BL60"/>
      <c r="BM60"/>
    </row>
    <row r="61" spans="54:65" x14ac:dyDescent="0.2">
      <c r="BB61" s="11"/>
      <c r="BD61"/>
      <c r="BL61"/>
      <c r="BM61"/>
    </row>
    <row r="62" spans="54:65" x14ac:dyDescent="0.2">
      <c r="BB62" s="11"/>
      <c r="BD62"/>
      <c r="BL62"/>
      <c r="BM62"/>
    </row>
    <row r="63" spans="54:65" x14ac:dyDescent="0.2">
      <c r="BB63" s="11"/>
      <c r="BD63"/>
      <c r="BL63"/>
      <c r="BM63"/>
    </row>
    <row r="64" spans="54:65" x14ac:dyDescent="0.2">
      <c r="BB64" s="11"/>
      <c r="BD64"/>
      <c r="BL64"/>
      <c r="BM64"/>
    </row>
    <row r="65" spans="21:91" x14ac:dyDescent="0.2">
      <c r="BB65" s="11"/>
      <c r="BD65"/>
      <c r="BL65"/>
      <c r="BM65"/>
    </row>
    <row r="66" spans="21:91" x14ac:dyDescent="0.2">
      <c r="BB66" s="11"/>
      <c r="BD66"/>
      <c r="BL66"/>
      <c r="BM66"/>
    </row>
    <row r="67" spans="21:91" x14ac:dyDescent="0.2">
      <c r="BB67" s="11"/>
      <c r="BD67"/>
      <c r="BL67"/>
      <c r="BM67"/>
      <c r="BN67" s="6"/>
      <c r="BO67" s="18"/>
      <c r="BP67" s="29"/>
      <c r="BT67" s="20"/>
      <c r="BU67" s="8"/>
      <c r="BZ67" s="9"/>
      <c r="CA67" s="9"/>
      <c r="CB67" s="6"/>
      <c r="CC67" s="6"/>
      <c r="CD67" s="6"/>
      <c r="CE67" s="9"/>
      <c r="CF67" s="9"/>
      <c r="CG67" s="9"/>
      <c r="CL67" s="6"/>
      <c r="CM67" s="6"/>
    </row>
    <row r="68" spans="21:91" x14ac:dyDescent="0.2">
      <c r="BD68"/>
      <c r="BG68" s="5"/>
      <c r="BL68"/>
      <c r="BM68"/>
      <c r="BO68" s="15"/>
      <c r="BP68" s="27"/>
    </row>
    <row r="71" spans="21:91" x14ac:dyDescent="0.2">
      <c r="U71">
        <f>390/24</f>
        <v>16.25</v>
      </c>
    </row>
    <row r="76" spans="21:91" x14ac:dyDescent="0.2">
      <c r="BB76" s="8"/>
    </row>
  </sheetData>
  <autoFilter ref="A13:BX67" xr:uid="{B3D1077A-180E-2048-ACB0-3483679027C1}"/>
  <mergeCells count="2">
    <mergeCell ref="AP12:AZ12"/>
    <mergeCell ref="BC12:CI1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EEC4-30BF-8F43-8BEF-F6900043C2FE}">
  <dimension ref="A3:BY146"/>
  <sheetViews>
    <sheetView topLeftCell="A112" workbookViewId="0">
      <selection activeCell="N127" sqref="N127:N146"/>
    </sheetView>
  </sheetViews>
  <sheetFormatPr baseColWidth="10" defaultRowHeight="16" x14ac:dyDescent="0.2"/>
  <sheetData>
    <row r="3" spans="1:21" x14ac:dyDescent="0.2">
      <c r="B3">
        <v>3</v>
      </c>
      <c r="C3">
        <v>4</v>
      </c>
      <c r="D3">
        <v>5</v>
      </c>
      <c r="E3">
        <v>6</v>
      </c>
      <c r="F3">
        <v>7</v>
      </c>
      <c r="G3">
        <v>8</v>
      </c>
      <c r="H3">
        <v>9</v>
      </c>
      <c r="I3">
        <v>10</v>
      </c>
      <c r="J3">
        <v>11</v>
      </c>
      <c r="K3">
        <v>12</v>
      </c>
      <c r="L3">
        <v>13</v>
      </c>
      <c r="M3">
        <v>14</v>
      </c>
      <c r="N3">
        <v>15</v>
      </c>
      <c r="O3">
        <v>16</v>
      </c>
      <c r="P3">
        <v>17</v>
      </c>
      <c r="Q3">
        <v>18</v>
      </c>
      <c r="R3">
        <v>19</v>
      </c>
      <c r="S3">
        <v>20</v>
      </c>
      <c r="T3">
        <v>21</v>
      </c>
      <c r="U3">
        <v>22</v>
      </c>
    </row>
    <row r="4" spans="1:21" x14ac:dyDescent="0.2">
      <c r="B4" s="42" t="s">
        <v>203</v>
      </c>
      <c r="C4" s="42" t="s">
        <v>203</v>
      </c>
      <c r="D4" s="42" t="s">
        <v>203</v>
      </c>
      <c r="E4" s="42" t="s">
        <v>203</v>
      </c>
      <c r="F4" s="42" t="s">
        <v>203</v>
      </c>
      <c r="G4" s="42" t="s">
        <v>203</v>
      </c>
      <c r="H4" s="42" t="s">
        <v>203</v>
      </c>
      <c r="I4" s="42" t="s">
        <v>203</v>
      </c>
      <c r="J4" s="42" t="s">
        <v>203</v>
      </c>
      <c r="K4" s="42" t="s">
        <v>203</v>
      </c>
      <c r="L4" s="42" t="s">
        <v>203</v>
      </c>
      <c r="M4" s="42" t="s">
        <v>203</v>
      </c>
      <c r="N4" s="42" t="s">
        <v>203</v>
      </c>
      <c r="O4" s="42" t="s">
        <v>203</v>
      </c>
      <c r="P4" s="42" t="s">
        <v>203</v>
      </c>
      <c r="Q4" s="42" t="s">
        <v>203</v>
      </c>
      <c r="R4" s="42" t="s">
        <v>203</v>
      </c>
      <c r="S4" s="42" t="s">
        <v>203</v>
      </c>
      <c r="T4" s="42" t="s">
        <v>203</v>
      </c>
      <c r="U4" s="42" t="s">
        <v>203</v>
      </c>
    </row>
    <row r="5" spans="1:21" x14ac:dyDescent="0.2">
      <c r="A5" t="s">
        <v>214</v>
      </c>
      <c r="B5" s="43">
        <v>0.89600000000000002</v>
      </c>
      <c r="C5" s="43">
        <v>0.93200000000000005</v>
      </c>
      <c r="D5" s="43">
        <v>0.89200000000000002</v>
      </c>
      <c r="E5" s="43">
        <v>0.84799999999999998</v>
      </c>
      <c r="F5" s="43">
        <v>0.88500000000000001</v>
      </c>
      <c r="G5" s="43">
        <v>0.84</v>
      </c>
      <c r="H5" s="43">
        <v>0.878</v>
      </c>
      <c r="I5" s="43">
        <v>0.89300000000000002</v>
      </c>
      <c r="J5" s="43">
        <v>0.94499999999999995</v>
      </c>
      <c r="K5" s="43">
        <v>0.92100000000000004</v>
      </c>
      <c r="L5" s="43">
        <v>0.88700000000000001</v>
      </c>
      <c r="M5" s="43">
        <v>0.96899999999999997</v>
      </c>
      <c r="N5" s="43">
        <v>0.97699999999999998</v>
      </c>
      <c r="O5" s="43">
        <v>0.96699999999999997</v>
      </c>
      <c r="P5" s="43">
        <v>0.91300000000000003</v>
      </c>
      <c r="Q5" s="43">
        <v>0.94499999999999995</v>
      </c>
      <c r="R5" s="43">
        <v>0.91500000000000004</v>
      </c>
      <c r="S5" s="43">
        <v>0.98699999999999999</v>
      </c>
      <c r="T5" s="43">
        <v>0.88200000000000001</v>
      </c>
      <c r="U5" s="42">
        <v>0.93400000000000005</v>
      </c>
    </row>
    <row r="6" spans="1:21" x14ac:dyDescent="0.2">
      <c r="A6" t="s">
        <v>213</v>
      </c>
      <c r="B6" s="43" t="s">
        <v>202</v>
      </c>
      <c r="C6" s="43" t="s">
        <v>202</v>
      </c>
      <c r="D6" s="43" t="s">
        <v>202</v>
      </c>
      <c r="E6" s="43" t="s">
        <v>202</v>
      </c>
      <c r="F6" s="43" t="s">
        <v>202</v>
      </c>
      <c r="G6" s="43" t="s">
        <v>202</v>
      </c>
      <c r="H6" s="43" t="s">
        <v>202</v>
      </c>
      <c r="I6" s="43" t="s">
        <v>202</v>
      </c>
      <c r="J6" s="43" t="s">
        <v>202</v>
      </c>
      <c r="K6" s="43" t="s">
        <v>202</v>
      </c>
      <c r="L6" s="43" t="s">
        <v>202</v>
      </c>
      <c r="M6" s="43" t="s">
        <v>202</v>
      </c>
      <c r="N6" s="43" t="s">
        <v>202</v>
      </c>
      <c r="O6" s="43" t="s">
        <v>202</v>
      </c>
      <c r="P6" s="43" t="s">
        <v>202</v>
      </c>
      <c r="Q6" s="43" t="s">
        <v>202</v>
      </c>
      <c r="R6" s="43" t="s">
        <v>202</v>
      </c>
      <c r="S6" s="43" t="s">
        <v>202</v>
      </c>
      <c r="T6" s="43" t="s">
        <v>202</v>
      </c>
      <c r="U6" s="42" t="s">
        <v>202</v>
      </c>
    </row>
    <row r="7" spans="1:21" x14ac:dyDescent="0.2">
      <c r="A7" t="s">
        <v>212</v>
      </c>
      <c r="B7" s="43">
        <v>0.23899999999999999</v>
      </c>
      <c r="C7" s="43">
        <v>0.33300000000000002</v>
      </c>
      <c r="D7" s="43">
        <v>0.28499999999999998</v>
      </c>
      <c r="E7" s="43">
        <v>0.29799999999999999</v>
      </c>
      <c r="F7" s="43">
        <v>0.502</v>
      </c>
      <c r="G7" s="43">
        <v>0.42899999999999999</v>
      </c>
      <c r="H7" s="43">
        <v>0.76300000000000001</v>
      </c>
      <c r="I7" s="43">
        <v>0.54200000000000004</v>
      </c>
      <c r="J7" s="43">
        <v>0.69799999999999995</v>
      </c>
      <c r="K7" s="43">
        <v>0.77900000000000003</v>
      </c>
      <c r="L7" s="43">
        <v>0.92500000000000004</v>
      </c>
      <c r="M7" s="43">
        <v>0.92</v>
      </c>
      <c r="N7" s="43">
        <v>1.1279999999999999</v>
      </c>
      <c r="O7" s="43">
        <v>0.94499999999999995</v>
      </c>
      <c r="P7" s="43">
        <v>1.163</v>
      </c>
      <c r="Q7" s="43">
        <v>0.90400000000000003</v>
      </c>
      <c r="R7" s="43">
        <v>1.0589999999999999</v>
      </c>
      <c r="S7" s="43">
        <v>1.0209999999999999</v>
      </c>
      <c r="T7" s="43">
        <v>0.78300000000000003</v>
      </c>
      <c r="U7" s="42">
        <v>0.76200000000000001</v>
      </c>
    </row>
    <row r="8" spans="1:21" x14ac:dyDescent="0.2">
      <c r="A8" t="s">
        <v>211</v>
      </c>
      <c r="B8" s="43">
        <v>0.107</v>
      </c>
      <c r="C8" s="43">
        <v>0.11799999999999999</v>
      </c>
      <c r="D8" s="43">
        <v>0.15</v>
      </c>
      <c r="E8" s="43">
        <v>0.13</v>
      </c>
      <c r="F8" s="43">
        <v>0.192</v>
      </c>
      <c r="G8" s="43">
        <v>0.13800000000000001</v>
      </c>
      <c r="H8" s="43">
        <v>0.30199999999999999</v>
      </c>
      <c r="I8" s="43">
        <v>0.16</v>
      </c>
      <c r="J8" s="43">
        <v>0.253</v>
      </c>
      <c r="K8" s="43">
        <v>0.25700000000000001</v>
      </c>
      <c r="L8" s="43">
        <v>0.37</v>
      </c>
      <c r="M8" s="43">
        <v>0.315</v>
      </c>
      <c r="N8" s="43">
        <v>0.45900000000000002</v>
      </c>
      <c r="O8" s="43">
        <v>0.33400000000000002</v>
      </c>
      <c r="P8" s="43">
        <v>0.48599999999999999</v>
      </c>
      <c r="Q8" s="43">
        <v>0.32500000000000001</v>
      </c>
      <c r="R8" s="43">
        <v>0.45500000000000002</v>
      </c>
      <c r="S8" s="43">
        <v>0.38500000000000001</v>
      </c>
      <c r="T8" s="43">
        <v>0.31900000000000001</v>
      </c>
      <c r="U8" s="42">
        <v>0.28999999999999998</v>
      </c>
    </row>
    <row r="9" spans="1:21" x14ac:dyDescent="0.2">
      <c r="A9" t="s">
        <v>210</v>
      </c>
      <c r="B9" s="43">
        <v>0.14399999999999999</v>
      </c>
      <c r="C9" s="43">
        <v>0.22</v>
      </c>
      <c r="D9" s="43">
        <v>0.15</v>
      </c>
      <c r="E9" s="43">
        <v>0.16300000000000001</v>
      </c>
      <c r="F9" s="43">
        <v>0.26800000000000002</v>
      </c>
      <c r="G9" s="43">
        <v>0.223</v>
      </c>
      <c r="H9" s="43">
        <v>0.39100000000000001</v>
      </c>
      <c r="I9" s="43">
        <v>0.28999999999999998</v>
      </c>
      <c r="J9" s="43">
        <v>0.37</v>
      </c>
      <c r="K9" s="43">
        <v>0.38</v>
      </c>
      <c r="L9" s="43">
        <v>0.47899999999999998</v>
      </c>
      <c r="M9" s="43">
        <v>0.45</v>
      </c>
      <c r="N9" s="43">
        <v>0.60499999999999998</v>
      </c>
      <c r="O9" s="43">
        <v>0.48099999999999998</v>
      </c>
      <c r="P9" s="43">
        <v>0.64</v>
      </c>
      <c r="Q9" s="43">
        <v>0.46100000000000002</v>
      </c>
      <c r="R9" s="43">
        <v>0.60899999999999999</v>
      </c>
      <c r="S9" s="43">
        <v>0.55600000000000005</v>
      </c>
      <c r="T9" s="43">
        <v>0.46600000000000003</v>
      </c>
      <c r="U9" s="42">
        <v>0.43</v>
      </c>
    </row>
    <row r="10" spans="1:21" x14ac:dyDescent="0.2">
      <c r="A10" t="s">
        <v>209</v>
      </c>
      <c r="B10" s="43">
        <v>0.376</v>
      </c>
      <c r="C10" s="43">
        <v>0.623</v>
      </c>
      <c r="D10" s="43">
        <v>0.55400000000000005</v>
      </c>
      <c r="E10" s="43">
        <v>0.61299999999999999</v>
      </c>
      <c r="F10" s="43">
        <v>1.752</v>
      </c>
      <c r="G10" s="43">
        <v>1.38</v>
      </c>
      <c r="H10" s="43">
        <v>2.6360000000000001</v>
      </c>
      <c r="I10" s="43">
        <v>1.5469999999999999</v>
      </c>
      <c r="J10" s="43">
        <v>2.1219999999999999</v>
      </c>
      <c r="K10" s="43">
        <v>2.1280000000000001</v>
      </c>
      <c r="L10" s="43">
        <v>3.11</v>
      </c>
      <c r="M10" s="43">
        <v>2.6139999999999999</v>
      </c>
      <c r="N10" s="43">
        <v>3.7610000000000001</v>
      </c>
      <c r="O10" s="43">
        <v>2.819</v>
      </c>
      <c r="P10" s="43">
        <v>4.1310000000000002</v>
      </c>
      <c r="Q10" s="43">
        <v>2.7669999999999999</v>
      </c>
      <c r="R10" s="43">
        <v>3.9470000000000001</v>
      </c>
      <c r="S10" s="43">
        <v>3.3530000000000002</v>
      </c>
      <c r="T10" s="43">
        <v>2.8570000000000002</v>
      </c>
      <c r="U10" s="42">
        <v>2.6680000000000001</v>
      </c>
    </row>
    <row r="11" spans="1:21" x14ac:dyDescent="0.2">
      <c r="A11" t="s">
        <v>208</v>
      </c>
      <c r="B11" s="43">
        <v>0.24</v>
      </c>
      <c r="C11" s="43">
        <v>0.28899999999999998</v>
      </c>
      <c r="D11" s="43">
        <v>0.40699999999999997</v>
      </c>
      <c r="E11" s="43">
        <v>0.44</v>
      </c>
      <c r="F11" s="43">
        <v>0.60899999999999999</v>
      </c>
      <c r="G11" s="43">
        <v>0.439</v>
      </c>
      <c r="H11" s="43">
        <v>0.84799999999999998</v>
      </c>
      <c r="I11" s="43">
        <v>0.45600000000000002</v>
      </c>
      <c r="J11" s="43">
        <v>0.58899999999999997</v>
      </c>
      <c r="K11" s="43">
        <v>0.64300000000000002</v>
      </c>
      <c r="L11" s="43">
        <v>0.84299999999999997</v>
      </c>
      <c r="M11" s="43">
        <v>0.752</v>
      </c>
      <c r="N11" s="43">
        <v>1.0449999999999999</v>
      </c>
      <c r="O11" s="43">
        <v>0.80100000000000005</v>
      </c>
      <c r="P11" s="43">
        <v>1.107</v>
      </c>
      <c r="Q11" s="43">
        <v>0.77800000000000002</v>
      </c>
      <c r="R11" s="43">
        <v>1.0489999999999999</v>
      </c>
      <c r="S11" s="43">
        <v>0.90100000000000002</v>
      </c>
      <c r="T11" s="43">
        <v>0.74099999999999999</v>
      </c>
      <c r="U11" s="42">
        <v>0.68200000000000005</v>
      </c>
    </row>
    <row r="12" spans="1:21" x14ac:dyDescent="0.2">
      <c r="A12" t="s">
        <v>207</v>
      </c>
      <c r="B12" s="43" t="s">
        <v>202</v>
      </c>
      <c r="C12" s="43" t="s">
        <v>202</v>
      </c>
      <c r="D12" s="43" t="s">
        <v>202</v>
      </c>
      <c r="E12" s="43" t="s">
        <v>202</v>
      </c>
      <c r="F12" s="43" t="s">
        <v>202</v>
      </c>
      <c r="G12" s="43" t="s">
        <v>202</v>
      </c>
      <c r="H12" s="43" t="s">
        <v>202</v>
      </c>
      <c r="I12" s="43" t="s">
        <v>202</v>
      </c>
      <c r="J12" s="43" t="s">
        <v>202</v>
      </c>
      <c r="K12" s="43" t="s">
        <v>202</v>
      </c>
      <c r="L12" s="43" t="s">
        <v>202</v>
      </c>
      <c r="M12" s="43" t="s">
        <v>202</v>
      </c>
      <c r="N12" s="43" t="s">
        <v>202</v>
      </c>
      <c r="O12" s="43" t="s">
        <v>202</v>
      </c>
      <c r="P12" s="43" t="s">
        <v>202</v>
      </c>
      <c r="Q12" s="43" t="s">
        <v>202</v>
      </c>
      <c r="R12" s="43" t="s">
        <v>202</v>
      </c>
      <c r="S12" s="43" t="s">
        <v>202</v>
      </c>
      <c r="T12" s="43" t="s">
        <v>202</v>
      </c>
      <c r="U12" s="42" t="s">
        <v>202</v>
      </c>
    </row>
    <row r="13" spans="1:21" x14ac:dyDescent="0.2">
      <c r="A13" t="s">
        <v>206</v>
      </c>
      <c r="B13" s="43">
        <v>0.02</v>
      </c>
      <c r="C13" s="43">
        <v>2.5999999999999999E-2</v>
      </c>
      <c r="D13" s="43">
        <v>1.4999999999999999E-2</v>
      </c>
      <c r="E13" s="43">
        <v>1.4999999999999999E-2</v>
      </c>
      <c r="F13" s="43">
        <v>6.6000000000000003E-2</v>
      </c>
      <c r="G13" s="43">
        <v>5.5E-2</v>
      </c>
      <c r="H13" s="43">
        <v>0.10199999999999999</v>
      </c>
      <c r="I13" s="43">
        <v>0.06</v>
      </c>
      <c r="J13" s="43">
        <v>8.5999999999999993E-2</v>
      </c>
      <c r="K13" s="43">
        <v>8.8999999999999996E-2</v>
      </c>
      <c r="L13" s="43">
        <v>0.13100000000000001</v>
      </c>
      <c r="M13" s="43">
        <v>0.112</v>
      </c>
      <c r="N13" s="43">
        <v>0.151</v>
      </c>
      <c r="O13" s="43">
        <v>0.10299999999999999</v>
      </c>
      <c r="P13" s="43">
        <v>0.161</v>
      </c>
      <c r="Q13" s="43">
        <v>0.106</v>
      </c>
      <c r="R13" s="43">
        <v>0.12</v>
      </c>
      <c r="S13" s="43">
        <v>0.104</v>
      </c>
      <c r="T13" s="43">
        <v>8.3000000000000004E-2</v>
      </c>
      <c r="U13" s="42">
        <v>6.8000000000000005E-2</v>
      </c>
    </row>
    <row r="26" spans="4:7" ht="24" x14ac:dyDescent="0.3">
      <c r="D26" s="51" t="s">
        <v>385</v>
      </c>
      <c r="E26" s="50" t="s">
        <v>384</v>
      </c>
      <c r="F26" t="s">
        <v>383</v>
      </c>
      <c r="G26" t="s">
        <v>382</v>
      </c>
    </row>
    <row r="27" spans="4:7" x14ac:dyDescent="0.2">
      <c r="E27" s="48" t="s">
        <v>214</v>
      </c>
      <c r="F27" s="47">
        <v>2.4984999999999999</v>
      </c>
      <c r="G27" s="46">
        <v>4.8133983013937273E-2</v>
      </c>
    </row>
    <row r="28" spans="4:7" x14ac:dyDescent="0.2">
      <c r="E28" s="49" t="s">
        <v>213</v>
      </c>
      <c r="F28" s="47">
        <v>1</v>
      </c>
      <c r="G28" s="46">
        <v>9.6267966027874536E-3</v>
      </c>
    </row>
    <row r="29" spans="4:7" x14ac:dyDescent="0.2">
      <c r="E29" s="48" t="s">
        <v>212</v>
      </c>
      <c r="F29" s="47">
        <v>2.5</v>
      </c>
      <c r="G29" s="46">
        <v>2.4066991506968637E-2</v>
      </c>
    </row>
    <row r="30" spans="4:7" x14ac:dyDescent="0.2">
      <c r="E30" s="48" t="s">
        <v>381</v>
      </c>
      <c r="F30" s="47">
        <v>1</v>
      </c>
      <c r="G30" s="46">
        <v>9.6267966027874536E-3</v>
      </c>
    </row>
    <row r="31" spans="4:7" x14ac:dyDescent="0.2">
      <c r="E31" s="49" t="s">
        <v>210</v>
      </c>
      <c r="F31" s="47">
        <v>1.2493000000000001</v>
      </c>
      <c r="G31" s="46">
        <v>2.4066991506968637E-2</v>
      </c>
    </row>
    <row r="32" spans="4:7" x14ac:dyDescent="0.2">
      <c r="E32" s="48" t="s">
        <v>380</v>
      </c>
      <c r="F32" s="47">
        <v>4.9969999999999999</v>
      </c>
      <c r="G32" s="46">
        <v>9.6267966027874546E-2</v>
      </c>
    </row>
    <row r="33" spans="1:77" x14ac:dyDescent="0.2">
      <c r="E33" s="48" t="s">
        <v>379</v>
      </c>
      <c r="F33" s="47">
        <v>4.9969999999999999</v>
      </c>
      <c r="G33" s="46">
        <v>9.6267966027874546E-2</v>
      </c>
    </row>
    <row r="34" spans="1:77" x14ac:dyDescent="0.2">
      <c r="E34" s="48" t="s">
        <v>207</v>
      </c>
      <c r="F34" s="47">
        <v>2.4984999999999999</v>
      </c>
      <c r="G34" s="46">
        <v>4.8133983013937273E-2</v>
      </c>
    </row>
    <row r="35" spans="1:77" x14ac:dyDescent="0.2">
      <c r="E35" s="48" t="s">
        <v>206</v>
      </c>
      <c r="F35" s="47">
        <v>0.49969999999999998</v>
      </c>
      <c r="G35" s="46">
        <v>9.6267966027874536E-3</v>
      </c>
    </row>
    <row r="36" spans="1:77" x14ac:dyDescent="0.2">
      <c r="A36" t="s">
        <v>314</v>
      </c>
      <c r="H36" t="s">
        <v>317</v>
      </c>
      <c r="O36" t="s">
        <v>321</v>
      </c>
      <c r="V36" t="s">
        <v>317</v>
      </c>
      <c r="AC36" t="s">
        <v>314</v>
      </c>
      <c r="AJ36" t="s">
        <v>315</v>
      </c>
      <c r="AQ36" t="s">
        <v>317</v>
      </c>
      <c r="AX36" t="s">
        <v>319</v>
      </c>
      <c r="BE36" t="s">
        <v>378</v>
      </c>
    </row>
    <row r="38" spans="1:77" x14ac:dyDescent="0.2">
      <c r="A38" t="s">
        <v>313</v>
      </c>
      <c r="H38" t="s">
        <v>313</v>
      </c>
      <c r="O38" t="s">
        <v>313</v>
      </c>
      <c r="V38" t="s">
        <v>313</v>
      </c>
      <c r="AC38" t="s">
        <v>313</v>
      </c>
      <c r="AJ38" t="s">
        <v>313</v>
      </c>
      <c r="AQ38" t="s">
        <v>313</v>
      </c>
      <c r="AX38" t="s">
        <v>313</v>
      </c>
      <c r="BE38" t="s">
        <v>313</v>
      </c>
    </row>
    <row r="39" spans="1:77" x14ac:dyDescent="0.2">
      <c r="A39" t="s">
        <v>377</v>
      </c>
      <c r="H39" t="s">
        <v>376</v>
      </c>
      <c r="O39" t="s">
        <v>375</v>
      </c>
      <c r="V39" t="s">
        <v>374</v>
      </c>
      <c r="AC39" t="s">
        <v>373</v>
      </c>
      <c r="AJ39" t="s">
        <v>372</v>
      </c>
      <c r="AQ39" t="s">
        <v>371</v>
      </c>
      <c r="AX39" t="s">
        <v>370</v>
      </c>
      <c r="BE39" t="s">
        <v>369</v>
      </c>
    </row>
    <row r="40" spans="1:77" x14ac:dyDescent="0.2">
      <c r="A40" t="s">
        <v>301</v>
      </c>
      <c r="H40" t="s">
        <v>301</v>
      </c>
      <c r="O40" t="s">
        <v>301</v>
      </c>
      <c r="V40" t="s">
        <v>301</v>
      </c>
      <c r="AC40" t="s">
        <v>301</v>
      </c>
      <c r="AJ40" t="s">
        <v>301</v>
      </c>
      <c r="AQ40" t="s">
        <v>301</v>
      </c>
      <c r="AX40" t="s">
        <v>301</v>
      </c>
      <c r="BE40" t="s">
        <v>301</v>
      </c>
    </row>
    <row r="41" spans="1:77" x14ac:dyDescent="0.2">
      <c r="A41" t="s">
        <v>368</v>
      </c>
      <c r="H41" t="s">
        <v>367</v>
      </c>
      <c r="O41" t="s">
        <v>366</v>
      </c>
      <c r="V41" t="s">
        <v>365</v>
      </c>
      <c r="AC41" t="s">
        <v>364</v>
      </c>
      <c r="AJ41" t="s">
        <v>363</v>
      </c>
      <c r="AQ41" t="s">
        <v>362</v>
      </c>
      <c r="AX41" t="s">
        <v>361</v>
      </c>
      <c r="BE41" t="s">
        <v>360</v>
      </c>
    </row>
    <row r="42" spans="1:77" x14ac:dyDescent="0.2">
      <c r="A42" t="s">
        <v>289</v>
      </c>
      <c r="H42" t="s">
        <v>289</v>
      </c>
      <c r="O42" t="s">
        <v>289</v>
      </c>
      <c r="V42" t="s">
        <v>289</v>
      </c>
      <c r="AC42" t="s">
        <v>289</v>
      </c>
      <c r="AJ42" t="s">
        <v>289</v>
      </c>
      <c r="AQ42" t="s">
        <v>289</v>
      </c>
      <c r="AX42" t="s">
        <v>289</v>
      </c>
      <c r="BE42" t="s">
        <v>289</v>
      </c>
    </row>
    <row r="43" spans="1:77" ht="29" x14ac:dyDescent="0.35">
      <c r="A43" s="44" t="s">
        <v>359</v>
      </c>
      <c r="B43" s="44"/>
      <c r="C43" s="44"/>
      <c r="D43" s="44"/>
      <c r="E43" s="44"/>
      <c r="F43" s="44"/>
      <c r="G43" s="44"/>
      <c r="H43" s="44" t="s">
        <v>358</v>
      </c>
      <c r="I43" s="44"/>
      <c r="J43" s="44"/>
      <c r="K43" s="44"/>
      <c r="L43" s="44"/>
      <c r="M43" s="44"/>
      <c r="N43" s="44"/>
      <c r="O43" s="44" t="s">
        <v>357</v>
      </c>
      <c r="P43" s="44"/>
      <c r="Q43" s="44"/>
      <c r="R43" s="44"/>
      <c r="S43" s="44"/>
      <c r="T43" s="44"/>
      <c r="U43" s="44"/>
      <c r="V43" s="44" t="s">
        <v>356</v>
      </c>
      <c r="W43" s="44"/>
      <c r="X43" s="44"/>
      <c r="Y43" s="44"/>
      <c r="Z43" s="44"/>
      <c r="AA43" s="44"/>
      <c r="AB43" s="44"/>
      <c r="AC43" s="44" t="s">
        <v>355</v>
      </c>
      <c r="AD43" s="44"/>
      <c r="AE43" s="44"/>
      <c r="AF43" s="44"/>
      <c r="AG43" s="44"/>
      <c r="AH43" s="44"/>
      <c r="AI43" s="44"/>
      <c r="AJ43" s="44" t="s">
        <v>354</v>
      </c>
      <c r="AK43" s="44"/>
      <c r="AL43" s="44"/>
      <c r="AM43" s="44"/>
      <c r="AN43" s="44"/>
      <c r="AO43" s="44"/>
      <c r="AP43" s="44"/>
      <c r="AQ43" s="44" t="s">
        <v>353</v>
      </c>
      <c r="AR43" s="44"/>
      <c r="AS43" s="44"/>
      <c r="AT43" s="44"/>
      <c r="AU43" s="44"/>
      <c r="AV43" s="44"/>
      <c r="AW43" s="44"/>
      <c r="AX43" s="44" t="s">
        <v>352</v>
      </c>
      <c r="AY43" s="44"/>
      <c r="AZ43" s="44"/>
      <c r="BA43" s="44"/>
      <c r="BB43" s="44"/>
      <c r="BC43" s="44"/>
      <c r="BD43" s="44"/>
      <c r="BE43" s="44" t="s">
        <v>351</v>
      </c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</row>
    <row r="44" spans="1:77" x14ac:dyDescent="0.2">
      <c r="A44" t="s">
        <v>277</v>
      </c>
      <c r="H44" t="s">
        <v>277</v>
      </c>
      <c r="O44" t="s">
        <v>277</v>
      </c>
      <c r="V44" t="s">
        <v>277</v>
      </c>
      <c r="AC44" t="s">
        <v>277</v>
      </c>
      <c r="AJ44" t="s">
        <v>277</v>
      </c>
      <c r="AQ44" t="s">
        <v>277</v>
      </c>
      <c r="AX44" t="s">
        <v>277</v>
      </c>
      <c r="BE44" t="s">
        <v>277</v>
      </c>
    </row>
    <row r="45" spans="1:77" x14ac:dyDescent="0.2">
      <c r="A45" t="s">
        <v>350</v>
      </c>
      <c r="H45" t="s">
        <v>349</v>
      </c>
      <c r="O45" t="s">
        <v>348</v>
      </c>
      <c r="V45" t="s">
        <v>347</v>
      </c>
      <c r="AC45" t="s">
        <v>346</v>
      </c>
      <c r="AJ45" t="s">
        <v>345</v>
      </c>
      <c r="AQ45" t="s">
        <v>344</v>
      </c>
      <c r="AX45" t="s">
        <v>343</v>
      </c>
      <c r="BE45" t="s">
        <v>342</v>
      </c>
    </row>
    <row r="47" spans="1:77" x14ac:dyDescent="0.2">
      <c r="A47" t="s">
        <v>265</v>
      </c>
      <c r="H47" t="s">
        <v>265</v>
      </c>
      <c r="O47" t="s">
        <v>265</v>
      </c>
      <c r="V47" t="s">
        <v>265</v>
      </c>
      <c r="AC47" t="s">
        <v>265</v>
      </c>
      <c r="AJ47" t="s">
        <v>265</v>
      </c>
      <c r="AQ47" t="s">
        <v>265</v>
      </c>
      <c r="AX47" t="s">
        <v>265</v>
      </c>
      <c r="BE47" t="s">
        <v>265</v>
      </c>
    </row>
    <row r="48" spans="1:77" x14ac:dyDescent="0.2">
      <c r="A48" t="s">
        <v>341</v>
      </c>
      <c r="H48" t="s">
        <v>340</v>
      </c>
      <c r="O48" t="s">
        <v>339</v>
      </c>
      <c r="V48" t="s">
        <v>338</v>
      </c>
      <c r="AC48" t="s">
        <v>337</v>
      </c>
      <c r="AJ48" t="s">
        <v>336</v>
      </c>
      <c r="AQ48" t="s">
        <v>335</v>
      </c>
      <c r="AX48" t="s">
        <v>334</v>
      </c>
      <c r="BE48" t="s">
        <v>333</v>
      </c>
    </row>
    <row r="49" spans="1:75" x14ac:dyDescent="0.2">
      <c r="A49" t="s">
        <v>253</v>
      </c>
      <c r="H49" t="s">
        <v>253</v>
      </c>
      <c r="O49" t="s">
        <v>253</v>
      </c>
      <c r="V49" t="s">
        <v>253</v>
      </c>
      <c r="AC49" t="s">
        <v>253</v>
      </c>
      <c r="AJ49" t="s">
        <v>253</v>
      </c>
      <c r="AQ49" t="s">
        <v>253</v>
      </c>
      <c r="AX49" t="s">
        <v>253</v>
      </c>
      <c r="BE49" t="s">
        <v>253</v>
      </c>
    </row>
    <row r="50" spans="1:75" x14ac:dyDescent="0.2">
      <c r="A50" t="s">
        <v>252</v>
      </c>
      <c r="H50" t="s">
        <v>252</v>
      </c>
      <c r="O50" t="s">
        <v>252</v>
      </c>
      <c r="V50" t="s">
        <v>252</v>
      </c>
      <c r="AC50" t="s">
        <v>252</v>
      </c>
      <c r="AJ50" t="s">
        <v>252</v>
      </c>
      <c r="AQ50" t="s">
        <v>252</v>
      </c>
      <c r="AX50" t="s">
        <v>252</v>
      </c>
      <c r="BE50" t="s">
        <v>252</v>
      </c>
    </row>
    <row r="51" spans="1:75" x14ac:dyDescent="0.2">
      <c r="A51" t="s">
        <v>251</v>
      </c>
      <c r="H51" t="s">
        <v>251</v>
      </c>
      <c r="O51" t="s">
        <v>251</v>
      </c>
      <c r="V51" t="s">
        <v>251</v>
      </c>
      <c r="AC51" t="s">
        <v>251</v>
      </c>
      <c r="AJ51" t="s">
        <v>251</v>
      </c>
      <c r="AQ51" t="s">
        <v>251</v>
      </c>
      <c r="AX51" t="s">
        <v>251</v>
      </c>
      <c r="BE51" t="s">
        <v>251</v>
      </c>
    </row>
    <row r="52" spans="1:75" x14ac:dyDescent="0.2">
      <c r="A52" t="s">
        <v>250</v>
      </c>
      <c r="H52" t="s">
        <v>250</v>
      </c>
      <c r="O52" t="s">
        <v>250</v>
      </c>
      <c r="V52" t="s">
        <v>250</v>
      </c>
      <c r="AC52" t="s">
        <v>250</v>
      </c>
      <c r="AJ52" t="s">
        <v>250</v>
      </c>
      <c r="AQ52" t="s">
        <v>250</v>
      </c>
      <c r="AX52" t="s">
        <v>250</v>
      </c>
      <c r="BE52" t="s">
        <v>250</v>
      </c>
    </row>
    <row r="53" spans="1:75" x14ac:dyDescent="0.2">
      <c r="A53" t="s">
        <v>249</v>
      </c>
      <c r="H53" t="s">
        <v>249</v>
      </c>
      <c r="O53" t="s">
        <v>249</v>
      </c>
      <c r="V53" t="s">
        <v>249</v>
      </c>
      <c r="AC53" t="s">
        <v>249</v>
      </c>
      <c r="AJ53" t="s">
        <v>249</v>
      </c>
      <c r="AQ53" t="s">
        <v>249</v>
      </c>
      <c r="AX53" t="s">
        <v>249</v>
      </c>
      <c r="BE53" t="s">
        <v>249</v>
      </c>
    </row>
    <row r="55" spans="1:75" x14ac:dyDescent="0.2">
      <c r="A55" t="s">
        <v>248</v>
      </c>
      <c r="H55" t="s">
        <v>248</v>
      </c>
      <c r="O55" t="s">
        <v>248</v>
      </c>
      <c r="V55" t="s">
        <v>248</v>
      </c>
      <c r="AC55" t="s">
        <v>248</v>
      </c>
      <c r="AJ55" t="s">
        <v>248</v>
      </c>
      <c r="AQ55" t="s">
        <v>248</v>
      </c>
      <c r="AX55" t="s">
        <v>248</v>
      </c>
      <c r="BE55" t="s">
        <v>248</v>
      </c>
    </row>
    <row r="56" spans="1:75" x14ac:dyDescent="0.2">
      <c r="A56" t="s">
        <v>247</v>
      </c>
      <c r="H56" t="s">
        <v>247</v>
      </c>
      <c r="O56" t="s">
        <v>247</v>
      </c>
      <c r="V56" t="s">
        <v>247</v>
      </c>
      <c r="AC56" t="s">
        <v>247</v>
      </c>
      <c r="AJ56" t="s">
        <v>247</v>
      </c>
      <c r="AQ56" t="s">
        <v>247</v>
      </c>
      <c r="AX56" t="s">
        <v>247</v>
      </c>
      <c r="BE56" t="s">
        <v>247</v>
      </c>
    </row>
    <row r="57" spans="1:75" x14ac:dyDescent="0.2">
      <c r="A57" t="s">
        <v>246</v>
      </c>
      <c r="H57" t="s">
        <v>246</v>
      </c>
      <c r="O57" t="s">
        <v>246</v>
      </c>
      <c r="V57" t="s">
        <v>246</v>
      </c>
      <c r="AC57" t="s">
        <v>246</v>
      </c>
      <c r="AJ57" t="s">
        <v>246</v>
      </c>
      <c r="AQ57" t="s">
        <v>246</v>
      </c>
      <c r="AX57" t="s">
        <v>246</v>
      </c>
      <c r="BE57" t="s">
        <v>246</v>
      </c>
    </row>
    <row r="59" spans="1:75" x14ac:dyDescent="0.2">
      <c r="A59" t="s">
        <v>245</v>
      </c>
      <c r="H59" t="s">
        <v>245</v>
      </c>
      <c r="O59" t="s">
        <v>245</v>
      </c>
      <c r="V59" t="s">
        <v>245</v>
      </c>
      <c r="AC59" t="s">
        <v>245</v>
      </c>
      <c r="AJ59" t="s">
        <v>245</v>
      </c>
      <c r="AQ59" t="s">
        <v>245</v>
      </c>
      <c r="AX59" t="s">
        <v>245</v>
      </c>
      <c r="BE59" t="s">
        <v>245</v>
      </c>
    </row>
    <row r="60" spans="1:75" x14ac:dyDescent="0.2">
      <c r="A60" t="s">
        <v>228</v>
      </c>
      <c r="H60" t="s">
        <v>228</v>
      </c>
      <c r="O60" t="s">
        <v>228</v>
      </c>
      <c r="V60" t="s">
        <v>228</v>
      </c>
      <c r="AC60" t="s">
        <v>228</v>
      </c>
      <c r="AJ60" t="s">
        <v>228</v>
      </c>
      <c r="AQ60" t="s">
        <v>228</v>
      </c>
      <c r="AX60" t="s">
        <v>228</v>
      </c>
      <c r="BE60" t="s">
        <v>228</v>
      </c>
    </row>
    <row r="62" spans="1:75" x14ac:dyDescent="0.2">
      <c r="A62" t="s">
        <v>244</v>
      </c>
      <c r="E62" s="42" t="s">
        <v>203</v>
      </c>
      <c r="H62" t="s">
        <v>244</v>
      </c>
      <c r="L62" s="42" t="s">
        <v>203</v>
      </c>
      <c r="O62" t="s">
        <v>244</v>
      </c>
      <c r="S62" s="42" t="s">
        <v>203</v>
      </c>
      <c r="V62" t="s">
        <v>244</v>
      </c>
      <c r="Z62" s="42" t="s">
        <v>203</v>
      </c>
      <c r="AC62" t="s">
        <v>244</v>
      </c>
      <c r="AG62" s="42" t="s">
        <v>203</v>
      </c>
      <c r="AJ62" t="s">
        <v>244</v>
      </c>
      <c r="AN62" s="42" t="s">
        <v>203</v>
      </c>
      <c r="AQ62" t="s">
        <v>244</v>
      </c>
      <c r="AU62" s="42" t="s">
        <v>203</v>
      </c>
      <c r="AX62" t="s">
        <v>244</v>
      </c>
      <c r="BB62" s="42" t="s">
        <v>203</v>
      </c>
      <c r="BE62" t="s">
        <v>244</v>
      </c>
      <c r="BI62" s="42" t="s">
        <v>203</v>
      </c>
    </row>
    <row r="63" spans="1:75" x14ac:dyDescent="0.2">
      <c r="A63" t="s">
        <v>243</v>
      </c>
      <c r="B63" t="s">
        <v>214</v>
      </c>
      <c r="C63">
        <v>7.9530000000000003</v>
      </c>
      <c r="D63">
        <v>77290099</v>
      </c>
      <c r="E63" s="43">
        <v>0.89600000000000002</v>
      </c>
      <c r="H63" t="s">
        <v>243</v>
      </c>
      <c r="I63" t="s">
        <v>214</v>
      </c>
      <c r="J63">
        <v>7.952</v>
      </c>
      <c r="K63">
        <v>80326618</v>
      </c>
      <c r="L63" s="43">
        <v>0.93200000000000005</v>
      </c>
      <c r="O63" t="s">
        <v>243</v>
      </c>
      <c r="P63" t="s">
        <v>214</v>
      </c>
      <c r="Q63">
        <v>7.952</v>
      </c>
      <c r="R63">
        <v>76963510</v>
      </c>
      <c r="S63" s="43">
        <v>0.89200000000000002</v>
      </c>
      <c r="V63" t="s">
        <v>243</v>
      </c>
      <c r="W63" t="s">
        <v>214</v>
      </c>
      <c r="X63">
        <v>7.9509999999999996</v>
      </c>
      <c r="Y63">
        <v>73256936</v>
      </c>
      <c r="Z63" s="43">
        <v>0.84799999999999998</v>
      </c>
      <c r="AC63" t="s">
        <v>243</v>
      </c>
      <c r="AD63" t="s">
        <v>214</v>
      </c>
      <c r="AE63">
        <v>7.952</v>
      </c>
      <c r="AF63">
        <v>76379025</v>
      </c>
      <c r="AG63" s="43">
        <v>0.88500000000000001</v>
      </c>
      <c r="AJ63" t="s">
        <v>243</v>
      </c>
      <c r="AK63" t="s">
        <v>214</v>
      </c>
      <c r="AL63">
        <v>7.9450000000000003</v>
      </c>
      <c r="AM63">
        <v>72539049</v>
      </c>
      <c r="AN63" s="43">
        <v>0.84</v>
      </c>
      <c r="AQ63" t="s">
        <v>243</v>
      </c>
      <c r="AR63" t="s">
        <v>214</v>
      </c>
      <c r="AS63">
        <v>7.9489999999999998</v>
      </c>
      <c r="AT63">
        <v>75746675</v>
      </c>
      <c r="AU63" s="43">
        <v>0.878</v>
      </c>
      <c r="AX63" t="s">
        <v>243</v>
      </c>
      <c r="AY63" t="s">
        <v>214</v>
      </c>
      <c r="AZ63">
        <v>7.9489999999999998</v>
      </c>
      <c r="BA63">
        <v>77001467</v>
      </c>
      <c r="BB63" s="43">
        <v>0.89300000000000002</v>
      </c>
      <c r="BE63" t="s">
        <v>243</v>
      </c>
      <c r="BF63" t="s">
        <v>214</v>
      </c>
      <c r="BG63">
        <v>7.9480000000000004</v>
      </c>
      <c r="BH63">
        <v>81442822</v>
      </c>
      <c r="BI63" s="43">
        <v>0.94499999999999995</v>
      </c>
      <c r="BP63" s="43"/>
      <c r="BW63" s="43"/>
    </row>
    <row r="64" spans="1:75" x14ac:dyDescent="0.2">
      <c r="A64" t="s">
        <v>242</v>
      </c>
      <c r="B64" t="s">
        <v>213</v>
      </c>
      <c r="C64">
        <v>0</v>
      </c>
      <c r="D64">
        <v>0</v>
      </c>
      <c r="E64" s="43" t="s">
        <v>202</v>
      </c>
      <c r="H64" t="s">
        <v>242</v>
      </c>
      <c r="I64" t="s">
        <v>213</v>
      </c>
      <c r="J64">
        <v>0</v>
      </c>
      <c r="K64">
        <v>0</v>
      </c>
      <c r="L64" s="43" t="s">
        <v>202</v>
      </c>
      <c r="O64" t="s">
        <v>242</v>
      </c>
      <c r="P64" t="s">
        <v>213</v>
      </c>
      <c r="Q64">
        <v>0</v>
      </c>
      <c r="R64">
        <v>0</v>
      </c>
      <c r="S64" s="43" t="s">
        <v>202</v>
      </c>
      <c r="V64" t="s">
        <v>242</v>
      </c>
      <c r="W64" t="s">
        <v>213</v>
      </c>
      <c r="X64">
        <v>0</v>
      </c>
      <c r="Y64">
        <v>0</v>
      </c>
      <c r="Z64" s="43" t="s">
        <v>202</v>
      </c>
      <c r="AC64" t="s">
        <v>242</v>
      </c>
      <c r="AD64" t="s">
        <v>213</v>
      </c>
      <c r="AE64">
        <v>0</v>
      </c>
      <c r="AF64">
        <v>0</v>
      </c>
      <c r="AG64" s="43" t="s">
        <v>202</v>
      </c>
      <c r="AH64" t="s">
        <v>331</v>
      </c>
      <c r="AJ64" t="s">
        <v>242</v>
      </c>
      <c r="AK64" t="s">
        <v>213</v>
      </c>
      <c r="AL64">
        <v>0</v>
      </c>
      <c r="AM64">
        <v>0</v>
      </c>
      <c r="AN64" s="43" t="s">
        <v>202</v>
      </c>
      <c r="AQ64" t="s">
        <v>242</v>
      </c>
      <c r="AR64" t="s">
        <v>213</v>
      </c>
      <c r="AS64">
        <v>0</v>
      </c>
      <c r="AT64">
        <v>0</v>
      </c>
      <c r="AU64" s="43" t="s">
        <v>202</v>
      </c>
      <c r="AX64" t="s">
        <v>242</v>
      </c>
      <c r="AY64" t="s">
        <v>213</v>
      </c>
      <c r="AZ64">
        <v>0</v>
      </c>
      <c r="BA64">
        <v>0</v>
      </c>
      <c r="BB64" s="43" t="s">
        <v>202</v>
      </c>
      <c r="BE64" t="s">
        <v>242</v>
      </c>
      <c r="BF64" t="s">
        <v>213</v>
      </c>
      <c r="BG64">
        <v>0</v>
      </c>
      <c r="BH64">
        <v>0</v>
      </c>
      <c r="BI64" s="43" t="s">
        <v>202</v>
      </c>
      <c r="BP64" s="43"/>
      <c r="BW64" s="43"/>
    </row>
    <row r="65" spans="1:77" x14ac:dyDescent="0.2">
      <c r="A65" t="s">
        <v>241</v>
      </c>
      <c r="B65" t="s">
        <v>212</v>
      </c>
      <c r="C65">
        <v>11.172000000000001</v>
      </c>
      <c r="D65">
        <v>21404860</v>
      </c>
      <c r="E65" s="43">
        <v>0.23899999999999999</v>
      </c>
      <c r="H65" t="s">
        <v>241</v>
      </c>
      <c r="I65" t="s">
        <v>212</v>
      </c>
      <c r="J65">
        <v>11.167999999999999</v>
      </c>
      <c r="K65">
        <v>29519172</v>
      </c>
      <c r="L65" s="43">
        <v>0.33300000000000002</v>
      </c>
      <c r="O65" t="s">
        <v>241</v>
      </c>
      <c r="P65" t="s">
        <v>212</v>
      </c>
      <c r="Q65">
        <v>11.167999999999999</v>
      </c>
      <c r="R65">
        <v>25353541</v>
      </c>
      <c r="S65" s="43">
        <v>0.28499999999999998</v>
      </c>
      <c r="V65" t="s">
        <v>241</v>
      </c>
      <c r="W65" t="s">
        <v>212</v>
      </c>
      <c r="X65">
        <v>11.167</v>
      </c>
      <c r="Y65">
        <v>26493242</v>
      </c>
      <c r="Z65" s="43">
        <v>0.29799999999999999</v>
      </c>
      <c r="AC65" t="s">
        <v>241</v>
      </c>
      <c r="AD65" t="s">
        <v>212</v>
      </c>
      <c r="AE65">
        <v>11.159000000000001</v>
      </c>
      <c r="AF65">
        <v>44056704</v>
      </c>
      <c r="AG65" s="43">
        <v>0.502</v>
      </c>
      <c r="AJ65" t="s">
        <v>241</v>
      </c>
      <c r="AK65" t="s">
        <v>212</v>
      </c>
      <c r="AL65">
        <v>11.153</v>
      </c>
      <c r="AM65">
        <v>37747921</v>
      </c>
      <c r="AN65" s="43">
        <v>0.42899999999999999</v>
      </c>
      <c r="AQ65" t="s">
        <v>241</v>
      </c>
      <c r="AR65" t="s">
        <v>212</v>
      </c>
      <c r="AS65">
        <v>11.156000000000001</v>
      </c>
      <c r="AT65">
        <v>66532385</v>
      </c>
      <c r="AU65" s="43">
        <v>0.76300000000000001</v>
      </c>
      <c r="AX65" t="s">
        <v>241</v>
      </c>
      <c r="AY65" t="s">
        <v>212</v>
      </c>
      <c r="AZ65">
        <v>11.16</v>
      </c>
      <c r="BA65">
        <v>47544748</v>
      </c>
      <c r="BB65" s="43">
        <v>0.54200000000000004</v>
      </c>
      <c r="BE65" t="s">
        <v>241</v>
      </c>
      <c r="BF65" t="s">
        <v>212</v>
      </c>
      <c r="BG65">
        <v>11.156000000000001</v>
      </c>
      <c r="BH65">
        <v>60935707</v>
      </c>
      <c r="BI65" s="43">
        <v>0.69799999999999995</v>
      </c>
      <c r="BP65" s="43"/>
      <c r="BW65" s="43"/>
    </row>
    <row r="66" spans="1:77" x14ac:dyDescent="0.2">
      <c r="A66" t="s">
        <v>240</v>
      </c>
      <c r="B66" t="s">
        <v>211</v>
      </c>
      <c r="C66">
        <v>11.577999999999999</v>
      </c>
      <c r="D66">
        <v>9701792</v>
      </c>
      <c r="E66" s="43">
        <v>0.107</v>
      </c>
      <c r="F66" t="s">
        <v>331</v>
      </c>
      <c r="H66" t="s">
        <v>240</v>
      </c>
      <c r="I66" t="s">
        <v>211</v>
      </c>
      <c r="J66">
        <v>11.571</v>
      </c>
      <c r="K66">
        <v>10670347</v>
      </c>
      <c r="L66" s="43">
        <v>0.11799999999999999</v>
      </c>
      <c r="M66" t="s">
        <v>331</v>
      </c>
      <c r="O66" t="s">
        <v>240</v>
      </c>
      <c r="P66" t="s">
        <v>211</v>
      </c>
      <c r="Q66">
        <v>11.577</v>
      </c>
      <c r="R66">
        <v>13482447</v>
      </c>
      <c r="S66" s="43">
        <v>0.15</v>
      </c>
      <c r="V66" t="s">
        <v>240</v>
      </c>
      <c r="W66" t="s">
        <v>211</v>
      </c>
      <c r="X66">
        <v>11.573</v>
      </c>
      <c r="Y66">
        <v>11689228</v>
      </c>
      <c r="Z66" s="43">
        <v>0.13</v>
      </c>
      <c r="AA66" t="s">
        <v>331</v>
      </c>
      <c r="AC66" t="s">
        <v>240</v>
      </c>
      <c r="AD66" t="s">
        <v>211</v>
      </c>
      <c r="AE66">
        <v>11.561999999999999</v>
      </c>
      <c r="AF66">
        <v>17099489</v>
      </c>
      <c r="AG66" s="43">
        <v>0.192</v>
      </c>
      <c r="AJ66" t="s">
        <v>240</v>
      </c>
      <c r="AK66" t="s">
        <v>211</v>
      </c>
      <c r="AL66">
        <v>11.557</v>
      </c>
      <c r="AM66">
        <v>12420330</v>
      </c>
      <c r="AN66" s="43">
        <v>0.13800000000000001</v>
      </c>
      <c r="AQ66" t="s">
        <v>240</v>
      </c>
      <c r="AR66" t="s">
        <v>211</v>
      </c>
      <c r="AS66">
        <v>11.555</v>
      </c>
      <c r="AT66">
        <v>26803695</v>
      </c>
      <c r="AU66" s="43">
        <v>0.30199999999999999</v>
      </c>
      <c r="AX66" t="s">
        <v>240</v>
      </c>
      <c r="AY66" t="s">
        <v>211</v>
      </c>
      <c r="AZ66">
        <v>11.56</v>
      </c>
      <c r="BA66">
        <v>14374592</v>
      </c>
      <c r="BB66" s="43">
        <v>0.16</v>
      </c>
      <c r="BE66" t="s">
        <v>240</v>
      </c>
      <c r="BF66" t="s">
        <v>211</v>
      </c>
      <c r="BG66">
        <v>11.555999999999999</v>
      </c>
      <c r="BH66">
        <v>22500250</v>
      </c>
      <c r="BI66" s="43">
        <v>0.253</v>
      </c>
      <c r="BP66" s="43"/>
      <c r="BW66" s="43"/>
    </row>
    <row r="67" spans="1:77" x14ac:dyDescent="0.2">
      <c r="A67" t="s">
        <v>239</v>
      </c>
      <c r="B67" t="s">
        <v>210</v>
      </c>
      <c r="C67">
        <v>14.279</v>
      </c>
      <c r="D67">
        <v>13144963</v>
      </c>
      <c r="E67" s="43">
        <v>0.14399999999999999</v>
      </c>
      <c r="F67" t="s">
        <v>331</v>
      </c>
      <c r="H67" t="s">
        <v>239</v>
      </c>
      <c r="I67" t="s">
        <v>210</v>
      </c>
      <c r="J67">
        <v>14.271000000000001</v>
      </c>
      <c r="K67">
        <v>19845021</v>
      </c>
      <c r="L67" s="43">
        <v>0.22</v>
      </c>
      <c r="O67" t="s">
        <v>239</v>
      </c>
      <c r="P67" t="s">
        <v>210</v>
      </c>
      <c r="Q67">
        <v>14.266999999999999</v>
      </c>
      <c r="R67">
        <v>13661007</v>
      </c>
      <c r="S67" s="43">
        <v>0.15</v>
      </c>
      <c r="T67" t="s">
        <v>331</v>
      </c>
      <c r="V67" t="s">
        <v>239</v>
      </c>
      <c r="W67" t="s">
        <v>210</v>
      </c>
      <c r="X67">
        <v>14.265000000000001</v>
      </c>
      <c r="Y67">
        <v>14767534</v>
      </c>
      <c r="Z67" s="43">
        <v>0.16300000000000001</v>
      </c>
      <c r="AA67" t="s">
        <v>331</v>
      </c>
      <c r="AC67" t="s">
        <v>239</v>
      </c>
      <c r="AD67" t="s">
        <v>210</v>
      </c>
      <c r="AE67">
        <v>14.262</v>
      </c>
      <c r="AF67">
        <v>24100122</v>
      </c>
      <c r="AG67" s="43">
        <v>0.26800000000000002</v>
      </c>
      <c r="AJ67" t="s">
        <v>239</v>
      </c>
      <c r="AK67" t="s">
        <v>210</v>
      </c>
      <c r="AL67">
        <v>14.246</v>
      </c>
      <c r="AM67">
        <v>20088149</v>
      </c>
      <c r="AN67" s="43">
        <v>0.223</v>
      </c>
      <c r="AO67" t="s">
        <v>331</v>
      </c>
      <c r="AQ67" t="s">
        <v>239</v>
      </c>
      <c r="AR67" t="s">
        <v>210</v>
      </c>
      <c r="AS67">
        <v>14.256</v>
      </c>
      <c r="AT67">
        <v>34986690</v>
      </c>
      <c r="AU67" s="43">
        <v>0.39100000000000001</v>
      </c>
      <c r="AX67" t="s">
        <v>239</v>
      </c>
      <c r="AY67" t="s">
        <v>210</v>
      </c>
      <c r="AZ67">
        <v>14.257</v>
      </c>
      <c r="BA67">
        <v>26045675</v>
      </c>
      <c r="BB67" s="43">
        <v>0.28999999999999998</v>
      </c>
      <c r="BE67" t="s">
        <v>239</v>
      </c>
      <c r="BF67" t="s">
        <v>210</v>
      </c>
      <c r="BG67">
        <v>14.257</v>
      </c>
      <c r="BH67">
        <v>33151917</v>
      </c>
      <c r="BI67" s="43">
        <v>0.37</v>
      </c>
      <c r="BP67" s="43"/>
      <c r="BW67" s="43"/>
    </row>
    <row r="68" spans="1:77" x14ac:dyDescent="0.2">
      <c r="A68" t="s">
        <v>234</v>
      </c>
      <c r="B68" t="s">
        <v>209</v>
      </c>
      <c r="C68">
        <v>14.747</v>
      </c>
      <c r="D68">
        <v>34778756</v>
      </c>
      <c r="E68" s="43">
        <v>0.376</v>
      </c>
      <c r="F68" t="s">
        <v>331</v>
      </c>
      <c r="H68" t="s">
        <v>234</v>
      </c>
      <c r="I68" t="s">
        <v>209</v>
      </c>
      <c r="J68">
        <v>14.743</v>
      </c>
      <c r="K68">
        <v>56749422</v>
      </c>
      <c r="L68" s="43">
        <v>0.623</v>
      </c>
      <c r="M68" t="s">
        <v>331</v>
      </c>
      <c r="O68" t="s">
        <v>234</v>
      </c>
      <c r="P68" t="s">
        <v>209</v>
      </c>
      <c r="Q68">
        <v>14.742000000000001</v>
      </c>
      <c r="R68">
        <v>50589726</v>
      </c>
      <c r="S68" s="43">
        <v>0.55400000000000005</v>
      </c>
      <c r="T68" t="s">
        <v>331</v>
      </c>
      <c r="V68" t="s">
        <v>234</v>
      </c>
      <c r="W68" t="s">
        <v>209</v>
      </c>
      <c r="X68">
        <v>14.739000000000001</v>
      </c>
      <c r="Y68">
        <v>55856993</v>
      </c>
      <c r="Z68" s="43">
        <v>0.61299999999999999</v>
      </c>
      <c r="AA68" t="s">
        <v>331</v>
      </c>
      <c r="AC68" t="s">
        <v>234</v>
      </c>
      <c r="AD68" t="s">
        <v>209</v>
      </c>
      <c r="AE68">
        <v>14.76</v>
      </c>
      <c r="AF68">
        <v>157155349</v>
      </c>
      <c r="AG68" s="43">
        <v>1.752</v>
      </c>
      <c r="AH68" t="s">
        <v>331</v>
      </c>
      <c r="AJ68" t="s">
        <v>234</v>
      </c>
      <c r="AK68" t="s">
        <v>209</v>
      </c>
      <c r="AL68">
        <v>14.736000000000001</v>
      </c>
      <c r="AM68">
        <v>124075042</v>
      </c>
      <c r="AN68" s="43">
        <v>1.38</v>
      </c>
      <c r="AQ68" t="s">
        <v>234</v>
      </c>
      <c r="AR68" t="s">
        <v>209</v>
      </c>
      <c r="AS68">
        <v>14.768000000000001</v>
      </c>
      <c r="AT68">
        <v>235793053</v>
      </c>
      <c r="AU68" s="43" t="s">
        <v>332</v>
      </c>
      <c r="AX68" t="s">
        <v>234</v>
      </c>
      <c r="AY68" t="s">
        <v>209</v>
      </c>
      <c r="AZ68">
        <v>14.747</v>
      </c>
      <c r="BA68">
        <v>138948597</v>
      </c>
      <c r="BB68" s="43">
        <v>1.5469999999999999</v>
      </c>
      <c r="BE68" t="s">
        <v>234</v>
      </c>
      <c r="BF68" t="s">
        <v>209</v>
      </c>
      <c r="BG68">
        <v>14.754</v>
      </c>
      <c r="BH68">
        <v>190046384</v>
      </c>
      <c r="BI68" s="43">
        <v>2.1219999999999999</v>
      </c>
      <c r="BP68" s="43"/>
      <c r="BW68" s="43"/>
    </row>
    <row r="69" spans="1:77" x14ac:dyDescent="0.2">
      <c r="A69" t="s">
        <v>233</v>
      </c>
      <c r="B69" t="s">
        <v>208</v>
      </c>
      <c r="C69">
        <v>15.728</v>
      </c>
      <c r="D69">
        <v>21893716</v>
      </c>
      <c r="E69" s="43">
        <v>0.24</v>
      </c>
      <c r="H69" t="s">
        <v>233</v>
      </c>
      <c r="I69" t="s">
        <v>208</v>
      </c>
      <c r="J69">
        <v>15.721</v>
      </c>
      <c r="K69">
        <v>26200307</v>
      </c>
      <c r="L69" s="43">
        <v>0.28899999999999998</v>
      </c>
      <c r="O69" t="s">
        <v>233</v>
      </c>
      <c r="P69" t="s">
        <v>208</v>
      </c>
      <c r="Q69">
        <v>15.722</v>
      </c>
      <c r="R69">
        <v>36418715</v>
      </c>
      <c r="S69" s="43">
        <v>0.40699999999999997</v>
      </c>
      <c r="V69" t="s">
        <v>233</v>
      </c>
      <c r="W69" t="s">
        <v>208</v>
      </c>
      <c r="X69">
        <v>15.718999999999999</v>
      </c>
      <c r="Y69">
        <v>39361003</v>
      </c>
      <c r="Z69" s="43">
        <v>0.44</v>
      </c>
      <c r="AC69" t="s">
        <v>233</v>
      </c>
      <c r="AD69" t="s">
        <v>208</v>
      </c>
      <c r="AE69">
        <v>15.701000000000001</v>
      </c>
      <c r="AF69">
        <v>54033038</v>
      </c>
      <c r="AG69" s="43">
        <v>0.60899999999999999</v>
      </c>
      <c r="AJ69" t="s">
        <v>233</v>
      </c>
      <c r="AK69" t="s">
        <v>208</v>
      </c>
      <c r="AL69">
        <v>15.693</v>
      </c>
      <c r="AM69">
        <v>39276538</v>
      </c>
      <c r="AN69" s="43">
        <v>0.439</v>
      </c>
      <c r="AQ69" t="s">
        <v>233</v>
      </c>
      <c r="AR69" t="s">
        <v>208</v>
      </c>
      <c r="AS69">
        <v>15.696</v>
      </c>
      <c r="AT69">
        <v>74876915</v>
      </c>
      <c r="AU69" s="43">
        <v>0.84799999999999998</v>
      </c>
      <c r="AX69" t="s">
        <v>233</v>
      </c>
      <c r="AY69" t="s">
        <v>208</v>
      </c>
      <c r="AZ69">
        <v>15.696</v>
      </c>
      <c r="BA69">
        <v>40710999</v>
      </c>
      <c r="BB69" s="43">
        <v>0.45600000000000002</v>
      </c>
      <c r="BE69" t="s">
        <v>233</v>
      </c>
      <c r="BF69" t="s">
        <v>208</v>
      </c>
      <c r="BG69">
        <v>15.69</v>
      </c>
      <c r="BH69">
        <v>52314249</v>
      </c>
      <c r="BI69" s="43">
        <v>0.58899999999999997</v>
      </c>
      <c r="BP69" s="43"/>
      <c r="BW69" s="43"/>
    </row>
    <row r="70" spans="1:77" x14ac:dyDescent="0.2">
      <c r="A70" t="s">
        <v>232</v>
      </c>
      <c r="B70" t="s">
        <v>207</v>
      </c>
      <c r="C70">
        <v>0</v>
      </c>
      <c r="D70">
        <v>0</v>
      </c>
      <c r="E70" s="43" t="s">
        <v>202</v>
      </c>
      <c r="H70" t="s">
        <v>232</v>
      </c>
      <c r="I70" t="s">
        <v>207</v>
      </c>
      <c r="J70">
        <v>0</v>
      </c>
      <c r="K70">
        <v>0</v>
      </c>
      <c r="L70" s="43" t="s">
        <v>202</v>
      </c>
      <c r="O70" t="s">
        <v>232</v>
      </c>
      <c r="P70" t="s">
        <v>207</v>
      </c>
      <c r="Q70">
        <v>0</v>
      </c>
      <c r="R70">
        <v>0</v>
      </c>
      <c r="S70" s="43" t="s">
        <v>202</v>
      </c>
      <c r="V70" t="s">
        <v>232</v>
      </c>
      <c r="W70" t="s">
        <v>207</v>
      </c>
      <c r="X70">
        <v>0</v>
      </c>
      <c r="Y70">
        <v>0</v>
      </c>
      <c r="Z70" s="43" t="s">
        <v>202</v>
      </c>
      <c r="AC70" t="s">
        <v>232</v>
      </c>
      <c r="AD70" t="s">
        <v>207</v>
      </c>
      <c r="AE70">
        <v>0</v>
      </c>
      <c r="AF70">
        <v>0</v>
      </c>
      <c r="AG70" s="43" t="s">
        <v>202</v>
      </c>
      <c r="AJ70" t="s">
        <v>232</v>
      </c>
      <c r="AK70" t="s">
        <v>207</v>
      </c>
      <c r="AL70">
        <v>0</v>
      </c>
      <c r="AM70">
        <v>0</v>
      </c>
      <c r="AN70" s="43" t="s">
        <v>202</v>
      </c>
      <c r="AQ70" t="s">
        <v>232</v>
      </c>
      <c r="AR70" t="s">
        <v>207</v>
      </c>
      <c r="AS70">
        <v>0</v>
      </c>
      <c r="AT70">
        <v>0</v>
      </c>
      <c r="AU70" s="43" t="s">
        <v>202</v>
      </c>
      <c r="AX70" t="s">
        <v>232</v>
      </c>
      <c r="AY70" t="s">
        <v>207</v>
      </c>
      <c r="AZ70">
        <v>0</v>
      </c>
      <c r="BA70">
        <v>0</v>
      </c>
      <c r="BB70" s="43" t="s">
        <v>202</v>
      </c>
      <c r="BE70" t="s">
        <v>232</v>
      </c>
      <c r="BF70" t="s">
        <v>207</v>
      </c>
      <c r="BG70">
        <v>0</v>
      </c>
      <c r="BH70">
        <v>0</v>
      </c>
      <c r="BI70" s="43" t="s">
        <v>202</v>
      </c>
      <c r="BP70" s="43"/>
      <c r="BW70" s="43"/>
    </row>
    <row r="71" spans="1:77" x14ac:dyDescent="0.2">
      <c r="A71" t="s">
        <v>230</v>
      </c>
      <c r="B71" t="s">
        <v>206</v>
      </c>
      <c r="C71">
        <v>29.010999999999999</v>
      </c>
      <c r="D71">
        <v>1812705</v>
      </c>
      <c r="E71" s="43">
        <v>0.02</v>
      </c>
      <c r="F71" t="s">
        <v>331</v>
      </c>
      <c r="H71" t="s">
        <v>230</v>
      </c>
      <c r="I71" t="s">
        <v>206</v>
      </c>
      <c r="J71">
        <v>29.012</v>
      </c>
      <c r="K71">
        <v>2393037</v>
      </c>
      <c r="L71" s="43">
        <v>2.5999999999999999E-2</v>
      </c>
      <c r="M71" t="s">
        <v>331</v>
      </c>
      <c r="O71" t="s">
        <v>230</v>
      </c>
      <c r="P71" t="s">
        <v>206</v>
      </c>
      <c r="Q71">
        <v>29.013999999999999</v>
      </c>
      <c r="R71">
        <v>1408539</v>
      </c>
      <c r="S71" s="43">
        <v>1.4999999999999999E-2</v>
      </c>
      <c r="T71" t="s">
        <v>331</v>
      </c>
      <c r="V71" t="s">
        <v>230</v>
      </c>
      <c r="W71" t="s">
        <v>206</v>
      </c>
      <c r="X71">
        <v>29.016999999999999</v>
      </c>
      <c r="Y71">
        <v>1353264</v>
      </c>
      <c r="Z71" s="43">
        <v>1.4999999999999999E-2</v>
      </c>
      <c r="AA71" t="s">
        <v>331</v>
      </c>
      <c r="AC71" t="s">
        <v>230</v>
      </c>
      <c r="AD71" t="s">
        <v>206</v>
      </c>
      <c r="AE71">
        <v>29.001000000000001</v>
      </c>
      <c r="AF71">
        <v>5931104</v>
      </c>
      <c r="AG71" s="43">
        <v>6.6000000000000003E-2</v>
      </c>
      <c r="AH71" t="s">
        <v>331</v>
      </c>
      <c r="AJ71" t="s">
        <v>230</v>
      </c>
      <c r="AK71" t="s">
        <v>206</v>
      </c>
      <c r="AL71">
        <v>28.997</v>
      </c>
      <c r="AM71">
        <v>4972132</v>
      </c>
      <c r="AN71" s="43">
        <v>5.5E-2</v>
      </c>
      <c r="AO71" t="s">
        <v>331</v>
      </c>
      <c r="AQ71" t="s">
        <v>230</v>
      </c>
      <c r="AR71" t="s">
        <v>206</v>
      </c>
      <c r="AS71">
        <v>28.995999999999999</v>
      </c>
      <c r="AT71">
        <v>9143318</v>
      </c>
      <c r="AU71" s="43">
        <v>0.10199999999999999</v>
      </c>
      <c r="AX71" t="s">
        <v>230</v>
      </c>
      <c r="AY71" t="s">
        <v>206</v>
      </c>
      <c r="AZ71">
        <v>29.007999999999999</v>
      </c>
      <c r="BA71">
        <v>5429484</v>
      </c>
      <c r="BB71" s="43" t="s">
        <v>330</v>
      </c>
      <c r="BE71" t="s">
        <v>230</v>
      </c>
      <c r="BF71" t="s">
        <v>206</v>
      </c>
      <c r="BG71">
        <v>29.001999999999999</v>
      </c>
      <c r="BH71">
        <v>7716146</v>
      </c>
      <c r="BI71" s="43">
        <v>8.5999999999999993E-2</v>
      </c>
      <c r="BP71" s="43"/>
      <c r="BW71" s="43"/>
    </row>
    <row r="72" spans="1:77" x14ac:dyDescent="0.2">
      <c r="A72" t="s">
        <v>228</v>
      </c>
      <c r="H72" t="s">
        <v>228</v>
      </c>
      <c r="O72" t="s">
        <v>228</v>
      </c>
      <c r="V72" t="s">
        <v>228</v>
      </c>
      <c r="AC72" t="s">
        <v>228</v>
      </c>
      <c r="AJ72" t="s">
        <v>228</v>
      </c>
      <c r="AQ72" t="s">
        <v>228</v>
      </c>
      <c r="AX72" t="s">
        <v>228</v>
      </c>
      <c r="BE72" t="s">
        <v>228</v>
      </c>
    </row>
    <row r="74" spans="1:77" x14ac:dyDescent="0.2">
      <c r="A74" t="s">
        <v>227</v>
      </c>
      <c r="H74" t="s">
        <v>227</v>
      </c>
      <c r="O74" t="s">
        <v>227</v>
      </c>
      <c r="V74" t="s">
        <v>227</v>
      </c>
      <c r="AC74" t="s">
        <v>227</v>
      </c>
      <c r="AJ74" t="s">
        <v>227</v>
      </c>
      <c r="AQ74" t="s">
        <v>227</v>
      </c>
      <c r="AX74" t="s">
        <v>227</v>
      </c>
      <c r="BE74" t="s">
        <v>227</v>
      </c>
    </row>
    <row r="76" spans="1:77" x14ac:dyDescent="0.2">
      <c r="A76" t="s">
        <v>329</v>
      </c>
      <c r="O76" t="s">
        <v>328</v>
      </c>
      <c r="V76" t="s">
        <v>327</v>
      </c>
      <c r="AC76" t="s">
        <v>326</v>
      </c>
      <c r="AJ76" t="s">
        <v>325</v>
      </c>
      <c r="AQ76" t="s">
        <v>324</v>
      </c>
      <c r="AX76" t="s">
        <v>323</v>
      </c>
      <c r="BE76" t="s">
        <v>322</v>
      </c>
    </row>
    <row r="78" spans="1:77" x14ac:dyDescent="0.2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</row>
    <row r="80" spans="1:77" x14ac:dyDescent="0.2">
      <c r="A80" t="s">
        <v>314</v>
      </c>
      <c r="H80" t="s">
        <v>315</v>
      </c>
      <c r="O80" t="s">
        <v>321</v>
      </c>
      <c r="V80" t="s">
        <v>320</v>
      </c>
      <c r="AC80" t="s">
        <v>319</v>
      </c>
      <c r="AJ80" t="s">
        <v>318</v>
      </c>
      <c r="AQ80" t="s">
        <v>317</v>
      </c>
      <c r="AX80" t="s">
        <v>316</v>
      </c>
      <c r="BE80" t="s">
        <v>314</v>
      </c>
      <c r="BL80" t="s">
        <v>315</v>
      </c>
      <c r="BS80" t="s">
        <v>314</v>
      </c>
    </row>
    <row r="82" spans="1:77" x14ac:dyDescent="0.2">
      <c r="A82" t="s">
        <v>313</v>
      </c>
      <c r="H82" t="s">
        <v>313</v>
      </c>
      <c r="O82" t="s">
        <v>313</v>
      </c>
      <c r="V82" t="s">
        <v>313</v>
      </c>
      <c r="AC82" t="s">
        <v>313</v>
      </c>
      <c r="AJ82" t="s">
        <v>313</v>
      </c>
      <c r="AQ82" t="s">
        <v>313</v>
      </c>
      <c r="AX82" t="s">
        <v>313</v>
      </c>
      <c r="BE82" t="s">
        <v>313</v>
      </c>
      <c r="BL82" t="s">
        <v>313</v>
      </c>
      <c r="BS82" t="s">
        <v>313</v>
      </c>
    </row>
    <row r="83" spans="1:77" x14ac:dyDescent="0.2">
      <c r="A83" t="s">
        <v>312</v>
      </c>
      <c r="H83" t="s">
        <v>311</v>
      </c>
      <c r="O83" t="s">
        <v>310</v>
      </c>
      <c r="V83" t="s">
        <v>309</v>
      </c>
      <c r="AC83" t="s">
        <v>308</v>
      </c>
      <c r="AJ83" t="s">
        <v>307</v>
      </c>
      <c r="AQ83" t="s">
        <v>306</v>
      </c>
      <c r="AX83" t="s">
        <v>305</v>
      </c>
      <c r="BE83" t="s">
        <v>304</v>
      </c>
      <c r="BL83" t="s">
        <v>303</v>
      </c>
      <c r="BS83" t="s">
        <v>302</v>
      </c>
    </row>
    <row r="84" spans="1:77" x14ac:dyDescent="0.2">
      <c r="A84" t="s">
        <v>301</v>
      </c>
      <c r="H84" t="s">
        <v>301</v>
      </c>
      <c r="O84" t="s">
        <v>301</v>
      </c>
      <c r="V84" t="s">
        <v>301</v>
      </c>
      <c r="AC84" t="s">
        <v>301</v>
      </c>
      <c r="AJ84" t="s">
        <v>301</v>
      </c>
      <c r="AQ84" t="s">
        <v>301</v>
      </c>
      <c r="AX84" t="s">
        <v>301</v>
      </c>
      <c r="BE84" t="s">
        <v>301</v>
      </c>
      <c r="BL84" t="s">
        <v>301</v>
      </c>
      <c r="BS84" t="s">
        <v>301</v>
      </c>
    </row>
    <row r="85" spans="1:77" x14ac:dyDescent="0.2">
      <c r="A85" t="s">
        <v>300</v>
      </c>
      <c r="H85" t="s">
        <v>299</v>
      </c>
      <c r="O85" t="s">
        <v>298</v>
      </c>
      <c r="V85" t="s">
        <v>297</v>
      </c>
      <c r="AC85" t="s">
        <v>296</v>
      </c>
      <c r="AJ85" t="s">
        <v>295</v>
      </c>
      <c r="AQ85" t="s">
        <v>294</v>
      </c>
      <c r="AX85" t="s">
        <v>293</v>
      </c>
      <c r="BE85" t="s">
        <v>292</v>
      </c>
      <c r="BL85" t="s">
        <v>291</v>
      </c>
      <c r="BS85" t="s">
        <v>290</v>
      </c>
    </row>
    <row r="86" spans="1:77" x14ac:dyDescent="0.2">
      <c r="A86" t="s">
        <v>289</v>
      </c>
      <c r="H86" t="s">
        <v>289</v>
      </c>
      <c r="O86" t="s">
        <v>289</v>
      </c>
      <c r="V86" t="s">
        <v>289</v>
      </c>
      <c r="AC86" t="s">
        <v>289</v>
      </c>
      <c r="AJ86" t="s">
        <v>289</v>
      </c>
      <c r="AQ86" t="s">
        <v>289</v>
      </c>
      <c r="AX86" t="s">
        <v>289</v>
      </c>
      <c r="BE86" t="s">
        <v>289</v>
      </c>
      <c r="BL86" t="s">
        <v>289</v>
      </c>
      <c r="BS86" t="s">
        <v>289</v>
      </c>
    </row>
    <row r="87" spans="1:77" ht="29" x14ac:dyDescent="0.35">
      <c r="A87" s="44" t="s">
        <v>288</v>
      </c>
      <c r="B87" s="44"/>
      <c r="C87" s="44"/>
      <c r="D87" s="44"/>
      <c r="E87" s="44"/>
      <c r="F87" s="44"/>
      <c r="G87" s="44"/>
      <c r="H87" s="44" t="s">
        <v>287</v>
      </c>
      <c r="I87" s="44"/>
      <c r="J87" s="44"/>
      <c r="K87" s="44"/>
      <c r="L87" s="44"/>
      <c r="M87" s="44"/>
      <c r="N87" s="44"/>
      <c r="O87" s="44" t="s">
        <v>286</v>
      </c>
      <c r="P87" s="44"/>
      <c r="Q87" s="44"/>
      <c r="R87" s="44"/>
      <c r="S87" s="44"/>
      <c r="T87" s="44"/>
      <c r="U87" s="44"/>
      <c r="V87" s="44" t="s">
        <v>285</v>
      </c>
      <c r="W87" s="44"/>
      <c r="X87" s="44"/>
      <c r="Y87" s="44"/>
      <c r="Z87" s="44"/>
      <c r="AA87" s="44"/>
      <c r="AB87" s="44"/>
      <c r="AC87" s="44" t="s">
        <v>284</v>
      </c>
      <c r="AD87" s="44"/>
      <c r="AE87" s="44"/>
      <c r="AF87" s="44"/>
      <c r="AG87" s="44"/>
      <c r="AH87" s="44"/>
      <c r="AI87" s="44"/>
      <c r="AJ87" s="44" t="s">
        <v>283</v>
      </c>
      <c r="AK87" s="44"/>
      <c r="AL87" s="44"/>
      <c r="AM87" s="44"/>
      <c r="AN87" s="44"/>
      <c r="AO87" s="44"/>
      <c r="AP87" s="44"/>
      <c r="AQ87" s="44" t="s">
        <v>282</v>
      </c>
      <c r="AR87" s="44"/>
      <c r="AS87" s="44"/>
      <c r="AT87" s="44"/>
      <c r="AU87" s="44"/>
      <c r="AV87" s="44"/>
      <c r="AW87" s="44"/>
      <c r="AX87" s="44" t="s">
        <v>281</v>
      </c>
      <c r="AY87" s="44"/>
      <c r="AZ87" s="44"/>
      <c r="BA87" s="44"/>
      <c r="BB87" s="44"/>
      <c r="BC87" s="44"/>
      <c r="BD87" s="44"/>
      <c r="BE87" s="44" t="s">
        <v>280</v>
      </c>
      <c r="BF87" s="44"/>
      <c r="BG87" s="44"/>
      <c r="BH87" s="44"/>
      <c r="BI87" s="44"/>
      <c r="BJ87" s="44"/>
      <c r="BK87" s="44"/>
      <c r="BL87" s="44" t="s">
        <v>279</v>
      </c>
      <c r="BM87" s="44"/>
      <c r="BN87" s="44"/>
      <c r="BO87" s="44"/>
      <c r="BP87" s="44"/>
      <c r="BQ87" s="44"/>
      <c r="BR87" s="44"/>
      <c r="BS87" s="44" t="s">
        <v>278</v>
      </c>
      <c r="BT87" s="44"/>
      <c r="BU87" s="44"/>
      <c r="BV87" s="44"/>
      <c r="BW87" s="44"/>
      <c r="BX87" s="44"/>
      <c r="BY87" s="44"/>
    </row>
    <row r="88" spans="1:77" x14ac:dyDescent="0.2">
      <c r="A88" t="s">
        <v>277</v>
      </c>
      <c r="H88" t="s">
        <v>277</v>
      </c>
      <c r="O88" t="s">
        <v>277</v>
      </c>
      <c r="V88" t="s">
        <v>277</v>
      </c>
      <c r="AC88" t="s">
        <v>277</v>
      </c>
      <c r="AJ88" t="s">
        <v>277</v>
      </c>
      <c r="AQ88" t="s">
        <v>277</v>
      </c>
      <c r="AX88" t="s">
        <v>277</v>
      </c>
      <c r="BE88" t="s">
        <v>277</v>
      </c>
      <c r="BL88" t="s">
        <v>277</v>
      </c>
      <c r="BS88" t="s">
        <v>277</v>
      </c>
    </row>
    <row r="89" spans="1:77" x14ac:dyDescent="0.2">
      <c r="A89" t="s">
        <v>276</v>
      </c>
      <c r="H89" t="s">
        <v>275</v>
      </c>
      <c r="O89" t="s">
        <v>274</v>
      </c>
      <c r="V89" t="s">
        <v>273</v>
      </c>
      <c r="AC89" t="s">
        <v>272</v>
      </c>
      <c r="AJ89" t="s">
        <v>271</v>
      </c>
      <c r="AQ89" t="s">
        <v>270</v>
      </c>
      <c r="AX89" t="s">
        <v>269</v>
      </c>
      <c r="BE89" t="s">
        <v>268</v>
      </c>
      <c r="BL89" t="s">
        <v>267</v>
      </c>
      <c r="BS89" t="s">
        <v>266</v>
      </c>
    </row>
    <row r="91" spans="1:77" x14ac:dyDescent="0.2">
      <c r="A91" t="s">
        <v>265</v>
      </c>
      <c r="H91" t="s">
        <v>265</v>
      </c>
      <c r="O91" t="s">
        <v>265</v>
      </c>
      <c r="V91" t="s">
        <v>265</v>
      </c>
      <c r="AC91" t="s">
        <v>265</v>
      </c>
      <c r="AJ91" t="s">
        <v>265</v>
      </c>
      <c r="AQ91" t="s">
        <v>265</v>
      </c>
      <c r="AX91" t="s">
        <v>265</v>
      </c>
      <c r="BE91" t="s">
        <v>265</v>
      </c>
      <c r="BL91" t="s">
        <v>265</v>
      </c>
      <c r="BS91" t="s">
        <v>265</v>
      </c>
    </row>
    <row r="92" spans="1:77" x14ac:dyDescent="0.2">
      <c r="A92" t="s">
        <v>264</v>
      </c>
      <c r="H92" t="s">
        <v>263</v>
      </c>
      <c r="O92" t="s">
        <v>262</v>
      </c>
      <c r="V92" t="s">
        <v>261</v>
      </c>
      <c r="AC92" t="s">
        <v>260</v>
      </c>
      <c r="AJ92" t="s">
        <v>259</v>
      </c>
      <c r="AQ92" t="s">
        <v>258</v>
      </c>
      <c r="AX92" t="s">
        <v>257</v>
      </c>
      <c r="BE92" t="s">
        <v>256</v>
      </c>
      <c r="BL92" t="s">
        <v>255</v>
      </c>
      <c r="BS92" t="s">
        <v>254</v>
      </c>
    </row>
    <row r="93" spans="1:77" x14ac:dyDescent="0.2">
      <c r="A93" t="s">
        <v>253</v>
      </c>
      <c r="H93" t="s">
        <v>253</v>
      </c>
      <c r="O93" t="s">
        <v>253</v>
      </c>
      <c r="V93" t="s">
        <v>253</v>
      </c>
      <c r="AC93" t="s">
        <v>253</v>
      </c>
      <c r="AJ93" t="s">
        <v>253</v>
      </c>
      <c r="AQ93" t="s">
        <v>253</v>
      </c>
      <c r="AX93" t="s">
        <v>253</v>
      </c>
      <c r="BE93" t="s">
        <v>253</v>
      </c>
      <c r="BL93" t="s">
        <v>253</v>
      </c>
      <c r="BS93" t="s">
        <v>253</v>
      </c>
    </row>
    <row r="94" spans="1:77" x14ac:dyDescent="0.2">
      <c r="A94" t="s">
        <v>252</v>
      </c>
      <c r="H94" t="s">
        <v>252</v>
      </c>
      <c r="O94" t="s">
        <v>252</v>
      </c>
      <c r="V94" t="s">
        <v>252</v>
      </c>
      <c r="AC94" t="s">
        <v>252</v>
      </c>
      <c r="AJ94" t="s">
        <v>252</v>
      </c>
      <c r="AQ94" t="s">
        <v>252</v>
      </c>
      <c r="AX94" t="s">
        <v>252</v>
      </c>
      <c r="BE94" t="s">
        <v>252</v>
      </c>
      <c r="BL94" t="s">
        <v>252</v>
      </c>
      <c r="BS94" t="s">
        <v>252</v>
      </c>
    </row>
    <row r="95" spans="1:77" x14ac:dyDescent="0.2">
      <c r="A95" t="s">
        <v>251</v>
      </c>
      <c r="H95" t="s">
        <v>251</v>
      </c>
      <c r="O95" t="s">
        <v>251</v>
      </c>
      <c r="V95" t="s">
        <v>251</v>
      </c>
      <c r="AC95" t="s">
        <v>251</v>
      </c>
      <c r="AJ95" t="s">
        <v>251</v>
      </c>
      <c r="AQ95" t="s">
        <v>251</v>
      </c>
      <c r="AX95" t="s">
        <v>251</v>
      </c>
      <c r="BE95" t="s">
        <v>251</v>
      </c>
      <c r="BL95" t="s">
        <v>251</v>
      </c>
      <c r="BS95" t="s">
        <v>251</v>
      </c>
    </row>
    <row r="96" spans="1:77" x14ac:dyDescent="0.2">
      <c r="A96" t="s">
        <v>250</v>
      </c>
      <c r="H96" t="s">
        <v>250</v>
      </c>
      <c r="O96" t="s">
        <v>250</v>
      </c>
      <c r="V96" t="s">
        <v>250</v>
      </c>
      <c r="AC96" t="s">
        <v>250</v>
      </c>
      <c r="AJ96" t="s">
        <v>250</v>
      </c>
      <c r="AQ96" t="s">
        <v>250</v>
      </c>
      <c r="AX96" t="s">
        <v>250</v>
      </c>
      <c r="BE96" t="s">
        <v>250</v>
      </c>
      <c r="BL96" t="s">
        <v>250</v>
      </c>
      <c r="BS96" t="s">
        <v>250</v>
      </c>
    </row>
    <row r="97" spans="1:75" x14ac:dyDescent="0.2">
      <c r="A97" t="s">
        <v>249</v>
      </c>
      <c r="H97" t="s">
        <v>249</v>
      </c>
      <c r="O97" t="s">
        <v>249</v>
      </c>
      <c r="V97" t="s">
        <v>249</v>
      </c>
      <c r="AC97" t="s">
        <v>249</v>
      </c>
      <c r="AJ97" t="s">
        <v>249</v>
      </c>
      <c r="AQ97" t="s">
        <v>249</v>
      </c>
      <c r="AX97" t="s">
        <v>249</v>
      </c>
      <c r="BE97" t="s">
        <v>249</v>
      </c>
      <c r="BL97" t="s">
        <v>249</v>
      </c>
      <c r="BS97" t="s">
        <v>249</v>
      </c>
    </row>
    <row r="99" spans="1:75" x14ac:dyDescent="0.2">
      <c r="A99" t="s">
        <v>248</v>
      </c>
      <c r="H99" t="s">
        <v>248</v>
      </c>
      <c r="O99" t="s">
        <v>248</v>
      </c>
      <c r="V99" t="s">
        <v>248</v>
      </c>
      <c r="AC99" t="s">
        <v>248</v>
      </c>
      <c r="AJ99" t="s">
        <v>248</v>
      </c>
      <c r="AQ99" t="s">
        <v>248</v>
      </c>
      <c r="AX99" t="s">
        <v>248</v>
      </c>
      <c r="BE99" t="s">
        <v>248</v>
      </c>
      <c r="BL99" t="s">
        <v>248</v>
      </c>
      <c r="BS99" t="s">
        <v>248</v>
      </c>
    </row>
    <row r="100" spans="1:75" x14ac:dyDescent="0.2">
      <c r="A100" t="s">
        <v>247</v>
      </c>
      <c r="H100" t="s">
        <v>247</v>
      </c>
      <c r="O100" t="s">
        <v>247</v>
      </c>
      <c r="V100" t="s">
        <v>247</v>
      </c>
      <c r="AC100" t="s">
        <v>247</v>
      </c>
      <c r="AJ100" t="s">
        <v>247</v>
      </c>
      <c r="AQ100" t="s">
        <v>247</v>
      </c>
      <c r="AX100" t="s">
        <v>247</v>
      </c>
      <c r="BE100" t="s">
        <v>247</v>
      </c>
      <c r="BL100" t="s">
        <v>247</v>
      </c>
      <c r="BS100" t="s">
        <v>247</v>
      </c>
    </row>
    <row r="101" spans="1:75" x14ac:dyDescent="0.2">
      <c r="A101" t="s">
        <v>246</v>
      </c>
      <c r="H101" t="s">
        <v>246</v>
      </c>
      <c r="O101" t="s">
        <v>246</v>
      </c>
      <c r="V101" t="s">
        <v>246</v>
      </c>
      <c r="AC101" t="s">
        <v>246</v>
      </c>
      <c r="AJ101" t="s">
        <v>246</v>
      </c>
      <c r="AQ101" t="s">
        <v>246</v>
      </c>
      <c r="AX101" t="s">
        <v>246</v>
      </c>
      <c r="BE101" t="s">
        <v>246</v>
      </c>
      <c r="BL101" t="s">
        <v>246</v>
      </c>
      <c r="BS101" t="s">
        <v>246</v>
      </c>
    </row>
    <row r="103" spans="1:75" x14ac:dyDescent="0.2">
      <c r="A103" t="s">
        <v>245</v>
      </c>
      <c r="H103" t="s">
        <v>245</v>
      </c>
      <c r="O103" t="s">
        <v>245</v>
      </c>
      <c r="V103" t="s">
        <v>245</v>
      </c>
      <c r="AC103" t="s">
        <v>245</v>
      </c>
      <c r="AJ103" t="s">
        <v>245</v>
      </c>
      <c r="AQ103" t="s">
        <v>245</v>
      </c>
      <c r="AX103" t="s">
        <v>245</v>
      </c>
      <c r="BE103" t="s">
        <v>245</v>
      </c>
      <c r="BL103" t="s">
        <v>245</v>
      </c>
      <c r="BS103" t="s">
        <v>245</v>
      </c>
    </row>
    <row r="104" spans="1:75" x14ac:dyDescent="0.2">
      <c r="A104" t="s">
        <v>228</v>
      </c>
      <c r="H104" t="s">
        <v>228</v>
      </c>
      <c r="O104" t="s">
        <v>228</v>
      </c>
      <c r="V104" t="s">
        <v>228</v>
      </c>
      <c r="AC104" t="s">
        <v>228</v>
      </c>
      <c r="AJ104" t="s">
        <v>228</v>
      </c>
      <c r="AQ104" t="s">
        <v>228</v>
      </c>
      <c r="AX104" t="s">
        <v>228</v>
      </c>
      <c r="BE104" t="s">
        <v>228</v>
      </c>
      <c r="BL104" t="s">
        <v>228</v>
      </c>
      <c r="BS104" t="s">
        <v>228</v>
      </c>
    </row>
    <row r="106" spans="1:75" x14ac:dyDescent="0.2">
      <c r="A106" t="s">
        <v>244</v>
      </c>
      <c r="E106" s="42" t="s">
        <v>203</v>
      </c>
      <c r="H106" t="s">
        <v>244</v>
      </c>
      <c r="L106" s="42" t="s">
        <v>203</v>
      </c>
      <c r="O106" t="s">
        <v>244</v>
      </c>
      <c r="S106" s="42" t="s">
        <v>203</v>
      </c>
      <c r="V106" t="s">
        <v>244</v>
      </c>
      <c r="Z106" s="42" t="s">
        <v>203</v>
      </c>
      <c r="AC106" t="s">
        <v>244</v>
      </c>
      <c r="AG106" s="42" t="s">
        <v>203</v>
      </c>
      <c r="AJ106" t="s">
        <v>244</v>
      </c>
      <c r="AN106" s="42" t="s">
        <v>203</v>
      </c>
      <c r="AQ106" t="s">
        <v>244</v>
      </c>
      <c r="AU106" s="42" t="s">
        <v>203</v>
      </c>
      <c r="AX106" t="s">
        <v>244</v>
      </c>
      <c r="BB106" s="42" t="s">
        <v>203</v>
      </c>
      <c r="BE106" t="s">
        <v>244</v>
      </c>
      <c r="BI106" s="42" t="s">
        <v>203</v>
      </c>
      <c r="BL106" t="s">
        <v>244</v>
      </c>
      <c r="BP106" s="42" t="s">
        <v>203</v>
      </c>
      <c r="BS106" t="s">
        <v>244</v>
      </c>
      <c r="BW106" s="42" t="s">
        <v>203</v>
      </c>
    </row>
    <row r="107" spans="1:75" x14ac:dyDescent="0.2">
      <c r="A107" t="s">
        <v>243</v>
      </c>
      <c r="B107" t="s">
        <v>214</v>
      </c>
      <c r="C107">
        <v>7.9489999999999998</v>
      </c>
      <c r="D107">
        <v>79383650</v>
      </c>
      <c r="E107" s="43">
        <v>0.92100000000000004</v>
      </c>
      <c r="H107" t="s">
        <v>243</v>
      </c>
      <c r="I107" t="s">
        <v>214</v>
      </c>
      <c r="J107">
        <v>7.9480000000000004</v>
      </c>
      <c r="K107">
        <v>76540967</v>
      </c>
      <c r="L107" s="43">
        <v>0.88700000000000001</v>
      </c>
      <c r="O107" t="s">
        <v>243</v>
      </c>
      <c r="P107" t="s">
        <v>214</v>
      </c>
      <c r="Q107">
        <v>7.9480000000000004</v>
      </c>
      <c r="R107">
        <v>83418786</v>
      </c>
      <c r="S107" s="43">
        <v>0.96899999999999997</v>
      </c>
      <c r="V107" t="s">
        <v>243</v>
      </c>
      <c r="W107" t="s">
        <v>214</v>
      </c>
      <c r="X107">
        <v>7.9459999999999997</v>
      </c>
      <c r="Y107">
        <v>84130792</v>
      </c>
      <c r="Z107" s="43">
        <v>0.97699999999999998</v>
      </c>
      <c r="AC107" t="s">
        <v>243</v>
      </c>
      <c r="AD107" t="s">
        <v>214</v>
      </c>
      <c r="AE107">
        <v>7.9459999999999997</v>
      </c>
      <c r="AF107">
        <v>83247768</v>
      </c>
      <c r="AG107" s="43">
        <v>0.96699999999999997</v>
      </c>
      <c r="AJ107" t="s">
        <v>243</v>
      </c>
      <c r="AK107" t="s">
        <v>214</v>
      </c>
      <c r="AL107">
        <v>7.9450000000000003</v>
      </c>
      <c r="AM107">
        <v>78699446</v>
      </c>
      <c r="AN107" s="43">
        <v>0.91300000000000003</v>
      </c>
      <c r="AQ107" t="s">
        <v>243</v>
      </c>
      <c r="AR107" t="s">
        <v>214</v>
      </c>
      <c r="AS107">
        <v>7.944</v>
      </c>
      <c r="AT107">
        <v>81413916</v>
      </c>
      <c r="AU107" s="43">
        <v>0.94499999999999995</v>
      </c>
      <c r="AX107" t="s">
        <v>243</v>
      </c>
      <c r="AY107" t="s">
        <v>214</v>
      </c>
      <c r="AZ107">
        <v>7.944</v>
      </c>
      <c r="BA107">
        <v>78910929</v>
      </c>
      <c r="BB107" s="43">
        <v>0.91500000000000004</v>
      </c>
      <c r="BE107" t="s">
        <v>243</v>
      </c>
      <c r="BF107" t="s">
        <v>214</v>
      </c>
      <c r="BG107">
        <v>7.944</v>
      </c>
      <c r="BH107">
        <v>84922529</v>
      </c>
      <c r="BI107" s="43">
        <v>0.98699999999999999</v>
      </c>
      <c r="BL107" t="s">
        <v>243</v>
      </c>
      <c r="BM107" t="s">
        <v>214</v>
      </c>
      <c r="BN107">
        <v>7.9429999999999996</v>
      </c>
      <c r="BO107">
        <v>76133158</v>
      </c>
      <c r="BP107" s="43">
        <v>0.88200000000000001</v>
      </c>
      <c r="BS107" t="s">
        <v>243</v>
      </c>
      <c r="BT107" t="s">
        <v>214</v>
      </c>
      <c r="BU107">
        <v>7.9420000000000002</v>
      </c>
      <c r="BV107">
        <v>80491256</v>
      </c>
      <c r="BW107" s="42">
        <v>0.93400000000000005</v>
      </c>
    </row>
    <row r="108" spans="1:75" x14ac:dyDescent="0.2">
      <c r="A108" t="s">
        <v>242</v>
      </c>
      <c r="B108" t="s">
        <v>213</v>
      </c>
      <c r="C108">
        <v>0</v>
      </c>
      <c r="D108">
        <v>0</v>
      </c>
      <c r="E108" s="43" t="s">
        <v>202</v>
      </c>
      <c r="H108" t="s">
        <v>242</v>
      </c>
      <c r="I108" t="s">
        <v>213</v>
      </c>
      <c r="J108">
        <v>0</v>
      </c>
      <c r="K108">
        <v>0</v>
      </c>
      <c r="L108" s="43" t="s">
        <v>202</v>
      </c>
      <c r="O108" t="s">
        <v>242</v>
      </c>
      <c r="P108" t="s">
        <v>213</v>
      </c>
      <c r="Q108">
        <v>0</v>
      </c>
      <c r="R108">
        <v>0</v>
      </c>
      <c r="S108" s="43" t="s">
        <v>202</v>
      </c>
      <c r="V108" t="s">
        <v>242</v>
      </c>
      <c r="W108" t="s">
        <v>213</v>
      </c>
      <c r="X108">
        <v>0</v>
      </c>
      <c r="Y108">
        <v>0</v>
      </c>
      <c r="Z108" s="43" t="s">
        <v>202</v>
      </c>
      <c r="AC108" t="s">
        <v>242</v>
      </c>
      <c r="AD108" t="s">
        <v>213</v>
      </c>
      <c r="AE108">
        <v>0</v>
      </c>
      <c r="AF108">
        <v>0</v>
      </c>
      <c r="AG108" s="43" t="s">
        <v>202</v>
      </c>
      <c r="AJ108" t="s">
        <v>242</v>
      </c>
      <c r="AK108" t="s">
        <v>213</v>
      </c>
      <c r="AL108">
        <v>0</v>
      </c>
      <c r="AM108">
        <v>0</v>
      </c>
      <c r="AN108" s="43" t="s">
        <v>202</v>
      </c>
      <c r="AQ108" t="s">
        <v>242</v>
      </c>
      <c r="AR108" t="s">
        <v>213</v>
      </c>
      <c r="AS108">
        <v>0</v>
      </c>
      <c r="AT108">
        <v>0</v>
      </c>
      <c r="AU108" s="43" t="s">
        <v>202</v>
      </c>
      <c r="AX108" t="s">
        <v>242</v>
      </c>
      <c r="AY108" t="s">
        <v>213</v>
      </c>
      <c r="AZ108">
        <v>0</v>
      </c>
      <c r="BA108">
        <v>0</v>
      </c>
      <c r="BB108" s="43" t="s">
        <v>202</v>
      </c>
      <c r="BE108" t="s">
        <v>242</v>
      </c>
      <c r="BF108" t="s">
        <v>213</v>
      </c>
      <c r="BG108">
        <v>0</v>
      </c>
      <c r="BH108">
        <v>0</v>
      </c>
      <c r="BI108" s="43" t="s">
        <v>202</v>
      </c>
      <c r="BL108" t="s">
        <v>242</v>
      </c>
      <c r="BM108" t="s">
        <v>213</v>
      </c>
      <c r="BN108">
        <v>0</v>
      </c>
      <c r="BO108">
        <v>0</v>
      </c>
      <c r="BP108" s="43" t="s">
        <v>202</v>
      </c>
      <c r="BS108" t="s">
        <v>242</v>
      </c>
      <c r="BT108" t="s">
        <v>213</v>
      </c>
      <c r="BU108">
        <v>0</v>
      </c>
      <c r="BV108">
        <v>0</v>
      </c>
      <c r="BW108" s="42" t="s">
        <v>202</v>
      </c>
    </row>
    <row r="109" spans="1:75" x14ac:dyDescent="0.2">
      <c r="A109" t="s">
        <v>241</v>
      </c>
      <c r="B109" t="s">
        <v>212</v>
      </c>
      <c r="C109">
        <v>11.156000000000001</v>
      </c>
      <c r="D109">
        <v>67935100</v>
      </c>
      <c r="E109" s="43">
        <v>0.77900000000000003</v>
      </c>
      <c r="H109" t="s">
        <v>241</v>
      </c>
      <c r="I109" t="s">
        <v>212</v>
      </c>
      <c r="J109">
        <v>11.154</v>
      </c>
      <c r="K109">
        <v>80488680</v>
      </c>
      <c r="L109" s="43">
        <v>0.92500000000000004</v>
      </c>
      <c r="O109" t="s">
        <v>241</v>
      </c>
      <c r="P109" t="s">
        <v>212</v>
      </c>
      <c r="Q109">
        <v>11.154</v>
      </c>
      <c r="R109">
        <v>80112269</v>
      </c>
      <c r="S109" s="43">
        <v>0.92</v>
      </c>
      <c r="V109" t="s">
        <v>241</v>
      </c>
      <c r="W109" t="s">
        <v>212</v>
      </c>
      <c r="X109">
        <v>11.154</v>
      </c>
      <c r="Y109">
        <v>97968701</v>
      </c>
      <c r="Z109" s="43">
        <v>1.1279999999999999</v>
      </c>
      <c r="AC109" t="s">
        <v>241</v>
      </c>
      <c r="AD109" t="s">
        <v>212</v>
      </c>
      <c r="AE109">
        <v>11.153</v>
      </c>
      <c r="AF109">
        <v>82273564</v>
      </c>
      <c r="AG109" s="43">
        <v>0.94499999999999995</v>
      </c>
      <c r="AJ109" t="s">
        <v>241</v>
      </c>
      <c r="AK109" t="s">
        <v>212</v>
      </c>
      <c r="AL109">
        <v>11.151999999999999</v>
      </c>
      <c r="AM109">
        <v>101040169</v>
      </c>
      <c r="AN109" s="43">
        <v>1.163</v>
      </c>
      <c r="AQ109" t="s">
        <v>241</v>
      </c>
      <c r="AR109" t="s">
        <v>212</v>
      </c>
      <c r="AS109">
        <v>11.15</v>
      </c>
      <c r="AT109">
        <v>78688468</v>
      </c>
      <c r="AU109" s="43">
        <v>0.90400000000000003</v>
      </c>
      <c r="AX109" t="s">
        <v>241</v>
      </c>
      <c r="AY109" t="s">
        <v>212</v>
      </c>
      <c r="AZ109">
        <v>11.148999999999999</v>
      </c>
      <c r="BA109">
        <v>92028632</v>
      </c>
      <c r="BB109" s="43">
        <v>1.0589999999999999</v>
      </c>
      <c r="BE109" t="s">
        <v>241</v>
      </c>
      <c r="BF109" t="s">
        <v>212</v>
      </c>
      <c r="BG109">
        <v>11.148999999999999</v>
      </c>
      <c r="BH109">
        <v>88815514</v>
      </c>
      <c r="BI109" s="43">
        <v>1.0209999999999999</v>
      </c>
      <c r="BL109" t="s">
        <v>241</v>
      </c>
      <c r="BM109" t="s">
        <v>212</v>
      </c>
      <c r="BN109">
        <v>11.147</v>
      </c>
      <c r="BO109">
        <v>68283697</v>
      </c>
      <c r="BP109" s="43">
        <v>0.78300000000000003</v>
      </c>
      <c r="BS109" t="s">
        <v>241</v>
      </c>
      <c r="BT109" t="s">
        <v>212</v>
      </c>
      <c r="BU109">
        <v>11.145</v>
      </c>
      <c r="BV109">
        <v>66513041</v>
      </c>
      <c r="BW109" s="42">
        <v>0.76200000000000001</v>
      </c>
    </row>
    <row r="110" spans="1:75" x14ac:dyDescent="0.2">
      <c r="A110" t="s">
        <v>240</v>
      </c>
      <c r="B110" t="s">
        <v>211</v>
      </c>
      <c r="C110">
        <v>11.554</v>
      </c>
      <c r="D110">
        <v>22805877</v>
      </c>
      <c r="E110" s="43">
        <v>0.25700000000000001</v>
      </c>
      <c r="H110" t="s">
        <v>240</v>
      </c>
      <c r="I110" t="s">
        <v>211</v>
      </c>
      <c r="J110">
        <v>11.552</v>
      </c>
      <c r="K110">
        <v>32757857</v>
      </c>
      <c r="L110" s="43">
        <v>0.37</v>
      </c>
      <c r="O110" t="s">
        <v>240</v>
      </c>
      <c r="P110" t="s">
        <v>211</v>
      </c>
      <c r="Q110">
        <v>11.55</v>
      </c>
      <c r="R110">
        <v>27878040</v>
      </c>
      <c r="S110" s="43">
        <v>0.315</v>
      </c>
      <c r="V110" t="s">
        <v>240</v>
      </c>
      <c r="W110" t="s">
        <v>211</v>
      </c>
      <c r="X110">
        <v>11.548999999999999</v>
      </c>
      <c r="Y110">
        <v>40560527</v>
      </c>
      <c r="Z110" s="43">
        <v>0.45900000000000002</v>
      </c>
      <c r="AC110" t="s">
        <v>240</v>
      </c>
      <c r="AD110" t="s">
        <v>211</v>
      </c>
      <c r="AE110">
        <v>11.548</v>
      </c>
      <c r="AF110">
        <v>29552056</v>
      </c>
      <c r="AG110" s="43">
        <v>0.33400000000000002</v>
      </c>
      <c r="AJ110" t="s">
        <v>240</v>
      </c>
      <c r="AK110" t="s">
        <v>211</v>
      </c>
      <c r="AL110">
        <v>11.547000000000001</v>
      </c>
      <c r="AM110">
        <v>42928141</v>
      </c>
      <c r="AN110" s="43">
        <v>0.48599999999999999</v>
      </c>
      <c r="AQ110" t="s">
        <v>240</v>
      </c>
      <c r="AR110" t="s">
        <v>211</v>
      </c>
      <c r="AS110">
        <v>11.545999999999999</v>
      </c>
      <c r="AT110">
        <v>28794553</v>
      </c>
      <c r="AU110" s="43">
        <v>0.32500000000000001</v>
      </c>
      <c r="AX110" t="s">
        <v>240</v>
      </c>
      <c r="AY110" t="s">
        <v>211</v>
      </c>
      <c r="AZ110">
        <v>11.545</v>
      </c>
      <c r="BA110">
        <v>40172881</v>
      </c>
      <c r="BB110" s="43">
        <v>0.45500000000000002</v>
      </c>
      <c r="BE110" t="s">
        <v>240</v>
      </c>
      <c r="BF110" t="s">
        <v>211</v>
      </c>
      <c r="BG110">
        <v>11.542999999999999</v>
      </c>
      <c r="BH110">
        <v>34047616</v>
      </c>
      <c r="BI110" s="43">
        <v>0.38500000000000001</v>
      </c>
      <c r="BL110" t="s">
        <v>240</v>
      </c>
      <c r="BM110" t="s">
        <v>211</v>
      </c>
      <c r="BN110">
        <v>11.545999999999999</v>
      </c>
      <c r="BO110">
        <v>28229609</v>
      </c>
      <c r="BP110" s="43">
        <v>0.31900000000000001</v>
      </c>
      <c r="BS110" t="s">
        <v>240</v>
      </c>
      <c r="BT110" t="s">
        <v>211</v>
      </c>
      <c r="BU110">
        <v>11.544</v>
      </c>
      <c r="BV110">
        <v>25717025</v>
      </c>
      <c r="BW110" s="42">
        <v>0.28999999999999998</v>
      </c>
    </row>
    <row r="111" spans="1:75" x14ac:dyDescent="0.2">
      <c r="A111" t="s">
        <v>239</v>
      </c>
      <c r="B111" t="s">
        <v>210</v>
      </c>
      <c r="C111">
        <v>14.254</v>
      </c>
      <c r="D111">
        <v>34031386</v>
      </c>
      <c r="E111" s="43">
        <v>0.38</v>
      </c>
      <c r="H111" t="s">
        <v>239</v>
      </c>
      <c r="I111" t="s">
        <v>210</v>
      </c>
      <c r="J111">
        <v>14.260999999999999</v>
      </c>
      <c r="K111">
        <v>42826779</v>
      </c>
      <c r="L111" s="43">
        <v>0.47899999999999998</v>
      </c>
      <c r="O111" t="s">
        <v>239</v>
      </c>
      <c r="P111" t="s">
        <v>210</v>
      </c>
      <c r="Q111">
        <v>14.257</v>
      </c>
      <c r="R111">
        <v>40219573</v>
      </c>
      <c r="S111" s="43">
        <v>0.45</v>
      </c>
      <c r="V111" t="s">
        <v>239</v>
      </c>
      <c r="W111" t="s">
        <v>210</v>
      </c>
      <c r="X111">
        <v>14.257</v>
      </c>
      <c r="Y111">
        <v>53976278</v>
      </c>
      <c r="Z111" s="43">
        <v>0.60499999999999998</v>
      </c>
      <c r="AC111" t="s">
        <v>239</v>
      </c>
      <c r="AD111" t="s">
        <v>210</v>
      </c>
      <c r="AE111">
        <v>14.260999999999999</v>
      </c>
      <c r="AF111">
        <v>43000474</v>
      </c>
      <c r="AG111" s="43">
        <v>0.48099999999999998</v>
      </c>
      <c r="AJ111" t="s">
        <v>239</v>
      </c>
      <c r="AK111" t="s">
        <v>210</v>
      </c>
      <c r="AL111">
        <v>14.268000000000001</v>
      </c>
      <c r="AM111">
        <v>57091854</v>
      </c>
      <c r="AN111" s="43">
        <v>0.64</v>
      </c>
      <c r="AQ111" t="s">
        <v>239</v>
      </c>
      <c r="AR111" t="s">
        <v>210</v>
      </c>
      <c r="AS111">
        <v>14.252000000000001</v>
      </c>
      <c r="AT111">
        <v>41255369</v>
      </c>
      <c r="AU111" s="43">
        <v>0.46100000000000002</v>
      </c>
      <c r="AX111" t="s">
        <v>239</v>
      </c>
      <c r="AY111" t="s">
        <v>210</v>
      </c>
      <c r="AZ111">
        <v>14.252000000000001</v>
      </c>
      <c r="BA111">
        <v>54312701</v>
      </c>
      <c r="BB111" s="43">
        <v>0.60899999999999999</v>
      </c>
      <c r="BE111" t="s">
        <v>239</v>
      </c>
      <c r="BF111" t="s">
        <v>210</v>
      </c>
      <c r="BG111">
        <v>14.252000000000001</v>
      </c>
      <c r="BH111">
        <v>49663328</v>
      </c>
      <c r="BI111" s="43">
        <v>0.55600000000000005</v>
      </c>
      <c r="BL111" t="s">
        <v>239</v>
      </c>
      <c r="BM111" t="s">
        <v>210</v>
      </c>
      <c r="BN111">
        <v>14.255000000000001</v>
      </c>
      <c r="BO111">
        <v>41652098</v>
      </c>
      <c r="BP111" s="43">
        <v>0.46600000000000003</v>
      </c>
      <c r="BS111" t="s">
        <v>239</v>
      </c>
      <c r="BT111" t="s">
        <v>210</v>
      </c>
      <c r="BU111">
        <v>14.249000000000001</v>
      </c>
      <c r="BV111">
        <v>38427608</v>
      </c>
      <c r="BW111" s="42">
        <v>0.43</v>
      </c>
    </row>
    <row r="112" spans="1:75" x14ac:dyDescent="0.2">
      <c r="A112" t="s">
        <v>234</v>
      </c>
      <c r="B112" t="s">
        <v>209</v>
      </c>
      <c r="C112">
        <v>14.754</v>
      </c>
      <c r="D112">
        <v>190562028</v>
      </c>
      <c r="E112" s="43">
        <v>2.1280000000000001</v>
      </c>
      <c r="H112" t="s">
        <v>234</v>
      </c>
      <c r="I112" t="s">
        <v>209</v>
      </c>
      <c r="J112">
        <v>14.769</v>
      </c>
      <c r="K112">
        <v>277865076</v>
      </c>
      <c r="L112" s="43">
        <v>3.11</v>
      </c>
      <c r="O112" t="s">
        <v>234</v>
      </c>
      <c r="P112" t="s">
        <v>209</v>
      </c>
      <c r="Q112">
        <v>14.757</v>
      </c>
      <c r="R112">
        <v>233804492</v>
      </c>
      <c r="S112" s="43">
        <v>2.6139999999999999</v>
      </c>
      <c r="V112" t="s">
        <v>234</v>
      </c>
      <c r="W112" t="s">
        <v>209</v>
      </c>
      <c r="X112">
        <v>14.782</v>
      </c>
      <c r="Y112">
        <v>335810397</v>
      </c>
      <c r="Z112" s="43" t="s">
        <v>238</v>
      </c>
      <c r="AC112" t="s">
        <v>234</v>
      </c>
      <c r="AD112" t="s">
        <v>209</v>
      </c>
      <c r="AE112">
        <v>14.759</v>
      </c>
      <c r="AF112">
        <v>252043238</v>
      </c>
      <c r="AG112" s="43">
        <v>2.819</v>
      </c>
      <c r="AJ112" t="s">
        <v>234</v>
      </c>
      <c r="AK112" t="s">
        <v>209</v>
      </c>
      <c r="AL112">
        <v>14.786</v>
      </c>
      <c r="AM112">
        <v>368650635</v>
      </c>
      <c r="AN112" s="43" t="s">
        <v>237</v>
      </c>
      <c r="AQ112" t="s">
        <v>234</v>
      </c>
      <c r="AR112" t="s">
        <v>209</v>
      </c>
      <c r="AS112">
        <v>14.753</v>
      </c>
      <c r="AT112">
        <v>247364885</v>
      </c>
      <c r="AU112" s="43">
        <v>2.7669999999999999</v>
      </c>
      <c r="AX112" t="s">
        <v>234</v>
      </c>
      <c r="AY112" t="s">
        <v>209</v>
      </c>
      <c r="AZ112">
        <v>14.775</v>
      </c>
      <c r="BA112">
        <v>352319523</v>
      </c>
      <c r="BB112" s="43" t="s">
        <v>236</v>
      </c>
      <c r="BE112" t="s">
        <v>234</v>
      </c>
      <c r="BF112" t="s">
        <v>209</v>
      </c>
      <c r="BG112">
        <v>14.766</v>
      </c>
      <c r="BH112">
        <v>299523046</v>
      </c>
      <c r="BI112" s="43" t="s">
        <v>235</v>
      </c>
      <c r="BL112" t="s">
        <v>234</v>
      </c>
      <c r="BM112" t="s">
        <v>209</v>
      </c>
      <c r="BN112">
        <v>14.75</v>
      </c>
      <c r="BO112">
        <v>255385285</v>
      </c>
      <c r="BP112" s="43">
        <v>2.8570000000000002</v>
      </c>
      <c r="BS112" t="s">
        <v>234</v>
      </c>
      <c r="BT112" t="s">
        <v>209</v>
      </c>
      <c r="BU112">
        <v>14.743</v>
      </c>
      <c r="BV112">
        <v>238636178</v>
      </c>
      <c r="BW112" s="42">
        <v>2.6680000000000001</v>
      </c>
    </row>
    <row r="113" spans="1:75" x14ac:dyDescent="0.2">
      <c r="A113" t="s">
        <v>233</v>
      </c>
      <c r="B113" t="s">
        <v>208</v>
      </c>
      <c r="C113">
        <v>15.694000000000001</v>
      </c>
      <c r="D113">
        <v>57030756</v>
      </c>
      <c r="E113" s="43">
        <v>0.64300000000000002</v>
      </c>
      <c r="H113" t="s">
        <v>233</v>
      </c>
      <c r="I113" t="s">
        <v>208</v>
      </c>
      <c r="J113">
        <v>15.688000000000001</v>
      </c>
      <c r="K113">
        <v>74469900</v>
      </c>
      <c r="L113" s="43">
        <v>0.84299999999999997</v>
      </c>
      <c r="O113" t="s">
        <v>233</v>
      </c>
      <c r="P113" t="s">
        <v>208</v>
      </c>
      <c r="Q113">
        <v>15.686</v>
      </c>
      <c r="R113">
        <v>66518719</v>
      </c>
      <c r="S113" s="43">
        <v>0.752</v>
      </c>
      <c r="V113" t="s">
        <v>233</v>
      </c>
      <c r="W113" t="s">
        <v>208</v>
      </c>
      <c r="X113">
        <v>15.686999999999999</v>
      </c>
      <c r="Y113">
        <v>92056022</v>
      </c>
      <c r="Z113" s="43">
        <v>1.0449999999999999</v>
      </c>
      <c r="AC113" t="s">
        <v>233</v>
      </c>
      <c r="AD113" t="s">
        <v>208</v>
      </c>
      <c r="AE113">
        <v>15.683999999999999</v>
      </c>
      <c r="AF113">
        <v>70812488</v>
      </c>
      <c r="AG113" s="43">
        <v>0.80100000000000005</v>
      </c>
      <c r="AJ113" t="s">
        <v>233</v>
      </c>
      <c r="AK113" t="s">
        <v>208</v>
      </c>
      <c r="AL113">
        <v>15.683</v>
      </c>
      <c r="AM113">
        <v>97434221</v>
      </c>
      <c r="AN113" s="43">
        <v>1.107</v>
      </c>
      <c r="AQ113" t="s">
        <v>233</v>
      </c>
      <c r="AR113" t="s">
        <v>208</v>
      </c>
      <c r="AS113">
        <v>15.68</v>
      </c>
      <c r="AT113">
        <v>68819013</v>
      </c>
      <c r="AU113" s="43">
        <v>0.77800000000000002</v>
      </c>
      <c r="AX113" t="s">
        <v>233</v>
      </c>
      <c r="AY113" t="s">
        <v>208</v>
      </c>
      <c r="AZ113">
        <v>15.679</v>
      </c>
      <c r="BA113">
        <v>92401536</v>
      </c>
      <c r="BB113" s="43">
        <v>1.0489999999999999</v>
      </c>
      <c r="BE113" t="s">
        <v>233</v>
      </c>
      <c r="BF113" t="s">
        <v>208</v>
      </c>
      <c r="BG113">
        <v>15.675000000000001</v>
      </c>
      <c r="BH113">
        <v>79511268</v>
      </c>
      <c r="BI113" s="43">
        <v>0.90100000000000002</v>
      </c>
      <c r="BL113" t="s">
        <v>233</v>
      </c>
      <c r="BM113" t="s">
        <v>208</v>
      </c>
      <c r="BN113">
        <v>15.673999999999999</v>
      </c>
      <c r="BO113">
        <v>65543577</v>
      </c>
      <c r="BP113" s="43">
        <v>0.74099999999999999</v>
      </c>
      <c r="BS113" t="s">
        <v>233</v>
      </c>
      <c r="BT113" t="s">
        <v>208</v>
      </c>
      <c r="BU113">
        <v>15.673</v>
      </c>
      <c r="BV113">
        <v>60398514</v>
      </c>
      <c r="BW113" s="42">
        <v>0.68200000000000005</v>
      </c>
    </row>
    <row r="114" spans="1:75" x14ac:dyDescent="0.2">
      <c r="A114" t="s">
        <v>232</v>
      </c>
      <c r="B114" t="s">
        <v>207</v>
      </c>
      <c r="C114">
        <v>0</v>
      </c>
      <c r="D114">
        <v>0</v>
      </c>
      <c r="E114" s="43" t="s">
        <v>202</v>
      </c>
      <c r="H114" t="s">
        <v>232</v>
      </c>
      <c r="I114" t="s">
        <v>207</v>
      </c>
      <c r="J114">
        <v>0</v>
      </c>
      <c r="K114">
        <v>0</v>
      </c>
      <c r="L114" s="43" t="s">
        <v>202</v>
      </c>
      <c r="O114" t="s">
        <v>232</v>
      </c>
      <c r="P114" t="s">
        <v>207</v>
      </c>
      <c r="Q114">
        <v>0</v>
      </c>
      <c r="R114">
        <v>0</v>
      </c>
      <c r="S114" s="43" t="s">
        <v>202</v>
      </c>
      <c r="V114" t="s">
        <v>232</v>
      </c>
      <c r="W114" t="s">
        <v>207</v>
      </c>
      <c r="X114">
        <v>0</v>
      </c>
      <c r="Y114">
        <v>0</v>
      </c>
      <c r="Z114" s="43" t="s">
        <v>202</v>
      </c>
      <c r="AC114" t="s">
        <v>232</v>
      </c>
      <c r="AD114" t="s">
        <v>207</v>
      </c>
      <c r="AE114">
        <v>0</v>
      </c>
      <c r="AF114">
        <v>0</v>
      </c>
      <c r="AG114" s="43" t="s">
        <v>202</v>
      </c>
      <c r="AJ114" t="s">
        <v>232</v>
      </c>
      <c r="AK114" t="s">
        <v>207</v>
      </c>
      <c r="AL114">
        <v>0</v>
      </c>
      <c r="AM114">
        <v>0</v>
      </c>
      <c r="AN114" s="43" t="s">
        <v>202</v>
      </c>
      <c r="AQ114" t="s">
        <v>232</v>
      </c>
      <c r="AR114" t="s">
        <v>207</v>
      </c>
      <c r="AS114">
        <v>0</v>
      </c>
      <c r="AT114">
        <v>0</v>
      </c>
      <c r="AU114" s="43" t="s">
        <v>202</v>
      </c>
      <c r="AX114" t="s">
        <v>232</v>
      </c>
      <c r="AY114" t="s">
        <v>207</v>
      </c>
      <c r="AZ114">
        <v>0</v>
      </c>
      <c r="BA114">
        <v>0</v>
      </c>
      <c r="BB114" s="43" t="s">
        <v>202</v>
      </c>
      <c r="BE114" t="s">
        <v>232</v>
      </c>
      <c r="BF114" t="s">
        <v>207</v>
      </c>
      <c r="BG114">
        <v>0</v>
      </c>
      <c r="BH114">
        <v>0</v>
      </c>
      <c r="BI114" s="43" t="s">
        <v>202</v>
      </c>
      <c r="BL114" t="s">
        <v>232</v>
      </c>
      <c r="BM114" t="s">
        <v>207</v>
      </c>
      <c r="BN114">
        <v>0</v>
      </c>
      <c r="BO114">
        <v>0</v>
      </c>
      <c r="BP114" s="43" t="s">
        <v>202</v>
      </c>
      <c r="BS114" t="s">
        <v>232</v>
      </c>
      <c r="BT114" t="s">
        <v>207</v>
      </c>
      <c r="BU114">
        <v>0</v>
      </c>
      <c r="BV114">
        <v>0</v>
      </c>
      <c r="BW114" s="42" t="s">
        <v>202</v>
      </c>
    </row>
    <row r="115" spans="1:75" x14ac:dyDescent="0.2">
      <c r="A115" t="s">
        <v>230</v>
      </c>
      <c r="B115" t="s">
        <v>206</v>
      </c>
      <c r="C115">
        <v>29.001000000000001</v>
      </c>
      <c r="D115">
        <v>8010947</v>
      </c>
      <c r="E115" s="43">
        <v>8.8999999999999996E-2</v>
      </c>
      <c r="H115" t="s">
        <v>230</v>
      </c>
      <c r="I115" t="s">
        <v>206</v>
      </c>
      <c r="J115">
        <v>29.001000000000001</v>
      </c>
      <c r="K115">
        <v>11753727</v>
      </c>
      <c r="L115" s="43">
        <v>0.13100000000000001</v>
      </c>
      <c r="O115" t="s">
        <v>230</v>
      </c>
      <c r="P115" t="s">
        <v>206</v>
      </c>
      <c r="Q115">
        <v>28.998000000000001</v>
      </c>
      <c r="R115">
        <v>10047659</v>
      </c>
      <c r="S115" s="43">
        <v>0.112</v>
      </c>
      <c r="V115" t="s">
        <v>230</v>
      </c>
      <c r="W115" t="s">
        <v>206</v>
      </c>
      <c r="X115">
        <v>28.995000000000001</v>
      </c>
      <c r="Y115">
        <v>13544443</v>
      </c>
      <c r="Z115" s="43">
        <v>0.151</v>
      </c>
      <c r="AC115" t="s">
        <v>230</v>
      </c>
      <c r="AD115" t="s">
        <v>206</v>
      </c>
      <c r="AE115">
        <v>29.001000000000001</v>
      </c>
      <c r="AF115">
        <v>9232141</v>
      </c>
      <c r="AG115" s="43">
        <v>0.10299999999999999</v>
      </c>
      <c r="AJ115" t="s">
        <v>230</v>
      </c>
      <c r="AK115" t="s">
        <v>206</v>
      </c>
      <c r="AL115">
        <v>28.995999999999999</v>
      </c>
      <c r="AM115">
        <v>14459304</v>
      </c>
      <c r="AN115" s="43">
        <v>0.161</v>
      </c>
      <c r="AQ115" t="s">
        <v>230</v>
      </c>
      <c r="AR115" t="s">
        <v>206</v>
      </c>
      <c r="AS115">
        <v>29.001999999999999</v>
      </c>
      <c r="AT115">
        <v>9529226</v>
      </c>
      <c r="AU115" s="43">
        <v>0.106</v>
      </c>
      <c r="AX115" t="s">
        <v>230</v>
      </c>
      <c r="AY115" t="s">
        <v>206</v>
      </c>
      <c r="AZ115">
        <v>29.001000000000001</v>
      </c>
      <c r="BA115">
        <v>10769915</v>
      </c>
      <c r="BB115" s="43">
        <v>0.12</v>
      </c>
      <c r="BE115" t="s">
        <v>230</v>
      </c>
      <c r="BF115" t="s">
        <v>206</v>
      </c>
      <c r="BG115">
        <v>29</v>
      </c>
      <c r="BH115">
        <v>9341548</v>
      </c>
      <c r="BI115" s="43">
        <v>0.104</v>
      </c>
      <c r="BL115" t="s">
        <v>230</v>
      </c>
      <c r="BM115" t="s">
        <v>206</v>
      </c>
      <c r="BN115">
        <v>29.006</v>
      </c>
      <c r="BO115">
        <v>7438904</v>
      </c>
      <c r="BP115" s="43" t="s">
        <v>231</v>
      </c>
      <c r="BS115" t="s">
        <v>230</v>
      </c>
      <c r="BT115" t="s">
        <v>206</v>
      </c>
      <c r="BU115">
        <v>29.013999999999999</v>
      </c>
      <c r="BV115">
        <v>6081954</v>
      </c>
      <c r="BW115" s="42" t="s">
        <v>229</v>
      </c>
    </row>
    <row r="116" spans="1:75" x14ac:dyDescent="0.2">
      <c r="A116" t="s">
        <v>228</v>
      </c>
      <c r="H116" t="s">
        <v>228</v>
      </c>
      <c r="O116" t="s">
        <v>228</v>
      </c>
      <c r="V116" t="s">
        <v>228</v>
      </c>
      <c r="AC116" t="s">
        <v>228</v>
      </c>
      <c r="AJ116" t="s">
        <v>228</v>
      </c>
      <c r="AQ116" t="s">
        <v>228</v>
      </c>
      <c r="AX116" t="s">
        <v>228</v>
      </c>
      <c r="BE116" t="s">
        <v>228</v>
      </c>
      <c r="BL116" t="s">
        <v>228</v>
      </c>
      <c r="BS116" t="s">
        <v>228</v>
      </c>
    </row>
    <row r="118" spans="1:75" x14ac:dyDescent="0.2">
      <c r="A118" t="s">
        <v>227</v>
      </c>
      <c r="H118" t="s">
        <v>227</v>
      </c>
      <c r="O118" t="s">
        <v>227</v>
      </c>
      <c r="V118" t="s">
        <v>227</v>
      </c>
      <c r="AC118" t="s">
        <v>227</v>
      </c>
      <c r="AJ118" t="s">
        <v>227</v>
      </c>
      <c r="AQ118" t="s">
        <v>227</v>
      </c>
      <c r="AX118" t="s">
        <v>227</v>
      </c>
      <c r="BE118" t="s">
        <v>227</v>
      </c>
      <c r="BL118" t="s">
        <v>227</v>
      </c>
      <c r="BS118" t="s">
        <v>227</v>
      </c>
    </row>
    <row r="120" spans="1:75" x14ac:dyDescent="0.2">
      <c r="A120" t="s">
        <v>226</v>
      </c>
      <c r="H120" t="s">
        <v>225</v>
      </c>
      <c r="O120" t="s">
        <v>224</v>
      </c>
      <c r="V120" t="s">
        <v>223</v>
      </c>
      <c r="AC120" t="s">
        <v>222</v>
      </c>
      <c r="AJ120" t="s">
        <v>221</v>
      </c>
      <c r="AQ120" t="s">
        <v>220</v>
      </c>
      <c r="AX120" t="s">
        <v>219</v>
      </c>
      <c r="BE120" t="s">
        <v>218</v>
      </c>
      <c r="BL120" t="s">
        <v>217</v>
      </c>
      <c r="BS120" t="s">
        <v>216</v>
      </c>
    </row>
    <row r="125" spans="1:75" x14ac:dyDescent="0.2">
      <c r="N125" t="s">
        <v>215</v>
      </c>
    </row>
    <row r="126" spans="1:75" x14ac:dyDescent="0.2">
      <c r="C126" t="s">
        <v>214</v>
      </c>
      <c r="D126" t="s">
        <v>213</v>
      </c>
      <c r="E126" t="s">
        <v>212</v>
      </c>
      <c r="F126" t="s">
        <v>211</v>
      </c>
      <c r="G126" t="s">
        <v>210</v>
      </c>
      <c r="H126" t="s">
        <v>209</v>
      </c>
      <c r="I126" t="s">
        <v>208</v>
      </c>
      <c r="J126" t="s">
        <v>207</v>
      </c>
      <c r="K126" t="s">
        <v>206</v>
      </c>
      <c r="L126" t="s">
        <v>205</v>
      </c>
      <c r="N126" t="s">
        <v>204</v>
      </c>
    </row>
    <row r="127" spans="1:75" x14ac:dyDescent="0.2">
      <c r="A127">
        <v>3</v>
      </c>
      <c r="B127" s="42" t="s">
        <v>203</v>
      </c>
      <c r="C127" s="43">
        <v>0.89600000000000002</v>
      </c>
      <c r="D127" s="43" t="s">
        <v>202</v>
      </c>
      <c r="E127" s="43">
        <v>0.23899999999999999</v>
      </c>
      <c r="F127" s="43">
        <v>0.107</v>
      </c>
      <c r="G127" s="43">
        <v>0.14399999999999999</v>
      </c>
      <c r="H127" s="43">
        <v>0.376</v>
      </c>
      <c r="I127" s="43">
        <v>0.24</v>
      </c>
      <c r="J127" s="43" t="s">
        <v>202</v>
      </c>
      <c r="K127" s="43">
        <v>0.02</v>
      </c>
      <c r="L127">
        <f t="shared" ref="L127:L146" si="0">SUM(D127:K127)</f>
        <v>1.1259999999999999</v>
      </c>
      <c r="N127">
        <f t="shared" ref="N127:N146" si="1">L127*0.5</f>
        <v>0.56299999999999994</v>
      </c>
    </row>
    <row r="128" spans="1:75" x14ac:dyDescent="0.2">
      <c r="A128">
        <v>4</v>
      </c>
      <c r="B128" s="42" t="s">
        <v>203</v>
      </c>
      <c r="C128" s="43">
        <v>0.93200000000000005</v>
      </c>
      <c r="D128" s="43" t="s">
        <v>202</v>
      </c>
      <c r="E128" s="43">
        <v>0.33300000000000002</v>
      </c>
      <c r="F128" s="43">
        <v>0.11799999999999999</v>
      </c>
      <c r="G128" s="43">
        <v>0.22</v>
      </c>
      <c r="H128" s="43">
        <v>0.623</v>
      </c>
      <c r="I128" s="43">
        <v>0.28899999999999998</v>
      </c>
      <c r="J128" s="43" t="s">
        <v>202</v>
      </c>
      <c r="K128" s="43">
        <v>2.5999999999999999E-2</v>
      </c>
      <c r="L128">
        <f t="shared" si="0"/>
        <v>1.609</v>
      </c>
      <c r="N128">
        <f t="shared" si="1"/>
        <v>0.80449999999999999</v>
      </c>
    </row>
    <row r="129" spans="1:14" x14ac:dyDescent="0.2">
      <c r="A129">
        <v>5</v>
      </c>
      <c r="B129" s="42" t="s">
        <v>203</v>
      </c>
      <c r="C129" s="43">
        <v>0.89200000000000002</v>
      </c>
      <c r="D129" s="43" t="s">
        <v>202</v>
      </c>
      <c r="E129" s="43">
        <v>0.28499999999999998</v>
      </c>
      <c r="F129" s="43">
        <v>0.15</v>
      </c>
      <c r="G129" s="43">
        <v>0.15</v>
      </c>
      <c r="H129" s="43">
        <v>0.55400000000000005</v>
      </c>
      <c r="I129" s="43">
        <v>0.40699999999999997</v>
      </c>
      <c r="J129" s="43" t="s">
        <v>202</v>
      </c>
      <c r="K129" s="43">
        <v>1.4999999999999999E-2</v>
      </c>
      <c r="L129">
        <f t="shared" si="0"/>
        <v>1.5609999999999999</v>
      </c>
      <c r="N129">
        <f t="shared" si="1"/>
        <v>0.78049999999999997</v>
      </c>
    </row>
    <row r="130" spans="1:14" x14ac:dyDescent="0.2">
      <c r="A130">
        <v>6</v>
      </c>
      <c r="B130" s="42" t="s">
        <v>203</v>
      </c>
      <c r="C130" s="43">
        <v>0.84799999999999998</v>
      </c>
      <c r="D130" s="43" t="s">
        <v>202</v>
      </c>
      <c r="E130" s="43">
        <v>0.29799999999999999</v>
      </c>
      <c r="F130" s="43">
        <v>0.13</v>
      </c>
      <c r="G130" s="43">
        <v>0.16300000000000001</v>
      </c>
      <c r="H130" s="43">
        <v>0.61299999999999999</v>
      </c>
      <c r="I130" s="43">
        <v>0.44</v>
      </c>
      <c r="J130" s="43" t="s">
        <v>202</v>
      </c>
      <c r="K130" s="43">
        <v>1.4999999999999999E-2</v>
      </c>
      <c r="L130">
        <f t="shared" si="0"/>
        <v>1.6589999999999998</v>
      </c>
      <c r="N130">
        <f t="shared" si="1"/>
        <v>0.8294999999999999</v>
      </c>
    </row>
    <row r="131" spans="1:14" x14ac:dyDescent="0.2">
      <c r="A131">
        <v>7</v>
      </c>
      <c r="B131" s="42" t="s">
        <v>203</v>
      </c>
      <c r="C131" s="43">
        <v>0.88500000000000001</v>
      </c>
      <c r="D131" s="43" t="s">
        <v>202</v>
      </c>
      <c r="E131" s="43">
        <v>0.502</v>
      </c>
      <c r="F131" s="43">
        <v>0.192</v>
      </c>
      <c r="G131" s="43">
        <v>0.26800000000000002</v>
      </c>
      <c r="H131" s="43">
        <v>1.752</v>
      </c>
      <c r="I131" s="43">
        <v>0.60899999999999999</v>
      </c>
      <c r="J131" s="43" t="s">
        <v>202</v>
      </c>
      <c r="K131" s="43">
        <v>6.6000000000000003E-2</v>
      </c>
      <c r="L131">
        <f t="shared" si="0"/>
        <v>3.3889999999999998</v>
      </c>
      <c r="N131">
        <f t="shared" si="1"/>
        <v>1.6944999999999999</v>
      </c>
    </row>
    <row r="132" spans="1:14" x14ac:dyDescent="0.2">
      <c r="A132">
        <v>8</v>
      </c>
      <c r="B132" s="42" t="s">
        <v>203</v>
      </c>
      <c r="C132" s="43">
        <v>0.84</v>
      </c>
      <c r="D132" s="43" t="s">
        <v>202</v>
      </c>
      <c r="E132" s="43">
        <v>0.42899999999999999</v>
      </c>
      <c r="F132" s="43">
        <v>0.13800000000000001</v>
      </c>
      <c r="G132" s="43">
        <v>0.223</v>
      </c>
      <c r="H132" s="43">
        <v>1.38</v>
      </c>
      <c r="I132" s="43">
        <v>0.439</v>
      </c>
      <c r="J132" s="43" t="s">
        <v>202</v>
      </c>
      <c r="K132" s="43">
        <v>5.5E-2</v>
      </c>
      <c r="L132">
        <f t="shared" si="0"/>
        <v>2.6640000000000001</v>
      </c>
      <c r="N132">
        <f t="shared" si="1"/>
        <v>1.3320000000000001</v>
      </c>
    </row>
    <row r="133" spans="1:14" x14ac:dyDescent="0.2">
      <c r="A133">
        <v>9</v>
      </c>
      <c r="B133" s="42" t="s">
        <v>203</v>
      </c>
      <c r="C133" s="43">
        <v>0.878</v>
      </c>
      <c r="D133" s="43" t="s">
        <v>202</v>
      </c>
      <c r="E133" s="43">
        <v>0.76300000000000001</v>
      </c>
      <c r="F133" s="43">
        <v>0.30199999999999999</v>
      </c>
      <c r="G133" s="43">
        <v>0.39100000000000001</v>
      </c>
      <c r="H133" s="43">
        <v>2.6360000000000001</v>
      </c>
      <c r="I133" s="43">
        <v>0.84799999999999998</v>
      </c>
      <c r="J133" s="43" t="s">
        <v>202</v>
      </c>
      <c r="K133" s="43">
        <v>0.10199999999999999</v>
      </c>
      <c r="L133">
        <f t="shared" si="0"/>
        <v>5.0420000000000007</v>
      </c>
      <c r="N133">
        <f t="shared" si="1"/>
        <v>2.5210000000000004</v>
      </c>
    </row>
    <row r="134" spans="1:14" x14ac:dyDescent="0.2">
      <c r="A134">
        <v>10</v>
      </c>
      <c r="B134" s="42" t="s">
        <v>203</v>
      </c>
      <c r="C134" s="43">
        <v>0.89300000000000002</v>
      </c>
      <c r="D134" s="43" t="s">
        <v>202</v>
      </c>
      <c r="E134" s="43">
        <v>0.54200000000000004</v>
      </c>
      <c r="F134" s="43">
        <v>0.16</v>
      </c>
      <c r="G134" s="43">
        <v>0.28999999999999998</v>
      </c>
      <c r="H134" s="43">
        <v>1.5469999999999999</v>
      </c>
      <c r="I134" s="43">
        <v>0.45600000000000002</v>
      </c>
      <c r="J134" s="43" t="s">
        <v>202</v>
      </c>
      <c r="K134" s="43">
        <v>0.06</v>
      </c>
      <c r="L134">
        <f t="shared" si="0"/>
        <v>3.0549999999999997</v>
      </c>
      <c r="N134">
        <f t="shared" si="1"/>
        <v>1.5274999999999999</v>
      </c>
    </row>
    <row r="135" spans="1:14" x14ac:dyDescent="0.2">
      <c r="A135">
        <v>11</v>
      </c>
      <c r="B135" s="42" t="s">
        <v>203</v>
      </c>
      <c r="C135" s="43">
        <v>0.94499999999999995</v>
      </c>
      <c r="D135" s="43" t="s">
        <v>202</v>
      </c>
      <c r="E135" s="43">
        <v>0.69799999999999995</v>
      </c>
      <c r="F135" s="43">
        <v>0.253</v>
      </c>
      <c r="G135" s="43">
        <v>0.37</v>
      </c>
      <c r="H135" s="43">
        <v>2.1219999999999999</v>
      </c>
      <c r="I135" s="43">
        <v>0.58899999999999997</v>
      </c>
      <c r="J135" s="43" t="s">
        <v>202</v>
      </c>
      <c r="K135" s="43">
        <v>8.5999999999999993E-2</v>
      </c>
      <c r="L135">
        <f t="shared" si="0"/>
        <v>4.1180000000000003</v>
      </c>
      <c r="N135">
        <f t="shared" si="1"/>
        <v>2.0590000000000002</v>
      </c>
    </row>
    <row r="136" spans="1:14" x14ac:dyDescent="0.2">
      <c r="A136">
        <v>12</v>
      </c>
      <c r="B136" s="42" t="s">
        <v>203</v>
      </c>
      <c r="C136" s="43">
        <v>0.92100000000000004</v>
      </c>
      <c r="D136" s="43" t="s">
        <v>202</v>
      </c>
      <c r="E136" s="43">
        <v>0.77900000000000003</v>
      </c>
      <c r="F136" s="43">
        <v>0.25700000000000001</v>
      </c>
      <c r="G136" s="43">
        <v>0.38</v>
      </c>
      <c r="H136" s="43">
        <v>2.1280000000000001</v>
      </c>
      <c r="I136" s="43">
        <v>0.64300000000000002</v>
      </c>
      <c r="J136" s="43" t="s">
        <v>202</v>
      </c>
      <c r="K136" s="43">
        <v>8.8999999999999996E-2</v>
      </c>
      <c r="L136">
        <f t="shared" si="0"/>
        <v>4.2760000000000007</v>
      </c>
      <c r="N136">
        <f t="shared" si="1"/>
        <v>2.1380000000000003</v>
      </c>
    </row>
    <row r="137" spans="1:14" x14ac:dyDescent="0.2">
      <c r="A137">
        <v>13</v>
      </c>
      <c r="B137" s="42" t="s">
        <v>203</v>
      </c>
      <c r="C137" s="43">
        <v>0.88700000000000001</v>
      </c>
      <c r="D137" s="43" t="s">
        <v>202</v>
      </c>
      <c r="E137" s="43">
        <v>0.92500000000000004</v>
      </c>
      <c r="F137" s="43">
        <v>0.37</v>
      </c>
      <c r="G137" s="43">
        <v>0.47899999999999998</v>
      </c>
      <c r="H137" s="43">
        <v>3.11</v>
      </c>
      <c r="I137" s="43">
        <v>0.84299999999999997</v>
      </c>
      <c r="J137" s="43" t="s">
        <v>202</v>
      </c>
      <c r="K137" s="43">
        <v>0.13100000000000001</v>
      </c>
      <c r="L137">
        <f t="shared" si="0"/>
        <v>5.8580000000000005</v>
      </c>
      <c r="N137">
        <f t="shared" si="1"/>
        <v>2.9290000000000003</v>
      </c>
    </row>
    <row r="138" spans="1:14" x14ac:dyDescent="0.2">
      <c r="A138">
        <v>14</v>
      </c>
      <c r="B138" s="42" t="s">
        <v>203</v>
      </c>
      <c r="C138" s="43">
        <v>0.96899999999999997</v>
      </c>
      <c r="D138" s="43" t="s">
        <v>202</v>
      </c>
      <c r="E138" s="43">
        <v>0.92</v>
      </c>
      <c r="F138" s="43">
        <v>0.315</v>
      </c>
      <c r="G138" s="43">
        <v>0.45</v>
      </c>
      <c r="H138" s="43">
        <v>2.6139999999999999</v>
      </c>
      <c r="I138" s="43">
        <v>0.752</v>
      </c>
      <c r="J138" s="43" t="s">
        <v>202</v>
      </c>
      <c r="K138" s="43">
        <v>0.112</v>
      </c>
      <c r="L138">
        <f t="shared" si="0"/>
        <v>5.1629999999999994</v>
      </c>
      <c r="N138">
        <f t="shared" si="1"/>
        <v>2.5814999999999997</v>
      </c>
    </row>
    <row r="139" spans="1:14" x14ac:dyDescent="0.2">
      <c r="A139">
        <v>15</v>
      </c>
      <c r="B139" s="42" t="s">
        <v>203</v>
      </c>
      <c r="C139" s="43">
        <v>0.97699999999999998</v>
      </c>
      <c r="D139" s="43" t="s">
        <v>202</v>
      </c>
      <c r="E139" s="43">
        <v>1.1279999999999999</v>
      </c>
      <c r="F139" s="43">
        <v>0.45900000000000002</v>
      </c>
      <c r="G139" s="43">
        <v>0.60499999999999998</v>
      </c>
      <c r="H139" s="43">
        <v>3.7610000000000001</v>
      </c>
      <c r="I139" s="43">
        <v>1.0449999999999999</v>
      </c>
      <c r="J139" s="43" t="s">
        <v>202</v>
      </c>
      <c r="K139" s="43">
        <v>0.151</v>
      </c>
      <c r="L139">
        <f t="shared" si="0"/>
        <v>7.149</v>
      </c>
      <c r="N139">
        <f t="shared" si="1"/>
        <v>3.5745</v>
      </c>
    </row>
    <row r="140" spans="1:14" x14ac:dyDescent="0.2">
      <c r="A140">
        <v>16</v>
      </c>
      <c r="B140" s="42" t="s">
        <v>203</v>
      </c>
      <c r="C140" s="43">
        <v>0.96699999999999997</v>
      </c>
      <c r="D140" s="43" t="s">
        <v>202</v>
      </c>
      <c r="E140" s="43">
        <v>0.94499999999999995</v>
      </c>
      <c r="F140" s="43">
        <v>0.33400000000000002</v>
      </c>
      <c r="G140" s="43">
        <v>0.48099999999999998</v>
      </c>
      <c r="H140" s="43">
        <v>2.819</v>
      </c>
      <c r="I140" s="43">
        <v>0.80100000000000005</v>
      </c>
      <c r="J140" s="43" t="s">
        <v>202</v>
      </c>
      <c r="K140" s="43">
        <v>0.10299999999999999</v>
      </c>
      <c r="L140">
        <f t="shared" si="0"/>
        <v>5.4829999999999997</v>
      </c>
      <c r="N140">
        <f t="shared" si="1"/>
        <v>2.7414999999999998</v>
      </c>
    </row>
    <row r="141" spans="1:14" x14ac:dyDescent="0.2">
      <c r="A141">
        <v>17</v>
      </c>
      <c r="B141" s="42" t="s">
        <v>203</v>
      </c>
      <c r="C141" s="43">
        <v>0.91300000000000003</v>
      </c>
      <c r="D141" s="43" t="s">
        <v>202</v>
      </c>
      <c r="E141" s="43">
        <v>1.163</v>
      </c>
      <c r="F141" s="43">
        <v>0.48599999999999999</v>
      </c>
      <c r="G141" s="43">
        <v>0.64</v>
      </c>
      <c r="H141" s="43">
        <v>4.1310000000000002</v>
      </c>
      <c r="I141" s="43">
        <v>1.107</v>
      </c>
      <c r="J141" s="43" t="s">
        <v>202</v>
      </c>
      <c r="K141" s="43">
        <v>0.161</v>
      </c>
      <c r="L141">
        <f t="shared" si="0"/>
        <v>7.6879999999999997</v>
      </c>
      <c r="N141">
        <f t="shared" si="1"/>
        <v>3.8439999999999999</v>
      </c>
    </row>
    <row r="142" spans="1:14" x14ac:dyDescent="0.2">
      <c r="A142">
        <v>18</v>
      </c>
      <c r="B142" s="42" t="s">
        <v>203</v>
      </c>
      <c r="C142" s="43">
        <v>0.94499999999999995</v>
      </c>
      <c r="D142" s="43" t="s">
        <v>202</v>
      </c>
      <c r="E142" s="43">
        <v>0.90400000000000003</v>
      </c>
      <c r="F142" s="43">
        <v>0.32500000000000001</v>
      </c>
      <c r="G142" s="43">
        <v>0.46100000000000002</v>
      </c>
      <c r="H142" s="43">
        <v>2.7669999999999999</v>
      </c>
      <c r="I142" s="43">
        <v>0.77800000000000002</v>
      </c>
      <c r="J142" s="43" t="s">
        <v>202</v>
      </c>
      <c r="K142" s="43">
        <v>0.106</v>
      </c>
      <c r="L142">
        <f t="shared" si="0"/>
        <v>5.3409999999999993</v>
      </c>
      <c r="N142">
        <f t="shared" si="1"/>
        <v>2.6704999999999997</v>
      </c>
    </row>
    <row r="143" spans="1:14" x14ac:dyDescent="0.2">
      <c r="A143">
        <v>19</v>
      </c>
      <c r="B143" s="42" t="s">
        <v>203</v>
      </c>
      <c r="C143" s="43">
        <v>0.91500000000000004</v>
      </c>
      <c r="D143" s="43" t="s">
        <v>202</v>
      </c>
      <c r="E143" s="43">
        <v>1.0589999999999999</v>
      </c>
      <c r="F143" s="43">
        <v>0.45500000000000002</v>
      </c>
      <c r="G143" s="43">
        <v>0.60899999999999999</v>
      </c>
      <c r="H143" s="43">
        <v>3.9470000000000001</v>
      </c>
      <c r="I143" s="43">
        <v>1.0489999999999999</v>
      </c>
      <c r="J143" s="43" t="s">
        <v>202</v>
      </c>
      <c r="K143" s="43">
        <v>0.12</v>
      </c>
      <c r="L143">
        <f t="shared" si="0"/>
        <v>7.2389999999999999</v>
      </c>
      <c r="N143">
        <f t="shared" si="1"/>
        <v>3.6194999999999999</v>
      </c>
    </row>
    <row r="144" spans="1:14" x14ac:dyDescent="0.2">
      <c r="A144">
        <v>20</v>
      </c>
      <c r="B144" s="42" t="s">
        <v>203</v>
      </c>
      <c r="C144" s="43">
        <v>0.98699999999999999</v>
      </c>
      <c r="D144" s="43" t="s">
        <v>202</v>
      </c>
      <c r="E144" s="43">
        <v>1.0209999999999999</v>
      </c>
      <c r="F144" s="43">
        <v>0.38500000000000001</v>
      </c>
      <c r="G144" s="43">
        <v>0.55600000000000005</v>
      </c>
      <c r="H144" s="43">
        <v>3.3530000000000002</v>
      </c>
      <c r="I144" s="43">
        <v>0.90100000000000002</v>
      </c>
      <c r="J144" s="43" t="s">
        <v>202</v>
      </c>
      <c r="K144" s="43">
        <v>0.104</v>
      </c>
      <c r="L144">
        <f t="shared" si="0"/>
        <v>6.32</v>
      </c>
      <c r="N144">
        <f t="shared" si="1"/>
        <v>3.16</v>
      </c>
    </row>
    <row r="145" spans="1:14" x14ac:dyDescent="0.2">
      <c r="A145">
        <v>21</v>
      </c>
      <c r="B145" s="42" t="s">
        <v>203</v>
      </c>
      <c r="C145" s="43">
        <v>0.88200000000000001</v>
      </c>
      <c r="D145" s="43" t="s">
        <v>202</v>
      </c>
      <c r="E145" s="43">
        <v>0.78300000000000003</v>
      </c>
      <c r="F145" s="43">
        <v>0.31900000000000001</v>
      </c>
      <c r="G145" s="43">
        <v>0.46600000000000003</v>
      </c>
      <c r="H145" s="43">
        <v>2.8570000000000002</v>
      </c>
      <c r="I145" s="43">
        <v>0.74099999999999999</v>
      </c>
      <c r="J145" s="43" t="s">
        <v>202</v>
      </c>
      <c r="K145" s="43">
        <v>8.3000000000000004E-2</v>
      </c>
      <c r="L145">
        <f t="shared" si="0"/>
        <v>5.2490000000000006</v>
      </c>
      <c r="N145">
        <f t="shared" si="1"/>
        <v>2.6245000000000003</v>
      </c>
    </row>
    <row r="146" spans="1:14" x14ac:dyDescent="0.2">
      <c r="A146">
        <v>22</v>
      </c>
      <c r="B146" s="42" t="s">
        <v>203</v>
      </c>
      <c r="C146" s="42">
        <v>0.93400000000000005</v>
      </c>
      <c r="D146" s="42" t="s">
        <v>202</v>
      </c>
      <c r="E146" s="42">
        <v>0.76200000000000001</v>
      </c>
      <c r="F146" s="42">
        <v>0.28999999999999998</v>
      </c>
      <c r="G146" s="42">
        <v>0.43</v>
      </c>
      <c r="H146" s="42">
        <v>2.6680000000000001</v>
      </c>
      <c r="I146" s="42">
        <v>0.68200000000000005</v>
      </c>
      <c r="J146" s="42" t="s">
        <v>202</v>
      </c>
      <c r="K146" s="42">
        <v>6.8000000000000005E-2</v>
      </c>
      <c r="L146">
        <f t="shared" si="0"/>
        <v>4.9000000000000004</v>
      </c>
      <c r="N146">
        <f t="shared" si="1"/>
        <v>2.4500000000000002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7961-4CA8-C84C-AA30-402C09011C5E}">
  <dimension ref="A1"/>
  <sheetViews>
    <sheetView workbookViewId="0">
      <selection activeCell="E8" sqref="A1:E8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C1DF-75AC-7442-9F37-3559592B9CB6}">
  <dimension ref="A1"/>
  <sheetViews>
    <sheetView workbookViewId="0">
      <selection activeCell="C30" sqref="C30"/>
    </sheetView>
  </sheetViews>
  <sheetFormatPr baseColWidth="10" defaultColWidth="11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jeffrey.czajka@pnnl.gov</dc:creator>
  <cp:lastModifiedBy>Czajka, Jeffrey J</cp:lastModifiedBy>
  <dcterms:created xsi:type="dcterms:W3CDTF">2023-07-31T14:31:14Z</dcterms:created>
  <dcterms:modified xsi:type="dcterms:W3CDTF">2024-11-08T23:53:04Z</dcterms:modified>
</cp:coreProperties>
</file>