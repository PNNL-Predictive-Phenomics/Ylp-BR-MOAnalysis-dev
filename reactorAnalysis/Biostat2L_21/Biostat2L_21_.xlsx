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1/"/>
    </mc:Choice>
  </mc:AlternateContent>
  <xr:revisionPtr revIDLastSave="9" documentId="8_{D88B1E6F-39FE-4D4C-9519-3931B9F40A8B}" xr6:coauthVersionLast="47" xr6:coauthVersionMax="47" xr10:uidLastSave="{2A73FF18-11DD-FC45-A036-AA52B6EA4649}"/>
  <bookViews>
    <workbookView xWindow="2400" yWindow="500" windowWidth="33600" windowHeight="19000" activeTab="1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" sheetId="9" r:id="rId7"/>
    <sheet name="questions" sheetId="7" r:id="rId8"/>
    <sheet name="seedCultureNotes" sheetId="8" r:id="rId9"/>
  </sheets>
  <definedNames>
    <definedName name="_xlnm._FilterDatabase" localSheetId="5" hidden="1">data!$A$13:$CI$67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6" i="6" l="1"/>
  <c r="AY37" i="6" l="1"/>
  <c r="AY36" i="6"/>
  <c r="AY35" i="6"/>
  <c r="AY34" i="6"/>
  <c r="AY33" i="6"/>
  <c r="AY32" i="6"/>
  <c r="AY31" i="6"/>
  <c r="AY30" i="6"/>
  <c r="AY29" i="6"/>
  <c r="AY28" i="6"/>
  <c r="AY27" i="6"/>
  <c r="AY26" i="6"/>
  <c r="AY25" i="6"/>
  <c r="AY24" i="6"/>
  <c r="AY23" i="6"/>
  <c r="AY22" i="6"/>
  <c r="AY21" i="6"/>
  <c r="AY20" i="6"/>
  <c r="AY19" i="6"/>
  <c r="AY18" i="6"/>
  <c r="BC15" i="6" l="1"/>
  <c r="BC14" i="6"/>
  <c r="BA37" i="6"/>
  <c r="BA36" i="6"/>
  <c r="BA35" i="6"/>
  <c r="BA34" i="6"/>
  <c r="BA33" i="6"/>
  <c r="BA32" i="6"/>
  <c r="BA31" i="6"/>
  <c r="BA30" i="6"/>
  <c r="BA29" i="6"/>
  <c r="BA28" i="6"/>
  <c r="BA27" i="6"/>
  <c r="BA26" i="6"/>
  <c r="BA25" i="6"/>
  <c r="BA24" i="6"/>
  <c r="BA23" i="6"/>
  <c r="BA22" i="6"/>
  <c r="BA21" i="6"/>
  <c r="BA20" i="6"/>
  <c r="BA19" i="6"/>
  <c r="BA18" i="6"/>
  <c r="BA17" i="6"/>
  <c r="BA16" i="6"/>
  <c r="BA15" i="6"/>
  <c r="BA14" i="6"/>
  <c r="BB37" i="6"/>
  <c r="BB36" i="6"/>
  <c r="BB35" i="6"/>
  <c r="BB34" i="6"/>
  <c r="BB33" i="6"/>
  <c r="BB32" i="6"/>
  <c r="BB31" i="6"/>
  <c r="BB30" i="6"/>
  <c r="BB29" i="6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AE14" i="6"/>
  <c r="AF14" i="6" s="1"/>
  <c r="AE15" i="6"/>
  <c r="AF15" i="6" s="1"/>
  <c r="AE16" i="6"/>
  <c r="AE17" i="6"/>
  <c r="AF17" i="6" s="1"/>
  <c r="AE18" i="6"/>
  <c r="AF18" i="6" s="1"/>
  <c r="AE19" i="6"/>
  <c r="AF19" i="6" s="1"/>
  <c r="AE20" i="6"/>
  <c r="AF20" i="6" s="1"/>
  <c r="AE21" i="6"/>
  <c r="AF21" i="6" s="1"/>
  <c r="AE22" i="6"/>
  <c r="AF22" i="6" s="1"/>
  <c r="AE23" i="6"/>
  <c r="AF23" i="6" s="1"/>
  <c r="AE24" i="6"/>
  <c r="AF24" i="6" s="1"/>
  <c r="AE25" i="6"/>
  <c r="AF25" i="6" s="1"/>
  <c r="AE26" i="6"/>
  <c r="AF26" i="6" s="1"/>
  <c r="AE27" i="6"/>
  <c r="AF27" i="6" s="1"/>
  <c r="AE28" i="6"/>
  <c r="AF28" i="6" s="1"/>
  <c r="AE29" i="6"/>
  <c r="AF29" i="6" s="1"/>
  <c r="AE30" i="6"/>
  <c r="AF30" i="6" s="1"/>
  <c r="AE31" i="6"/>
  <c r="AF31" i="6" s="1"/>
  <c r="AE32" i="6"/>
  <c r="AF32" i="6" s="1"/>
  <c r="AE33" i="6"/>
  <c r="AF33" i="6" s="1"/>
  <c r="AE34" i="6"/>
  <c r="AF34" i="6" s="1"/>
  <c r="AE35" i="6"/>
  <c r="AF35" i="6" s="1"/>
  <c r="AE36" i="6"/>
  <c r="AF36" i="6" s="1"/>
  <c r="AE37" i="6"/>
  <c r="AF37" i="6" s="1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18" i="9"/>
  <c r="AS35" i="6" l="1"/>
  <c r="AS25" i="6"/>
  <c r="AT18" i="6"/>
  <c r="AS18" i="6"/>
  <c r="AT19" i="6"/>
  <c r="AS19" i="6"/>
  <c r="AT29" i="6"/>
  <c r="AS29" i="6"/>
  <c r="AS36" i="6"/>
  <c r="AS37" i="6"/>
  <c r="AS20" i="6"/>
  <c r="AS30" i="6"/>
  <c r="AT30" i="6"/>
  <c r="AT34" i="6"/>
  <c r="AS34" i="6"/>
  <c r="AS27" i="6"/>
  <c r="AS28" i="6"/>
  <c r="AS21" i="6"/>
  <c r="AT21" i="6"/>
  <c r="AS31" i="6"/>
  <c r="AT24" i="6"/>
  <c r="AS24" i="6"/>
  <c r="AM16" i="6"/>
  <c r="AS16" i="6"/>
  <c r="AS22" i="6"/>
  <c r="AT26" i="6"/>
  <c r="AS26" i="6"/>
  <c r="AS17" i="6"/>
  <c r="AR31" i="6"/>
  <c r="AT31" i="6" s="1"/>
  <c r="AR21" i="6"/>
  <c r="AR35" i="6"/>
  <c r="AT35" i="6" s="1"/>
  <c r="AR25" i="6"/>
  <c r="AT25" i="6" s="1"/>
  <c r="AR23" i="6"/>
  <c r="AR29" i="6"/>
  <c r="AR19" i="6"/>
  <c r="AR33" i="6"/>
  <c r="AT33" i="6" s="1"/>
  <c r="AR37" i="6"/>
  <c r="AT37" i="6" s="1"/>
  <c r="AR27" i="6"/>
  <c r="AT27" i="6" s="1"/>
  <c r="AR17" i="6"/>
  <c r="AT17" i="6" s="1"/>
  <c r="AS32" i="6"/>
  <c r="AR36" i="6"/>
  <c r="AT36" i="6" s="1"/>
  <c r="AR34" i="6"/>
  <c r="AR32" i="6"/>
  <c r="AT32" i="6" s="1"/>
  <c r="AR30" i="6"/>
  <c r="AR20" i="6"/>
  <c r="AT20" i="6" s="1"/>
  <c r="AR24" i="6"/>
  <c r="AR16" i="6"/>
  <c r="AT16" i="6" s="1"/>
  <c r="AR28" i="6"/>
  <c r="AT28" i="6" s="1"/>
  <c r="AR18" i="6"/>
  <c r="AR26" i="6"/>
  <c r="AR22" i="6"/>
  <c r="AT22" i="6" s="1"/>
  <c r="AT23" i="6"/>
  <c r="AS23" i="6"/>
  <c r="AS33" i="6"/>
  <c r="AI20" i="6"/>
  <c r="AJ20" i="6" s="1"/>
  <c r="AM33" i="6"/>
  <c r="AM32" i="6"/>
  <c r="AM34" i="6"/>
  <c r="AM25" i="6"/>
  <c r="AM35" i="6"/>
  <c r="AI21" i="6"/>
  <c r="AJ21" i="6" s="1"/>
  <c r="AM22" i="6"/>
  <c r="AM23" i="6"/>
  <c r="AM26" i="6"/>
  <c r="AM36" i="6"/>
  <c r="AN36" i="6" s="1"/>
  <c r="AM24" i="6"/>
  <c r="AM17" i="6"/>
  <c r="AM27" i="6"/>
  <c r="AM37" i="6"/>
  <c r="AM29" i="6"/>
  <c r="AM31" i="6"/>
  <c r="AM18" i="6"/>
  <c r="AN18" i="6" s="1"/>
  <c r="AM28" i="6"/>
  <c r="AM19" i="6"/>
  <c r="AM20" i="6"/>
  <c r="AN20" i="6" s="1"/>
  <c r="AM21" i="6"/>
  <c r="AI19" i="6"/>
  <c r="AJ19" i="6" s="1"/>
  <c r="AI18" i="6"/>
  <c r="AJ18" i="6" s="1"/>
  <c r="AI37" i="6"/>
  <c r="AJ37" i="6" s="1"/>
  <c r="AI17" i="6"/>
  <c r="AJ17" i="6" s="1"/>
  <c r="AI16" i="6"/>
  <c r="AJ16" i="6" s="1"/>
  <c r="AM30" i="6"/>
  <c r="AI27" i="6"/>
  <c r="AJ27" i="6" s="1"/>
  <c r="AI34" i="6"/>
  <c r="AJ34" i="6" s="1"/>
  <c r="AI23" i="6"/>
  <c r="AJ23" i="6" s="1"/>
  <c r="AI29" i="6"/>
  <c r="AJ29" i="6" s="1"/>
  <c r="AI24" i="6"/>
  <c r="AJ24" i="6" s="1"/>
  <c r="AI33" i="6"/>
  <c r="AJ33" i="6" s="1"/>
  <c r="AI31" i="6"/>
  <c r="AJ31" i="6" s="1"/>
  <c r="AI30" i="6"/>
  <c r="AJ30" i="6" s="1"/>
  <c r="AI28" i="6"/>
  <c r="AJ28" i="6" s="1"/>
  <c r="AI22" i="6"/>
  <c r="AJ22" i="6" s="1"/>
  <c r="AI32" i="6"/>
  <c r="AJ32" i="6" s="1"/>
  <c r="AI36" i="6"/>
  <c r="AJ36" i="6" s="1"/>
  <c r="AI26" i="6"/>
  <c r="AJ26" i="6" s="1"/>
  <c r="AI35" i="6"/>
  <c r="AJ35" i="6" s="1"/>
  <c r="AI25" i="6"/>
  <c r="AJ25" i="6" s="1"/>
  <c r="BD30" i="6"/>
  <c r="BE30" i="6"/>
  <c r="BF30" i="6"/>
  <c r="BG30" i="6"/>
  <c r="BH30" i="6"/>
  <c r="BI30" i="6"/>
  <c r="BJ30" i="6"/>
  <c r="BK30" i="6"/>
  <c r="BL30" i="6"/>
  <c r="BD31" i="6"/>
  <c r="BE31" i="6"/>
  <c r="BF31" i="6"/>
  <c r="BG31" i="6"/>
  <c r="BH31" i="6"/>
  <c r="BI31" i="6"/>
  <c r="BJ31" i="6"/>
  <c r="BK31" i="6"/>
  <c r="BL31" i="6"/>
  <c r="BD32" i="6"/>
  <c r="BE32" i="6"/>
  <c r="BF32" i="6"/>
  <c r="BG32" i="6"/>
  <c r="BH32" i="6"/>
  <c r="BI32" i="6"/>
  <c r="BJ32" i="6"/>
  <c r="BK32" i="6"/>
  <c r="BL32" i="6"/>
  <c r="BD33" i="6"/>
  <c r="BE33" i="6"/>
  <c r="BF33" i="6"/>
  <c r="BG33" i="6"/>
  <c r="BH33" i="6"/>
  <c r="BI33" i="6"/>
  <c r="BJ33" i="6"/>
  <c r="BK33" i="6"/>
  <c r="BL33" i="6"/>
  <c r="BD34" i="6"/>
  <c r="BE34" i="6"/>
  <c r="BF34" i="6"/>
  <c r="BG34" i="6"/>
  <c r="BH34" i="6"/>
  <c r="BI34" i="6"/>
  <c r="BJ34" i="6"/>
  <c r="BK34" i="6"/>
  <c r="BL34" i="6"/>
  <c r="BD35" i="6"/>
  <c r="BE35" i="6"/>
  <c r="BF35" i="6"/>
  <c r="BG35" i="6"/>
  <c r="BH35" i="6"/>
  <c r="BI35" i="6"/>
  <c r="BJ35" i="6"/>
  <c r="BK35" i="6"/>
  <c r="BL35" i="6"/>
  <c r="BD36" i="6"/>
  <c r="BE36" i="6"/>
  <c r="BF36" i="6"/>
  <c r="BG36" i="6"/>
  <c r="BH36" i="6"/>
  <c r="BI36" i="6"/>
  <c r="BJ36" i="6"/>
  <c r="BK36" i="6"/>
  <c r="BL36" i="6"/>
  <c r="BD37" i="6"/>
  <c r="BE37" i="6"/>
  <c r="BF37" i="6"/>
  <c r="BG37" i="6"/>
  <c r="BH37" i="6"/>
  <c r="BI37" i="6"/>
  <c r="BJ37" i="6"/>
  <c r="BK37" i="6"/>
  <c r="BL37" i="6"/>
  <c r="BD15" i="6"/>
  <c r="BE15" i="6"/>
  <c r="BF15" i="6"/>
  <c r="BG15" i="6"/>
  <c r="BH15" i="6"/>
  <c r="BI15" i="6"/>
  <c r="BJ15" i="6"/>
  <c r="BK15" i="6"/>
  <c r="BL15" i="6"/>
  <c r="BD16" i="6"/>
  <c r="BE16" i="6"/>
  <c r="BF16" i="6"/>
  <c r="BG16" i="6"/>
  <c r="BH16" i="6"/>
  <c r="BI16" i="6"/>
  <c r="BJ16" i="6"/>
  <c r="BK16" i="6"/>
  <c r="BL16" i="6"/>
  <c r="BD17" i="6"/>
  <c r="BE17" i="6"/>
  <c r="BF17" i="6"/>
  <c r="BG17" i="6"/>
  <c r="BH17" i="6"/>
  <c r="BI17" i="6"/>
  <c r="BJ17" i="6"/>
  <c r="BK17" i="6"/>
  <c r="BL17" i="6"/>
  <c r="BD18" i="6"/>
  <c r="BE18" i="6"/>
  <c r="BF18" i="6"/>
  <c r="BG18" i="6"/>
  <c r="BH18" i="6"/>
  <c r="BI18" i="6"/>
  <c r="BJ18" i="6"/>
  <c r="BK18" i="6"/>
  <c r="BL18" i="6"/>
  <c r="BD19" i="6"/>
  <c r="BE19" i="6"/>
  <c r="BF19" i="6"/>
  <c r="BG19" i="6"/>
  <c r="BH19" i="6"/>
  <c r="BI19" i="6"/>
  <c r="BJ19" i="6"/>
  <c r="BK19" i="6"/>
  <c r="BL19" i="6"/>
  <c r="BD20" i="6"/>
  <c r="BE20" i="6"/>
  <c r="BF20" i="6"/>
  <c r="BG20" i="6"/>
  <c r="BH20" i="6"/>
  <c r="BI20" i="6"/>
  <c r="BJ20" i="6"/>
  <c r="BK20" i="6"/>
  <c r="BL20" i="6"/>
  <c r="BD21" i="6"/>
  <c r="BE21" i="6"/>
  <c r="BF21" i="6"/>
  <c r="BG21" i="6"/>
  <c r="BH21" i="6"/>
  <c r="BI21" i="6"/>
  <c r="BJ21" i="6"/>
  <c r="BK21" i="6"/>
  <c r="BL21" i="6"/>
  <c r="BD22" i="6"/>
  <c r="BE22" i="6"/>
  <c r="BF22" i="6"/>
  <c r="BG22" i="6"/>
  <c r="BH22" i="6"/>
  <c r="BI22" i="6"/>
  <c r="BJ22" i="6"/>
  <c r="BK22" i="6"/>
  <c r="BL22" i="6"/>
  <c r="BD23" i="6"/>
  <c r="BE23" i="6"/>
  <c r="BF23" i="6"/>
  <c r="BG23" i="6"/>
  <c r="BH23" i="6"/>
  <c r="BI23" i="6"/>
  <c r="BJ23" i="6"/>
  <c r="BK23" i="6"/>
  <c r="BL23" i="6"/>
  <c r="BD24" i="6"/>
  <c r="BE24" i="6"/>
  <c r="BF24" i="6"/>
  <c r="BG24" i="6"/>
  <c r="BH24" i="6"/>
  <c r="BI24" i="6"/>
  <c r="BJ24" i="6"/>
  <c r="BK24" i="6"/>
  <c r="BL24" i="6"/>
  <c r="BD25" i="6"/>
  <c r="BE25" i="6"/>
  <c r="BF25" i="6"/>
  <c r="BG25" i="6"/>
  <c r="BH25" i="6"/>
  <c r="BI25" i="6"/>
  <c r="BJ25" i="6"/>
  <c r="BK25" i="6"/>
  <c r="BL25" i="6"/>
  <c r="BD26" i="6"/>
  <c r="BE26" i="6"/>
  <c r="BF26" i="6"/>
  <c r="BG26" i="6"/>
  <c r="BH26" i="6"/>
  <c r="BI26" i="6"/>
  <c r="BJ26" i="6"/>
  <c r="BK26" i="6"/>
  <c r="BL26" i="6"/>
  <c r="BD27" i="6"/>
  <c r="BE27" i="6"/>
  <c r="BF27" i="6"/>
  <c r="BG27" i="6"/>
  <c r="BH27" i="6"/>
  <c r="BI27" i="6"/>
  <c r="BJ27" i="6"/>
  <c r="BK27" i="6"/>
  <c r="BL27" i="6"/>
  <c r="BD28" i="6"/>
  <c r="BE28" i="6"/>
  <c r="BF28" i="6"/>
  <c r="BG28" i="6"/>
  <c r="BH28" i="6"/>
  <c r="BI28" i="6"/>
  <c r="BJ28" i="6"/>
  <c r="BK28" i="6"/>
  <c r="BL28" i="6"/>
  <c r="BD29" i="6"/>
  <c r="BE29" i="6"/>
  <c r="BF29" i="6"/>
  <c r="BG29" i="6"/>
  <c r="BH29" i="6"/>
  <c r="BI29" i="6"/>
  <c r="BJ29" i="6"/>
  <c r="BK29" i="6"/>
  <c r="BL29" i="6"/>
  <c r="AB15" i="6"/>
  <c r="AC15" i="6" s="1"/>
  <c r="AB16" i="6"/>
  <c r="AC16" i="6" s="1"/>
  <c r="AB17" i="6"/>
  <c r="AC17" i="6" s="1"/>
  <c r="AB18" i="6"/>
  <c r="AC18" i="6" s="1"/>
  <c r="AB19" i="6"/>
  <c r="AC19" i="6" s="1"/>
  <c r="AB20" i="6"/>
  <c r="AC20" i="6" s="1"/>
  <c r="AB21" i="6"/>
  <c r="AC21" i="6" s="1"/>
  <c r="AB22" i="6"/>
  <c r="AC22" i="6" s="1"/>
  <c r="AB23" i="6"/>
  <c r="AC23" i="6" s="1"/>
  <c r="AB24" i="6"/>
  <c r="AC24" i="6" s="1"/>
  <c r="AB25" i="6"/>
  <c r="AC25" i="6" s="1"/>
  <c r="AB26" i="6"/>
  <c r="AC26" i="6" s="1"/>
  <c r="AB27" i="6"/>
  <c r="AC27" i="6" s="1"/>
  <c r="AB28" i="6"/>
  <c r="AC28" i="6" s="1"/>
  <c r="AB29" i="6"/>
  <c r="AC29" i="6" s="1"/>
  <c r="AB30" i="6"/>
  <c r="AC30" i="6" s="1"/>
  <c r="AB31" i="6"/>
  <c r="AC31" i="6" s="1"/>
  <c r="AB32" i="6"/>
  <c r="AC32" i="6" s="1"/>
  <c r="AB33" i="6"/>
  <c r="AC33" i="6" s="1"/>
  <c r="AB34" i="6"/>
  <c r="AC34" i="6" s="1"/>
  <c r="AB35" i="6"/>
  <c r="AC35" i="6" s="1"/>
  <c r="AB36" i="6"/>
  <c r="AC36" i="6" s="1"/>
  <c r="AB37" i="6"/>
  <c r="AC37" i="6" s="1"/>
  <c r="AB14" i="6"/>
  <c r="AC14" i="6" s="1"/>
  <c r="BP31" i="6"/>
  <c r="BP30" i="6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U17" i="6" l="1"/>
  <c r="AV17" i="6"/>
  <c r="AU16" i="6"/>
  <c r="AV16" i="6"/>
  <c r="AK16" i="6"/>
  <c r="AL16" i="6" s="1"/>
  <c r="AU24" i="6"/>
  <c r="AV24" i="6"/>
  <c r="AU27" i="6"/>
  <c r="AV27" i="6"/>
  <c r="AV36" i="6"/>
  <c r="AU36" i="6"/>
  <c r="AU32" i="6"/>
  <c r="AV32" i="6"/>
  <c r="AN30" i="6"/>
  <c r="AU26" i="6"/>
  <c r="AV26" i="6"/>
  <c r="AV35" i="6"/>
  <c r="AU35" i="6"/>
  <c r="AV33" i="6"/>
  <c r="AU33" i="6"/>
  <c r="AV22" i="6"/>
  <c r="AU22" i="6"/>
  <c r="AV31" i="6"/>
  <c r="AU31" i="6"/>
  <c r="AK21" i="6"/>
  <c r="AL21" i="6" s="1"/>
  <c r="AV21" i="6"/>
  <c r="AU21" i="6"/>
  <c r="AN31" i="6"/>
  <c r="AQ31" i="6" s="1"/>
  <c r="AV30" i="6"/>
  <c r="AU30" i="6"/>
  <c r="AV20" i="6"/>
  <c r="AU20" i="6"/>
  <c r="AN29" i="6"/>
  <c r="AN35" i="6"/>
  <c r="AV19" i="6"/>
  <c r="AU19" i="6"/>
  <c r="AV37" i="6"/>
  <c r="AU37" i="6"/>
  <c r="AV25" i="6"/>
  <c r="AU25" i="6"/>
  <c r="AV34" i="6"/>
  <c r="AU34" i="6"/>
  <c r="AV23" i="6"/>
  <c r="AU23" i="6"/>
  <c r="AU29" i="6"/>
  <c r="AV29" i="6"/>
  <c r="AU28" i="6"/>
  <c r="AV28" i="6"/>
  <c r="AU18" i="6"/>
  <c r="AV18" i="6"/>
  <c r="AN16" i="6"/>
  <c r="AN34" i="6"/>
  <c r="AN28" i="6"/>
  <c r="AN22" i="6"/>
  <c r="AN27" i="6"/>
  <c r="AN25" i="6"/>
  <c r="AQ25" i="6" s="1"/>
  <c r="AN17" i="6"/>
  <c r="AQ17" i="6" s="1"/>
  <c r="AN37" i="6"/>
  <c r="AN21" i="6"/>
  <c r="AN24" i="6"/>
  <c r="AQ24" i="6" s="1"/>
  <c r="AN32" i="6"/>
  <c r="AN33" i="6"/>
  <c r="AN19" i="6"/>
  <c r="AN26" i="6"/>
  <c r="AK23" i="6"/>
  <c r="AL23" i="6" s="1"/>
  <c r="AN23" i="6"/>
  <c r="AQ23" i="6" s="1"/>
  <c r="AK36" i="6"/>
  <c r="AL36" i="6" s="1"/>
  <c r="AK26" i="6"/>
  <c r="AL26" i="6" s="1"/>
  <c r="AK37" i="6"/>
  <c r="AK27" i="6"/>
  <c r="AL27" i="6" s="1"/>
  <c r="AK17" i="6"/>
  <c r="AL17" i="6" s="1"/>
  <c r="AK33" i="6"/>
  <c r="AL33" i="6" s="1"/>
  <c r="AK25" i="6"/>
  <c r="AL25" i="6" s="1"/>
  <c r="AK35" i="6"/>
  <c r="AK34" i="6"/>
  <c r="AL34" i="6" s="1"/>
  <c r="AK24" i="6"/>
  <c r="AL24" i="6" s="1"/>
  <c r="AK30" i="6"/>
  <c r="AL30" i="6" s="1"/>
  <c r="AK20" i="6"/>
  <c r="AL20" i="6" s="1"/>
  <c r="AK32" i="6"/>
  <c r="AL32" i="6" s="1"/>
  <c r="AK22" i="6"/>
  <c r="AL22" i="6" s="1"/>
  <c r="AK31" i="6"/>
  <c r="AL31" i="6" s="1"/>
  <c r="AK19" i="6"/>
  <c r="AL19" i="6" s="1"/>
  <c r="AK29" i="6"/>
  <c r="AL29" i="6" s="1"/>
  <c r="AK28" i="6"/>
  <c r="AL28" i="6" s="1"/>
  <c r="AK18" i="6"/>
  <c r="AL18" i="6" s="1"/>
  <c r="AG26" i="6"/>
  <c r="AG27" i="6"/>
  <c r="AG28" i="6"/>
  <c r="AH28" i="6"/>
  <c r="AG35" i="6"/>
  <c r="AH35" i="6"/>
  <c r="AG15" i="6"/>
  <c r="AH15" i="6"/>
  <c r="AG36" i="6"/>
  <c r="AH36" i="6"/>
  <c r="AG17" i="6"/>
  <c r="AH17" i="6"/>
  <c r="AG34" i="6"/>
  <c r="AH34" i="6"/>
  <c r="AG22" i="6"/>
  <c r="AH22" i="6"/>
  <c r="AG32" i="6"/>
  <c r="AH32" i="6"/>
  <c r="AG31" i="6"/>
  <c r="AH31" i="6"/>
  <c r="AG21" i="6"/>
  <c r="AH21" i="6"/>
  <c r="AG24" i="6"/>
  <c r="AH24" i="6"/>
  <c r="AG23" i="6"/>
  <c r="AH23" i="6"/>
  <c r="AG20" i="6"/>
  <c r="AH20" i="6"/>
  <c r="AG14" i="6"/>
  <c r="AH14" i="6"/>
  <c r="AG19" i="6"/>
  <c r="AH19" i="6"/>
  <c r="AG16" i="6"/>
  <c r="AH16" i="6"/>
  <c r="AG25" i="6"/>
  <c r="AH25" i="6"/>
  <c r="AG33" i="6"/>
  <c r="AH33" i="6"/>
  <c r="AG30" i="6"/>
  <c r="AH30" i="6"/>
  <c r="AG29" i="6"/>
  <c r="AH29" i="6"/>
  <c r="AG37" i="6"/>
  <c r="AH37" i="6"/>
  <c r="AG18" i="6"/>
  <c r="AH18" i="6"/>
  <c r="F6" i="2"/>
  <c r="I49" i="2"/>
  <c r="I61" i="2"/>
  <c r="H55" i="2"/>
  <c r="H6" i="2"/>
  <c r="G61" i="2"/>
  <c r="H61" i="2"/>
  <c r="G55" i="2"/>
  <c r="I55" i="2"/>
  <c r="J49" i="2"/>
  <c r="BL14" i="6"/>
  <c r="BP29" i="6"/>
  <c r="BP28" i="6"/>
  <c r="BP27" i="6"/>
  <c r="BP26" i="6"/>
  <c r="BN27" i="6"/>
  <c r="BN28" i="6"/>
  <c r="BN29" i="6"/>
  <c r="AW17" i="6" l="1"/>
  <c r="AO17" i="6"/>
  <c r="AP17" i="6" s="1"/>
  <c r="AX17" i="6"/>
  <c r="AW37" i="6"/>
  <c r="AX37" i="6"/>
  <c r="AO37" i="6"/>
  <c r="AW16" i="6"/>
  <c r="AO16" i="6"/>
  <c r="AX16" i="6"/>
  <c r="AP24" i="6"/>
  <c r="AW24" i="6"/>
  <c r="AO24" i="6"/>
  <c r="AX24" i="6"/>
  <c r="AW34" i="6"/>
  <c r="AO34" i="6"/>
  <c r="AP34" i="6" s="1"/>
  <c r="AX34" i="6"/>
  <c r="AO28" i="6"/>
  <c r="AP28" i="6" s="1"/>
  <c r="AX28" i="6"/>
  <c r="AW28" i="6"/>
  <c r="AX31" i="6"/>
  <c r="AW31" i="6"/>
  <c r="AO31" i="6"/>
  <c r="AP31" i="6" s="1"/>
  <c r="AW27" i="6"/>
  <c r="AO27" i="6"/>
  <c r="AP27" i="6" s="1"/>
  <c r="AX27" i="6"/>
  <c r="AP29" i="6"/>
  <c r="AX29" i="6"/>
  <c r="AW29" i="6"/>
  <c r="AO29" i="6"/>
  <c r="AO36" i="6"/>
  <c r="AP36" i="6" s="1"/>
  <c r="AX36" i="6"/>
  <c r="AW36" i="6"/>
  <c r="AP20" i="6"/>
  <c r="AX20" i="6"/>
  <c r="AW20" i="6"/>
  <c r="AO20" i="6"/>
  <c r="AO32" i="6"/>
  <c r="AP32" i="6" s="1"/>
  <c r="AX32" i="6"/>
  <c r="AW32" i="6"/>
  <c r="AQ29" i="6"/>
  <c r="AQ21" i="6"/>
  <c r="AP19" i="6"/>
  <c r="AX19" i="6"/>
  <c r="AW19" i="6"/>
  <c r="AO19" i="6"/>
  <c r="AO26" i="6"/>
  <c r="AP26" i="6" s="1"/>
  <c r="AW26" i="6"/>
  <c r="AX26" i="6"/>
  <c r="AX30" i="6"/>
  <c r="AO30" i="6"/>
  <c r="AP30" i="6" s="1"/>
  <c r="AW30" i="6"/>
  <c r="AQ27" i="6"/>
  <c r="AW33" i="6"/>
  <c r="AX33" i="6"/>
  <c r="AO33" i="6"/>
  <c r="AP33" i="6" s="1"/>
  <c r="AX25" i="6"/>
  <c r="AW25" i="6"/>
  <c r="AO25" i="6"/>
  <c r="AP25" i="6" s="1"/>
  <c r="AP21" i="6"/>
  <c r="AX21" i="6"/>
  <c r="AW21" i="6"/>
  <c r="AO21" i="6"/>
  <c r="AQ19" i="6"/>
  <c r="AO18" i="6"/>
  <c r="AP18" i="6" s="1"/>
  <c r="AW18" i="6"/>
  <c r="AX18" i="6"/>
  <c r="AP23" i="6"/>
  <c r="AW23" i="6"/>
  <c r="AX23" i="6"/>
  <c r="AO23" i="6"/>
  <c r="AO22" i="6"/>
  <c r="AP22" i="6" s="1"/>
  <c r="AX22" i="6"/>
  <c r="AW22" i="6"/>
  <c r="AX35" i="6"/>
  <c r="AO35" i="6"/>
  <c r="AW35" i="6"/>
  <c r="AQ33" i="6"/>
  <c r="I6" i="2"/>
  <c r="G49" i="2"/>
  <c r="U71" i="6"/>
  <c r="BN26" i="6"/>
  <c r="BP25" i="6"/>
  <c r="BN25" i="6"/>
  <c r="BP24" i="6"/>
  <c r="BN24" i="6"/>
  <c r="CA23" i="6"/>
  <c r="BP23" i="6"/>
  <c r="BN23" i="6"/>
  <c r="CA22" i="6"/>
  <c r="BP22" i="6"/>
  <c r="BN22" i="6"/>
  <c r="BP21" i="6"/>
  <c r="BN21" i="6"/>
  <c r="BP20" i="6"/>
  <c r="BN20" i="6"/>
  <c r="BP19" i="6"/>
  <c r="BN19" i="6"/>
  <c r="BP18" i="6"/>
  <c r="BN18" i="6"/>
  <c r="CA17" i="6"/>
  <c r="BP17" i="6"/>
  <c r="BN17" i="6"/>
  <c r="CA16" i="6"/>
  <c r="BP16" i="6"/>
  <c r="BN16" i="6"/>
  <c r="BP15" i="6"/>
  <c r="BN15" i="6"/>
  <c r="BP14" i="6"/>
  <c r="BN14" i="6"/>
  <c r="BK14" i="6"/>
  <c r="BJ14" i="6"/>
  <c r="BI14" i="6"/>
  <c r="BH14" i="6"/>
  <c r="BG14" i="6"/>
  <c r="BF14" i="6"/>
  <c r="BE14" i="6"/>
  <c r="BD14" i="6"/>
  <c r="BV18" i="6" l="1"/>
  <c r="BX18" i="6" s="1"/>
  <c r="BV22" i="6"/>
  <c r="BX22" i="6" s="1"/>
  <c r="BV14" i="6"/>
  <c r="BX14" i="6" s="1"/>
  <c r="BV16" i="6"/>
  <c r="BX16" i="6" s="1"/>
  <c r="BV23" i="6"/>
  <c r="BX23" i="6" s="1"/>
  <c r="BV15" i="6"/>
  <c r="BX15" i="6" s="1"/>
  <c r="BV26" i="6"/>
  <c r="BV17" i="6"/>
  <c r="BX17" i="6" s="1"/>
  <c r="BV27" i="6"/>
  <c r="BV29" i="6"/>
  <c r="BV28" i="6"/>
  <c r="BV21" i="6"/>
  <c r="BX21" i="6" s="1"/>
  <c r="BV25" i="6"/>
  <c r="BV20" i="6"/>
  <c r="BV24" i="6"/>
  <c r="BV19" i="6"/>
  <c r="BY18" i="6" l="1"/>
  <c r="BZ18" i="6" s="1"/>
  <c r="BX29" i="6"/>
  <c r="BY29" i="6"/>
  <c r="BZ29" i="6" s="1"/>
  <c r="BY28" i="6"/>
  <c r="BZ28" i="6" s="1"/>
  <c r="BX28" i="6"/>
  <c r="BY26" i="6"/>
  <c r="BZ26" i="6" s="1"/>
  <c r="BX26" i="6"/>
  <c r="BY23" i="6"/>
  <c r="BZ23" i="6" s="1"/>
  <c r="BY27" i="6"/>
  <c r="BZ27" i="6" s="1"/>
  <c r="BX27" i="6"/>
  <c r="BY24" i="6"/>
  <c r="BZ24" i="6" s="1"/>
  <c r="BX24" i="6"/>
  <c r="BY17" i="6"/>
  <c r="BX19" i="6"/>
  <c r="BY19" i="6"/>
  <c r="BZ19" i="6" s="1"/>
  <c r="BY20" i="6"/>
  <c r="BZ20" i="6" s="1"/>
  <c r="BX20" i="6"/>
  <c r="BY21" i="6"/>
  <c r="BZ21" i="6" s="1"/>
  <c r="BY25" i="6"/>
  <c r="BZ25" i="6" s="1"/>
  <c r="BX25" i="6"/>
  <c r="BY16" i="6"/>
  <c r="BY22" i="6"/>
  <c r="CB23" i="6" l="1"/>
  <c r="BZ22" i="6"/>
  <c r="CB22" i="6"/>
  <c r="CB17" i="6"/>
  <c r="BZ17" i="6"/>
  <c r="BZ16" i="6"/>
  <c r="CB16" i="6"/>
  <c r="T35" i="2"/>
  <c r="X24" i="2"/>
  <c r="T21" i="2"/>
  <c r="T11" i="2"/>
  <c r="AB4" i="2"/>
  <c r="AB3" i="2"/>
  <c r="D19" i="5" l="1"/>
  <c r="D13" i="5"/>
  <c r="D16" i="5" l="1"/>
</calcChain>
</file>

<file path=xl/sharedStrings.xml><?xml version="1.0" encoding="utf-8"?>
<sst xmlns="http://schemas.openxmlformats.org/spreadsheetml/2006/main" count="1843" uniqueCount="450">
  <si>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</si>
  <si>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</si>
  <si>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</si>
  <si>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</si>
  <si>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</si>
  <si>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</si>
  <si>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</si>
  <si>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</si>
  <si>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</si>
  <si>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</si>
  <si>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</si>
  <si>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</si>
  <si>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</si>
  <si>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</si>
  <si>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</si>
  <si>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</si>
  <si>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</si>
  <si>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</si>
  <si>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</si>
  <si>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</si>
  <si>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</si>
  <si>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</si>
  <si>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</si>
  <si>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</si>
  <si>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</si>
  <si>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</si>
  <si>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Titer (g/L)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</si>
  <si>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</si>
  <si>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</si>
  <si>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</si>
  <si>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</si>
  <si>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</si>
  <si>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</si>
  <si>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</si>
  <si>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</si>
  <si>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</si>
  <si>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</si>
  <si>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</si>
  <si>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</si>
  <si>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</si>
  <si>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</si>
  <si>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</si>
  <si>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</si>
  <si>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</si>
  <si>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</si>
  <si>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</si>
  <si>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</si>
  <si>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</si>
  <si>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</si>
  <si>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</si>
  <si>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</si>
  <si>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</si>
  <si>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</si>
  <si>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</si>
  <si>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</si>
  <si>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</si>
  <si>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</si>
  <si>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</si>
  <si>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</si>
  <si>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</si>
  <si>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</si>
  <si>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</si>
  <si>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</si>
  <si>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</si>
  <si>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</si>
  <si>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</si>
  <si>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</si>
  <si>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</si>
  <si>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</si>
  <si>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</si>
  <si>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</si>
  <si>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</si>
  <si>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</si>
  <si>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</si>
  <si>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</si>
  <si>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</si>
  <si>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</si>
  <si>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</si>
  <si>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</si>
  <si>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</si>
  <si>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</si>
  <si>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</si>
  <si>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</si>
  <si>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</si>
  <si>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</si>
  <si>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</si>
  <si>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</si>
  <si>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</si>
  <si>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</si>
  <si>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</si>
  <si>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</si>
  <si>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</si>
  <si>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</si>
  <si>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</si>
  <si>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</si>
  <si>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</si>
  <si>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</si>
  <si>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</si>
  <si>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</si>
  <si>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</si>
  <si>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</si>
  <si>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</si>
  <si>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</si>
  <si>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</si>
  <si>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</si>
  <si>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</si>
  <si>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</si>
  <si>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</si>
  <si>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</si>
  <si>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</si>
  <si>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</si>
  <si>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</si>
  <si>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</si>
  <si>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</si>
  <si>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</si>
  <si>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</si>
  <si>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</si>
  <si>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</si>
  <si>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</si>
  <si>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</si>
  <si>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</si>
  <si>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</si>
  <si>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</si>
  <si>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</si>
  <si>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</si>
  <si>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</si>
  <si>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</si>
  <si>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</si>
  <si>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</si>
  <si>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</si>
  <si>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</si>
  <si>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</si>
  <si>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</si>
  <si>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</si>
  <si>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</si>
  <si>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</si>
  <si>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</si>
  <si>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</si>
  <si>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</si>
  <si>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</si>
  <si>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</si>
  <si>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</si>
  <si>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</si>
  <si>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</si>
  <si>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</si>
  <si>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</si>
  <si>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</si>
  <si>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</si>
  <si>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</si>
  <si>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</si>
  <si>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</si>
  <si>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</si>
  <si>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</si>
  <si>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</si>
  <si>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</si>
  <si>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</si>
  <si>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</si>
  <si>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</si>
  <si>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</si>
  <si>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</si>
  <si>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</si>
  <si>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</si>
  <si>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</si>
  <si>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</si>
  <si>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</si>
  <si>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</si>
  <si>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</si>
  <si>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</si>
  <si>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</si>
  <si>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</si>
  <si>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</si>
  <si>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</si>
  <si>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</si>
  <si>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</si>
  <si>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</si>
  <si>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</si>
  <si>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</si>
  <si>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</si>
  <si>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PPI Biostat Run #5.</t>
  </si>
  <si>
    <t>This biostat run will examine the morhpology and growth of Ylp on YPD100 medium.</t>
  </si>
  <si>
    <t>R3</t>
  </si>
  <si>
    <t>R4</t>
  </si>
  <si>
    <t>YPD100</t>
  </si>
  <si>
    <t>PPI_sixfor_bstat21Seed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</si>
  <si>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</si>
  <si>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</si>
  <si>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</si>
  <si>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</si>
  <si>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</si>
  <si>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</si>
  <si>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</si>
  <si>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</si>
  <si>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</si>
  <si>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</si>
  <si>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</si>
  <si>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</si>
  <si>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</si>
  <si>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</si>
  <si>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</si>
  <si>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</si>
  <si>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</si>
  <si>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</si>
  <si>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</si>
  <si>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</si>
  <si>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>Jeff_SloHot50_Biostat 2L-21-1</t>
  </si>
  <si>
    <t xml:space="preserve"> </t>
  </si>
  <si>
    <t>Jeff_SloHot50_Biostat 2L-21-2</t>
  </si>
  <si>
    <t>Jeff_SloHot50_Biostat 2L-21-3</t>
  </si>
  <si>
    <t>Jeff_SloHot50_Biostat 2L-21-4</t>
  </si>
  <si>
    <t>Jeff_SloHot50_Biostat 2L-21-5</t>
  </si>
  <si>
    <t>Jeff_SloHot50_Biostat 2L-21-6</t>
  </si>
  <si>
    <t>Jeff_SloHot50_Biostat 2L-21-7</t>
  </si>
  <si>
    <t>Jeff_SloHot50_Biostat 2L-21-8</t>
  </si>
  <si>
    <t>Jeff_SloHot50_Biostat 2L-21-9</t>
  </si>
  <si>
    <t>Jeff_SloHot50_Biostat 2L-21-10</t>
  </si>
  <si>
    <t>Jeff_SloHot50_Biostat 2L-21-11</t>
  </si>
  <si>
    <t>Jeff_SloHot50_Biostat 2L-21-12</t>
  </si>
  <si>
    <t>Jeff_SloHot50_Biostat 2L-21-13</t>
  </si>
  <si>
    <t>Jeff_SloHot50_Biostat 2L-21-14</t>
  </si>
  <si>
    <t>Jeff_SloHot50_Biostat 2L-21-17</t>
  </si>
  <si>
    <t>Jeff_SloHot50_Biostat 2L-21-18</t>
  </si>
  <si>
    <t>Jeff_SloHot50_Biostat 2L-21-21</t>
  </si>
  <si>
    <t>Jeff_SloHot50_Biostat 2L-21-22</t>
  </si>
  <si>
    <t>Biostat 21-23</t>
  </si>
  <si>
    <t>Biostat 21-24</t>
  </si>
  <si>
    <t>Biostat 21-19</t>
  </si>
  <si>
    <t>Biostat 21-20</t>
  </si>
  <si>
    <t>Biostat 21-15</t>
  </si>
  <si>
    <t>Biostat 21-16</t>
  </si>
  <si>
    <t>mg/mL</t>
  </si>
  <si>
    <t>N.D.</t>
  </si>
  <si>
    <t>CALIBRATION RANGE:</t>
  </si>
  <si>
    <t>Compound</t>
  </si>
  <si>
    <t>High Cal</t>
  </si>
  <si>
    <t>Low Cal</t>
  </si>
  <si>
    <t>C13:0</t>
  </si>
  <si>
    <t>C14:0</t>
  </si>
  <si>
    <t>C16:0</t>
  </si>
  <si>
    <t>C16:1 (cis9)</t>
  </si>
  <si>
    <t>C18:0</t>
  </si>
  <si>
    <t>C18:1 (cis 9)</t>
  </si>
  <si>
    <t>C18:2 (cis9,12)</t>
  </si>
  <si>
    <t>C21:0</t>
  </si>
  <si>
    <t>C24:0</t>
  </si>
  <si>
    <t xml:space="preserve">   Quantitation Report    (QT Reviewed)</t>
  </si>
  <si>
    <t xml:space="preserve">    Quantitation Report    (QT Reviewed)</t>
  </si>
  <si>
    <t xml:space="preserve">      Quantitation Report    (QT Reviewed)</t>
  </si>
  <si>
    <t xml:space="preserve">  Quantitation Report    (QT Reviewed)</t>
  </si>
  <si>
    <t xml:space="preserve">  Data Path : D:\MassHunter\GCMS\1\data\24-OCT-30-Jeff_FID_FAMES\</t>
  </si>
  <si>
    <t xml:space="preserve">  Signal(s) : FID1B.ch</t>
  </si>
  <si>
    <t xml:space="preserve">  Operator  :  </t>
  </si>
  <si>
    <t xml:space="preserve">  Misc      :  </t>
  </si>
  <si>
    <t xml:space="preserve">  Integration File: events.e</t>
  </si>
  <si>
    <t xml:space="preserve">  Quant Method : D:\MassHunter\GCMS\1\methods\FAMES_4_10_to_1_split_241031.M</t>
  </si>
  <si>
    <t xml:space="preserve">  Quant Title  :  </t>
  </si>
  <si>
    <t xml:space="preserve">  QLast Update : Fri Nov 08 08:00:02 2024</t>
  </si>
  <si>
    <t xml:space="preserve">  Response via : Initial Calibration</t>
  </si>
  <si>
    <t xml:space="preserve">  Integrator: ChemStation</t>
  </si>
  <si>
    <t xml:space="preserve">  Volume Inj.  : </t>
  </si>
  <si>
    <t xml:space="preserve">  Signal Phase : </t>
  </si>
  <si>
    <t xml:space="preserve">  Signal Info  : </t>
  </si>
  <si>
    <t xml:space="preserve">          Compound                     R.T.       Response    Conc Units</t>
  </si>
  <si>
    <t xml:space="preserve">   ---------------------------------------------------------------------------</t>
  </si>
  <si>
    <t xml:space="preserve">   Target Compounds</t>
  </si>
  <si>
    <t>1)</t>
  </si>
  <si>
    <t>2)</t>
  </si>
  <si>
    <t>m</t>
  </si>
  <si>
    <t>3)</t>
  </si>
  <si>
    <t>4)</t>
  </si>
  <si>
    <t>C16:1</t>
  </si>
  <si>
    <t>5)</t>
  </si>
  <si>
    <t>6)</t>
  </si>
  <si>
    <t>C18:1</t>
  </si>
  <si>
    <t>7)</t>
  </si>
  <si>
    <t>C18:2</t>
  </si>
  <si>
    <t>8)</t>
  </si>
  <si>
    <t>9)</t>
  </si>
  <si>
    <t xml:space="preserve">  (f)=RT Delta &gt; 1/2 Window                                (m)=manual int.</t>
  </si>
  <si>
    <t xml:space="preserve">     Quantitation Report    (QT Reviewed)</t>
  </si>
  <si>
    <t xml:space="preserve"> Quantitation Report    (QT Reviewed)</t>
  </si>
  <si>
    <t xml:space="preserve">  Data File : BioStat-2L_21_01.D                                  </t>
  </si>
  <si>
    <t xml:space="preserve">  Data File : BioStat-2L_21_02.D                                  </t>
  </si>
  <si>
    <t xml:space="preserve">  Data File : BioStat-2L_21_03.D                                  </t>
  </si>
  <si>
    <t xml:space="preserve">  Data File : BioStat-2L_21_04.D                                  </t>
  </si>
  <si>
    <t xml:space="preserve">  Data File : BioStat-2L_21_05.D                                  </t>
  </si>
  <si>
    <t xml:space="preserve">  Data File : BioStat-2L_21_06.D                                  </t>
  </si>
  <si>
    <t xml:space="preserve">  Data File : BioStat-2L_21_07.D                                  </t>
  </si>
  <si>
    <t xml:space="preserve">  Data File : BioStat-2L_21_08.D                                  </t>
  </si>
  <si>
    <t xml:space="preserve">  Data File : BioStat-2L_21_09.D                                  </t>
  </si>
  <si>
    <t xml:space="preserve">  Data File : BioStat-2L_21_10.D                                  </t>
  </si>
  <si>
    <t xml:space="preserve">  Data File : BioStat-2L_21_11.D                                  </t>
  </si>
  <si>
    <t xml:space="preserve">  Data File : BioStat-2L_21_12.D                                  </t>
  </si>
  <si>
    <t xml:space="preserve">  Acq On    : 31 Oct 2024  15:24</t>
  </si>
  <si>
    <t xml:space="preserve">  Acq On    : 31 Oct 2024  15:58</t>
  </si>
  <si>
    <t xml:space="preserve">  Acq On    : 31 Oct 2024  16:32</t>
  </si>
  <si>
    <t xml:space="preserve">  Acq On    : 31 Oct 2024  17:06</t>
  </si>
  <si>
    <t xml:space="preserve">  Acq On    : 31 Oct 2024  17:40</t>
  </si>
  <si>
    <t xml:space="preserve">  Acq On    : 31 Oct 2024  18:14</t>
  </si>
  <si>
    <t xml:space="preserve">  Acq On    : 31 Oct 2024  18:48</t>
  </si>
  <si>
    <t xml:space="preserve">  Acq On    : 31 Oct 2024  19:22</t>
  </si>
  <si>
    <t xml:space="preserve">  Acq On    : 31 Oct 2024  19:56</t>
  </si>
  <si>
    <t xml:space="preserve">  Acq On    : 31 Oct 2024  20:30</t>
  </si>
  <si>
    <t xml:space="preserve">  Acq On    : 31 Oct 2024  21:39</t>
  </si>
  <si>
    <t xml:space="preserve">  Acq On    : 31 Oct 2024  22:13</t>
  </si>
  <si>
    <t xml:space="preserve">  Sample    : BioStat-2L_21_01</t>
  </si>
  <si>
    <t xml:space="preserve">  Sample    : BioStat-2L_21_02</t>
  </si>
  <si>
    <t xml:space="preserve">  Sample    : BioStat-2L_21_03</t>
  </si>
  <si>
    <t xml:space="preserve">  Sample    : BioStat-2L_21_04</t>
  </si>
  <si>
    <t xml:space="preserve">  Sample    : BioStat-2L_21_05</t>
  </si>
  <si>
    <t xml:space="preserve">  Sample    : BioStat-2L_21_06</t>
  </si>
  <si>
    <t xml:space="preserve">  Sample    : BioStat-2L_21_07</t>
  </si>
  <si>
    <t xml:space="preserve">  Sample    : BioStat-2L_21_08</t>
  </si>
  <si>
    <t xml:space="preserve">  Sample    : BioStat-2L_21_09</t>
  </si>
  <si>
    <t xml:space="preserve">  Sample    : BioStat-2L_21_10</t>
  </si>
  <si>
    <t xml:space="preserve">  Sample    : BioStat-2L_21_11</t>
  </si>
  <si>
    <t xml:space="preserve">  Sample    : BioStat-2L_21_12</t>
  </si>
  <si>
    <t xml:space="preserve">  ALS Vial  : 46   Sample Multiplier: 1</t>
  </si>
  <si>
    <t xml:space="preserve">  ALS Vial  : 47   Sample Multiplier: 1</t>
  </si>
  <si>
    <t xml:space="preserve">  ALS Vial  : 48   Sample Multiplier: 1</t>
  </si>
  <si>
    <t xml:space="preserve">  ALS Vial  : 49   Sample Multiplier: 1</t>
  </si>
  <si>
    <t xml:space="preserve">  ALS Vial  : 50   Sample Multiplier: 1</t>
  </si>
  <si>
    <t xml:space="preserve">  ALS Vial  : 51   Sample Multiplier: 1</t>
  </si>
  <si>
    <t xml:space="preserve">  ALS Vial  : 52   Sample Multiplier: 1</t>
  </si>
  <si>
    <t xml:space="preserve">  ALS Vial  : 53   Sample Multiplier: 1</t>
  </si>
  <si>
    <t xml:space="preserve">  ALS Vial  : 54   Sample Multiplier: 1</t>
  </si>
  <si>
    <t xml:space="preserve">  ALS Vial  : 55   Sample Multiplier: 1</t>
  </si>
  <si>
    <t xml:space="preserve">  ALS Vial  : 57   Sample Multiplier: 1</t>
  </si>
  <si>
    <t xml:space="preserve">  ALS Vial  : 58   Sample Multiplier: 1</t>
  </si>
  <si>
    <t xml:space="preserve">  Quant Time: Nov 08 09:13:00 2024</t>
  </si>
  <si>
    <t xml:space="preserve">  Quant Time: Nov 08 09:13:42 2024</t>
  </si>
  <si>
    <t xml:space="preserve">  Quant Time: Nov 08 09:15:39 2024</t>
  </si>
  <si>
    <t xml:space="preserve">  Quant Time: Nov 08 09:16:07 2024</t>
  </si>
  <si>
    <t xml:space="preserve">  Quant Time: Nov 08 09:16:32 2024</t>
  </si>
  <si>
    <t xml:space="preserve">  Quant Time: Nov 08 09:16:58 2024</t>
  </si>
  <si>
    <t xml:space="preserve">  Quant Time: Nov 08 09:17:26 2024</t>
  </si>
  <si>
    <t xml:space="preserve">  Quant Time: Nov 08 09:17:57 2024</t>
  </si>
  <si>
    <t xml:space="preserve">  Quant Time: Nov 08 09:18:24 2024</t>
  </si>
  <si>
    <t xml:space="preserve">  Quant Time: Nov 08 09:18:59 2024</t>
  </si>
  <si>
    <t xml:space="preserve">  Quant Time: Nov 08 08:04:36 2024</t>
  </si>
  <si>
    <t xml:space="preserve">  Quant Time: Nov 08 09:19:54 2024</t>
  </si>
  <si>
    <t>d</t>
  </si>
  <si>
    <t xml:space="preserve">N.D.    </t>
  </si>
  <si>
    <t>0.380      m</t>
  </si>
  <si>
    <t xml:space="preserve">FAMES_4_10_...lit_241031.M Fri Nov 08 09:13:28 2024   </t>
  </si>
  <si>
    <t xml:space="preserve">FAMES_4_10_...lit_241031.M Fri Nov 08 09:15:28 2024   </t>
  </si>
  <si>
    <t xml:space="preserve">FAMES_4_10_...lit_241031.M Fri Nov 08 09:15:57 2024   </t>
  </si>
  <si>
    <t xml:space="preserve">FAMES_4_10_...lit_241031.M Fri Nov 08 09:16:23 2024   </t>
  </si>
  <si>
    <t xml:space="preserve">FAMES_4_10_...lit_241031.M Fri Nov 08 09:16:48 2024   </t>
  </si>
  <si>
    <t xml:space="preserve">FAMES_4_10_...lit_241031.M Fri Nov 08 09:17:15 2024   </t>
  </si>
  <si>
    <t xml:space="preserve">FAMES_4_10_...lit_241031.M Fri Nov 08 09:17:44 2024   </t>
  </si>
  <si>
    <t xml:space="preserve">FAMES_4_10_...lit_241031.M Fri Nov 08 09:18:14 2024   </t>
  </si>
  <si>
    <t xml:space="preserve">FAMES_4_10_...lit_241031.M Fri Nov 08 09:18:43 2024   </t>
  </si>
  <si>
    <t xml:space="preserve">FAMES_4_10_...lit_241031.M Fri Nov 08 09:19:15 2024   </t>
  </si>
  <si>
    <t xml:space="preserve">FAMES_4_10_...lit_241031.M Fri Nov 08 09:19:45 2024   </t>
  </si>
  <si>
    <t xml:space="preserve">FAMES_4_10_...lit_241031.M Fri Nov 08 09:20:11 2024   </t>
  </si>
  <si>
    <t xml:space="preserve">  Data File : BioStat-2L_21_13.D                                  </t>
  </si>
  <si>
    <t xml:space="preserve">  Data File : BioStat-2L_21_14.D                                  </t>
  </si>
  <si>
    <t xml:space="preserve">  Data File : BioStat-2L_21_15.D                                  </t>
  </si>
  <si>
    <t xml:space="preserve">  Data File : BioStat-2L_21_16.D                                  </t>
  </si>
  <si>
    <t xml:space="preserve">  Data File : BioStat-2L_21_17.D                                  </t>
  </si>
  <si>
    <t xml:space="preserve">  Data File : BioStat-2L_21_18.D                                  </t>
  </si>
  <si>
    <t xml:space="preserve">  Data File : BioStat-2L_21_19.D                                  </t>
  </si>
  <si>
    <t xml:space="preserve">  Data File : BioStat-2L_21_20.D                                  </t>
  </si>
  <si>
    <t xml:space="preserve">  Data File : BioStat-2L_21_21.D                                  </t>
  </si>
  <si>
    <t xml:space="preserve">  Data File : BioStat-2L_21_22.D                                  </t>
  </si>
  <si>
    <t xml:space="preserve">  Data File : BioStat-2L_21_23.D                                  </t>
  </si>
  <si>
    <t xml:space="preserve">  Data File : BioStat-2L_21_24.D                                  </t>
  </si>
  <si>
    <t xml:space="preserve">  Acq On    : 31 Oct 2024  22:47</t>
  </si>
  <si>
    <t xml:space="preserve">  Acq On    : 31 Oct 2024  23:21</t>
  </si>
  <si>
    <t xml:space="preserve">  Acq On    : 31 Oct 2024  23:55</t>
  </si>
  <si>
    <t xml:space="preserve">  Acq On    : 01 Nov 2024  00:29</t>
  </si>
  <si>
    <t xml:space="preserve">  Acq On    : 01 Nov 2024  01:03</t>
  </si>
  <si>
    <t xml:space="preserve">  Acq On    : 01 Nov 2024  01:37</t>
  </si>
  <si>
    <t xml:space="preserve">  Acq On    : 01 Nov 2024  02:11</t>
  </si>
  <si>
    <t xml:space="preserve">  Acq On    : 01 Nov 2024  02:45</t>
  </si>
  <si>
    <t xml:space="preserve">  Acq On    : 01 Nov 2024  03:19</t>
  </si>
  <si>
    <t xml:space="preserve">  Acq On    : 01 Nov 2024  03:54</t>
  </si>
  <si>
    <t xml:space="preserve">  Acq On    : 01 Nov 2024  04:28</t>
  </si>
  <si>
    <t xml:space="preserve">  Acq On    : 01 Nov 2024  05:02</t>
  </si>
  <si>
    <t xml:space="preserve">  Sample    : BioStat-2L_21_13</t>
  </si>
  <si>
    <t xml:space="preserve">  Sample    : BioStat-2L_21_14</t>
  </si>
  <si>
    <t xml:space="preserve">  Sample    : BioStat-2L_21_15</t>
  </si>
  <si>
    <t xml:space="preserve">  Sample    : BioStat-2L_21_16</t>
  </si>
  <si>
    <t xml:space="preserve">  Sample    : BioStat-2L_21_17</t>
  </si>
  <si>
    <t xml:space="preserve">  Sample    : BioStat-2L_21_18</t>
  </si>
  <si>
    <t xml:space="preserve">  Sample    : BioStat-2L_21_19</t>
  </si>
  <si>
    <t xml:space="preserve">  Sample    : BioStat-2L_21_20</t>
  </si>
  <si>
    <t xml:space="preserve">  Sample    : BioStat-2L_21_21</t>
  </si>
  <si>
    <t xml:space="preserve">  Sample    : BioStat-2L_21_22</t>
  </si>
  <si>
    <t xml:space="preserve">  Sample    : BioStat-2L_21_23</t>
  </si>
  <si>
    <t xml:space="preserve">  Sample    : BioStat-2L_21_24</t>
  </si>
  <si>
    <t xml:space="preserve">  ALS Vial  : 59   Sample Multiplier: 1</t>
  </si>
  <si>
    <t xml:space="preserve">  ALS Vial  : 60   Sample Multiplier: 1</t>
  </si>
  <si>
    <t xml:space="preserve">  ALS Vial  : 61   Sample Multiplier: 1</t>
  </si>
  <si>
    <t xml:space="preserve">  ALS Vial  : 62   Sample Multiplier: 1</t>
  </si>
  <si>
    <t xml:space="preserve">  ALS Vial  : 63   Sample Multiplier: 1</t>
  </si>
  <si>
    <t xml:space="preserve">  ALS Vial  : 64   Sample Multiplier: 1</t>
  </si>
  <si>
    <t xml:space="preserve">  ALS Vial  : 65   Sample Multiplier: 1</t>
  </si>
  <si>
    <t xml:space="preserve">  ALS Vial  : 66   Sample Multiplier: 1</t>
  </si>
  <si>
    <t xml:space="preserve">  ALS Vial  : 67   Sample Multiplier: 1</t>
  </si>
  <si>
    <t xml:space="preserve">  ALS Vial  : 68   Sample Multiplier: 1</t>
  </si>
  <si>
    <t xml:space="preserve">  ALS Vial  : 69   Sample Multiplier: 1</t>
  </si>
  <si>
    <t xml:space="preserve">  ALS Vial  : 70   Sample Multiplier: 1</t>
  </si>
  <si>
    <t xml:space="preserve">  Quant Time: Nov 08 09:20:24 2024</t>
  </si>
  <si>
    <t xml:space="preserve">  Quant Time: Nov 08 09:25:33 2024</t>
  </si>
  <si>
    <t xml:space="preserve">  Quant Time: Nov 08 09:26:30 2024</t>
  </si>
  <si>
    <t xml:space="preserve">  Quant Time: Nov 08 09:27:18 2024</t>
  </si>
  <si>
    <t xml:space="preserve">  Quant Time: Nov 08 09:27:44 2024</t>
  </si>
  <si>
    <t xml:space="preserve">  Quant Time: Nov 08 09:31:05 2024</t>
  </si>
  <si>
    <t xml:space="preserve">  Quant Time: Nov 08 09:32:00 2024</t>
  </si>
  <si>
    <t xml:space="preserve">  Quant Time: Nov 08 09:32:21 2024</t>
  </si>
  <si>
    <t xml:space="preserve">  Quant Time: Nov 08 09:32:54 2024</t>
  </si>
  <si>
    <t xml:space="preserve">  Quant Time: Nov 08 09:33:23 2024</t>
  </si>
  <si>
    <t xml:space="preserve">  Quant Time: Nov 08 09:33:50 2024</t>
  </si>
  <si>
    <t xml:space="preserve">  Quant Time: Nov 08 09:35:19 2024</t>
  </si>
  <si>
    <t>N.D.       d</t>
  </si>
  <si>
    <t xml:space="preserve">FAMES_4_10_...lit_241031.M Fri Nov 08 09:25:17 2024   </t>
  </si>
  <si>
    <t xml:space="preserve">FAMES_4_10_...lit_241031.M Fri Nov 08 09:25:53 2024   </t>
  </si>
  <si>
    <t xml:space="preserve">FAMES_4_10_...lit_241031.M Fri Nov 08 09:27:08 2024   </t>
  </si>
  <si>
    <t xml:space="preserve">FAMES_4_10_...lit_241031.M Fri Nov 08 09:27:35 2024   </t>
  </si>
  <si>
    <t xml:space="preserve">FAMES_4_10_...lit_241031.M Fri Nov 08 09:30:55 2024   </t>
  </si>
  <si>
    <t xml:space="preserve">FAMES_4_10_...lit_241031.M Fri Nov 08 09:31:28 2024   </t>
  </si>
  <si>
    <t xml:space="preserve">FAMES_4_10_...lit_241031.M Fri Nov 08 09:32:11 2024   </t>
  </si>
  <si>
    <t xml:space="preserve">FAMES_4_10_...lit_241031.M Fri Nov 08 09:32:40 2024   </t>
  </si>
  <si>
    <t xml:space="preserve">FAMES_4_10_...lit_241031.M Fri Nov 08 09:33:14 2024   </t>
  </si>
  <si>
    <t xml:space="preserve">FAMES_4_10_...lit_241031.M Fri Nov 08 09:33:40 2024   </t>
  </si>
  <si>
    <t xml:space="preserve">FAMES_4_10_...lit_241031.M Fri Nov 08 09:34:15 2024   </t>
  </si>
  <si>
    <t xml:space="preserve">FAMES_4_10_...lit_241031.M Fri Nov 08 09:35:48 2024   </t>
  </si>
  <si>
    <t>total (mg/mL)</t>
  </si>
  <si>
    <t>500 uL hexane</t>
  </si>
  <si>
    <t>total mg</t>
  </si>
  <si>
    <t>Fame bio weight (mg)</t>
  </si>
  <si>
    <t>OD600:DCW</t>
  </si>
  <si>
    <t>sugar consumed</t>
  </si>
  <si>
    <t>FAME (mg)</t>
  </si>
  <si>
    <t>FAME yield (g/g biomass)</t>
  </si>
  <si>
    <t>FAME titer (g/L)</t>
  </si>
  <si>
    <t>FAME yield (g/g substrate)</t>
  </si>
  <si>
    <t>yield total</t>
  </si>
  <si>
    <t>citrate yield</t>
  </si>
  <si>
    <t>citrate rate</t>
  </si>
  <si>
    <t>specific biomass yield (g/g substrate)</t>
  </si>
  <si>
    <t>specific citrate rate (g/L/h)</t>
  </si>
  <si>
    <t>specific citrate yield (g/g substrate)</t>
  </si>
  <si>
    <t>specific Fame (g/L/h)</t>
  </si>
  <si>
    <t>specific sugar consumed (g/L/h)</t>
  </si>
  <si>
    <t>specific sugar consumed (g/L)</t>
  </si>
  <si>
    <t>biomass rate</t>
  </si>
  <si>
    <t>specific biomass rate (g/L/h)</t>
  </si>
  <si>
    <t>FAME rate (g/L/h)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</si>
</sst>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%"/>
  </numFmts>
  <fonts count="1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7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8" fillId="0" borderId="2" xfId="0" applyFont="1" applyBorder="1"/>
    <xf numFmtId="0" fontId="0" fillId="5" borderId="2" xfId="0" applyFill="1" applyBorder="1"/>
    <xf numFmtId="166" fontId="0" fillId="5" borderId="2" xfId="0" applyNumberFormat="1" applyFill="1" applyBorder="1" applyAlignment="1">
      <alignment horizontal="center"/>
    </xf>
    <xf numFmtId="166" fontId="11" fillId="5" borderId="2" xfId="0" applyNumberFormat="1" applyFont="1" applyFill="1" applyBorder="1" applyAlignment="1">
      <alignment horizontal="center"/>
    </xf>
    <xf numFmtId="20" fontId="0" fillId="5" borderId="2" xfId="0" applyNumberFormat="1" applyFill="1" applyBorder="1"/>
    <xf numFmtId="0" fontId="0" fillId="8" borderId="0" xfId="0" applyFill="1"/>
    <xf numFmtId="0" fontId="12" fillId="0" borderId="0" xfId="0" applyFont="1"/>
    <xf numFmtId="167" fontId="0" fillId="0" borderId="0" xfId="3" applyNumberFormat="1" applyFont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2" fontId="4" fillId="0" borderId="0" xfId="0" applyNumberFormat="1" applyFont="1"/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</cellXfs>
  <cellStyles count="4">
    <cellStyle name="Calculation 2" xfId="2" xr:uid="{06963B33-0368-4743-9D6F-4480FB79EB78}"/>
    <cellStyle name="Good 2" xfId="1" xr:uid="{C73EABD3-7392-AD48-9677-784C96F12C21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1"/>
  <sheetViews>
    <sheetView workbookViewId="0">
      <selection activeCell="P23" sqref="P23:P24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178</v>
      </c>
    </row>
    <row r="3" spans="1:18" x14ac:dyDescent="0.2">
      <c r="B3" t="s">
        <v>179</v>
      </c>
    </row>
    <row r="4" spans="1:18" x14ac:dyDescent="0.2">
      <c r="B4" t="s">
        <v>151</v>
      </c>
    </row>
    <row r="7" spans="1:18" x14ac:dyDescent="0.2">
      <c r="A7" t="s">
        <v>166</v>
      </c>
      <c r="C7" t="s">
        <v>165</v>
      </c>
      <c r="D7" t="s">
        <v>158</v>
      </c>
    </row>
    <row r="8" spans="1:18" x14ac:dyDescent="0.2">
      <c r="C8" t="s">
        <v>53</v>
      </c>
      <c r="D8">
        <v>4.84</v>
      </c>
      <c r="E8" s="2">
        <v>45584</v>
      </c>
    </row>
    <row r="12" spans="1:18" x14ac:dyDescent="0.2">
      <c r="A12" t="s">
        <v>167</v>
      </c>
      <c r="F12" t="s">
        <v>170</v>
      </c>
    </row>
    <row r="13" spans="1:18" x14ac:dyDescent="0.2">
      <c r="B13" t="s">
        <v>54</v>
      </c>
      <c r="C13" t="s">
        <v>159</v>
      </c>
      <c r="D13" t="s">
        <v>115</v>
      </c>
      <c r="E13" t="s">
        <v>116</v>
      </c>
      <c r="F13" t="s">
        <v>169</v>
      </c>
      <c r="G13" t="s">
        <v>158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162</v>
      </c>
      <c r="O13" t="s">
        <v>0</v>
      </c>
      <c r="P13" t="s">
        <v>124</v>
      </c>
      <c r="Q13" t="s">
        <v>160</v>
      </c>
      <c r="R13" t="s">
        <v>128</v>
      </c>
    </row>
    <row r="14" spans="1:18" x14ac:dyDescent="0.2">
      <c r="B14" t="s">
        <v>12</v>
      </c>
      <c r="C14" t="s">
        <v>171</v>
      </c>
      <c r="D14" t="s">
        <v>164</v>
      </c>
      <c r="E14">
        <v>252</v>
      </c>
      <c r="I14" s="31"/>
      <c r="J14" s="2">
        <v>45585</v>
      </c>
      <c r="K14">
        <v>400</v>
      </c>
      <c r="L14" t="s">
        <v>163</v>
      </c>
      <c r="M14">
        <v>5.6</v>
      </c>
      <c r="N14">
        <v>30</v>
      </c>
      <c r="O14" t="s">
        <v>182</v>
      </c>
      <c r="P14" t="s">
        <v>161</v>
      </c>
      <c r="Q14" t="s">
        <v>183</v>
      </c>
    </row>
    <row r="15" spans="1:18" x14ac:dyDescent="0.2">
      <c r="B15" t="s">
        <v>52</v>
      </c>
      <c r="C15" t="s">
        <v>171</v>
      </c>
      <c r="D15" t="s">
        <v>164</v>
      </c>
      <c r="E15">
        <v>252</v>
      </c>
      <c r="I15" s="31"/>
      <c r="J15" s="2">
        <v>45585</v>
      </c>
      <c r="K15">
        <v>400</v>
      </c>
      <c r="L15" t="s">
        <v>163</v>
      </c>
      <c r="M15">
        <v>5.6</v>
      </c>
      <c r="N15">
        <v>30</v>
      </c>
      <c r="O15" t="s">
        <v>182</v>
      </c>
      <c r="P15" t="s">
        <v>161</v>
      </c>
      <c r="Q15" t="s">
        <v>183</v>
      </c>
    </row>
    <row r="16" spans="1:18" x14ac:dyDescent="0.2">
      <c r="B16" t="s">
        <v>180</v>
      </c>
      <c r="C16" t="s">
        <v>171</v>
      </c>
      <c r="D16" t="s">
        <v>164</v>
      </c>
      <c r="E16">
        <v>252</v>
      </c>
      <c r="J16" s="2">
        <v>45585</v>
      </c>
      <c r="K16">
        <v>400</v>
      </c>
      <c r="L16" t="s">
        <v>163</v>
      </c>
      <c r="M16">
        <v>5.6</v>
      </c>
      <c r="N16">
        <v>30</v>
      </c>
      <c r="O16" t="s">
        <v>182</v>
      </c>
      <c r="P16" t="s">
        <v>161</v>
      </c>
      <c r="Q16" t="s">
        <v>183</v>
      </c>
    </row>
    <row r="17" spans="1:17" x14ac:dyDescent="0.2">
      <c r="B17" t="s">
        <v>181</v>
      </c>
      <c r="C17" t="s">
        <v>171</v>
      </c>
      <c r="D17" t="s">
        <v>164</v>
      </c>
      <c r="E17">
        <v>252</v>
      </c>
      <c r="J17" s="2">
        <v>45585</v>
      </c>
      <c r="K17">
        <v>400</v>
      </c>
      <c r="L17" t="s">
        <v>163</v>
      </c>
      <c r="M17">
        <v>5.6</v>
      </c>
      <c r="N17">
        <v>30</v>
      </c>
      <c r="O17" t="s">
        <v>182</v>
      </c>
      <c r="P17" t="s">
        <v>161</v>
      </c>
      <c r="Q17" t="s">
        <v>183</v>
      </c>
    </row>
    <row r="21" spans="1:17" x14ac:dyDescent="0.2">
      <c r="A21" t="s">
        <v>168</v>
      </c>
    </row>
    <row r="22" spans="1:17" x14ac:dyDescent="0.2">
      <c r="B22" t="s">
        <v>54</v>
      </c>
      <c r="C22" t="s">
        <v>159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121</v>
      </c>
      <c r="K22" t="s">
        <v>122</v>
      </c>
      <c r="L22" t="s">
        <v>123</v>
      </c>
      <c r="M22" t="s">
        <v>162</v>
      </c>
      <c r="N22" t="s">
        <v>0</v>
      </c>
      <c r="O22" t="s">
        <v>124</v>
      </c>
      <c r="P22" t="s">
        <v>128</v>
      </c>
    </row>
    <row r="23" spans="1:17" x14ac:dyDescent="0.2">
      <c r="B23" t="s">
        <v>12</v>
      </c>
      <c r="C23" t="s">
        <v>184</v>
      </c>
      <c r="D23">
        <v>1.4</v>
      </c>
      <c r="E23">
        <v>1.5</v>
      </c>
      <c r="H23" s="31"/>
      <c r="I23" s="2"/>
      <c r="J23" s="12"/>
      <c r="K23" s="12"/>
      <c r="O23" t="s">
        <v>127</v>
      </c>
    </row>
    <row r="24" spans="1:17" x14ac:dyDescent="0.2">
      <c r="B24" t="s">
        <v>52</v>
      </c>
      <c r="C24" t="s">
        <v>184</v>
      </c>
      <c r="D24">
        <v>1.4</v>
      </c>
      <c r="E24">
        <v>1.5</v>
      </c>
      <c r="G24" s="12"/>
      <c r="H24" s="31"/>
      <c r="I24" s="2"/>
      <c r="J24" s="12"/>
      <c r="K24" s="12"/>
      <c r="O24" t="s">
        <v>127</v>
      </c>
    </row>
    <row r="26" spans="1:17" x14ac:dyDescent="0.2">
      <c r="H26" t="s">
        <v>152</v>
      </c>
    </row>
    <row r="27" spans="1:17" x14ac:dyDescent="0.2">
      <c r="H27" t="s">
        <v>153</v>
      </c>
      <c r="I27" t="s">
        <v>125</v>
      </c>
      <c r="J27" t="s">
        <v>126</v>
      </c>
    </row>
    <row r="28" spans="1:17" x14ac:dyDescent="0.2">
      <c r="H28" t="s">
        <v>172</v>
      </c>
      <c r="I28" t="s">
        <v>154</v>
      </c>
      <c r="J28" t="s">
        <v>174</v>
      </c>
    </row>
    <row r="29" spans="1:17" x14ac:dyDescent="0.2">
      <c r="H29" t="s">
        <v>173</v>
      </c>
      <c r="I29" t="s">
        <v>125</v>
      </c>
      <c r="J29" t="s">
        <v>155</v>
      </c>
      <c r="M29" t="s">
        <v>177</v>
      </c>
    </row>
    <row r="31" spans="1:17" x14ac:dyDescent="0.2">
      <c r="G31" t="s">
        <v>175</v>
      </c>
      <c r="H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abSelected="1" topLeftCell="A44" workbookViewId="0">
      <selection activeCell="B56" sqref="B56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55</v>
      </c>
    </row>
    <row r="2" spans="1:28" x14ac:dyDescent="0.2">
      <c r="B2" s="1" t="s">
        <v>1</v>
      </c>
      <c r="AA2" s="33">
        <v>4.4277893518518523</v>
      </c>
      <c r="AB2" t="s">
        <v>56</v>
      </c>
    </row>
    <row r="3" spans="1:28" x14ac:dyDescent="0.2">
      <c r="AA3" t="s">
        <v>57</v>
      </c>
      <c r="AB3">
        <f>106/16</f>
        <v>6.625</v>
      </c>
    </row>
    <row r="4" spans="1:28" x14ac:dyDescent="0.2">
      <c r="C4" t="s">
        <v>184</v>
      </c>
      <c r="P4" t="s">
        <v>59</v>
      </c>
      <c r="S4" s="1" t="s">
        <v>60</v>
      </c>
      <c r="AA4" t="s">
        <v>61</v>
      </c>
      <c r="AB4">
        <f>106</f>
        <v>106</v>
      </c>
    </row>
    <row r="5" spans="1:28" x14ac:dyDescent="0.2">
      <c r="B5">
        <v>1</v>
      </c>
      <c r="C5" s="1" t="s">
        <v>182</v>
      </c>
      <c r="D5" s="1" t="s">
        <v>66</v>
      </c>
      <c r="E5" s="1" t="s">
        <v>67</v>
      </c>
      <c r="F5" s="1" t="s">
        <v>192</v>
      </c>
      <c r="G5" s="1" t="s">
        <v>191</v>
      </c>
      <c r="H5" s="1" t="s">
        <v>69</v>
      </c>
      <c r="I5" s="1" t="s">
        <v>70</v>
      </c>
      <c r="J5" s="1" t="s">
        <v>71</v>
      </c>
      <c r="K5" s="1" t="s">
        <v>193</v>
      </c>
      <c r="L5" s="1" t="s">
        <v>194</v>
      </c>
      <c r="M5" s="1" t="s">
        <v>73</v>
      </c>
      <c r="O5" t="s">
        <v>63</v>
      </c>
      <c r="P5">
        <v>136.08600000000001</v>
      </c>
      <c r="T5" t="s">
        <v>64</v>
      </c>
      <c r="AA5" t="s">
        <v>65</v>
      </c>
      <c r="AB5">
        <v>16</v>
      </c>
    </row>
    <row r="6" spans="1:28" x14ac:dyDescent="0.2">
      <c r="C6">
        <v>10</v>
      </c>
      <c r="D6">
        <f>C6/D11</f>
        <v>1.6666666666666667</v>
      </c>
      <c r="E6" t="s">
        <v>185</v>
      </c>
      <c r="F6" s="6">
        <f>J6/K6</f>
        <v>74.801482209179852</v>
      </c>
      <c r="G6" s="6">
        <f>J6/L6</f>
        <v>59.777252876566799</v>
      </c>
      <c r="H6" s="6">
        <f>J6/M6</f>
        <v>453.22720309065477</v>
      </c>
      <c r="I6" s="6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t="s">
        <v>74</v>
      </c>
      <c r="P6">
        <v>132.13999999999999</v>
      </c>
      <c r="T6" s="1" t="s">
        <v>66</v>
      </c>
      <c r="U6" s="1" t="s">
        <v>67</v>
      </c>
      <c r="V6" t="s">
        <v>75</v>
      </c>
      <c r="X6" t="s">
        <v>76</v>
      </c>
    </row>
    <row r="7" spans="1:28" x14ac:dyDescent="0.2">
      <c r="C7">
        <v>20</v>
      </c>
      <c r="D7">
        <f>C7/D11</f>
        <v>3.3333333333333335</v>
      </c>
      <c r="E7" t="s">
        <v>186</v>
      </c>
      <c r="O7" t="s">
        <v>17</v>
      </c>
      <c r="P7">
        <v>180.15600000000001</v>
      </c>
      <c r="T7">
        <v>1</v>
      </c>
      <c r="U7" t="s">
        <v>63</v>
      </c>
      <c r="V7">
        <v>136.08600000000001</v>
      </c>
    </row>
    <row r="8" spans="1:28" x14ac:dyDescent="0.2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77</v>
      </c>
    </row>
    <row r="9" spans="1:28" x14ac:dyDescent="0.2">
      <c r="O9" t="s">
        <v>21</v>
      </c>
      <c r="P9" s="8">
        <v>92.093999999999994</v>
      </c>
      <c r="T9">
        <v>0.1</v>
      </c>
      <c r="U9" t="s">
        <v>78</v>
      </c>
    </row>
    <row r="10" spans="1:28" x14ac:dyDescent="0.2">
      <c r="D10" t="s">
        <v>197</v>
      </c>
      <c r="O10" t="s">
        <v>79</v>
      </c>
      <c r="P10">
        <v>59.043999999999997</v>
      </c>
      <c r="T10">
        <v>0.1</v>
      </c>
      <c r="U10" t="s">
        <v>80</v>
      </c>
    </row>
    <row r="11" spans="1:28" x14ac:dyDescent="0.2">
      <c r="D11">
        <v>6</v>
      </c>
      <c r="O11" s="1" t="s">
        <v>81</v>
      </c>
      <c r="P11">
        <v>192.19399999999999</v>
      </c>
      <c r="T11">
        <f>SUM(T7:T10)</f>
        <v>1.7000000000000002</v>
      </c>
      <c r="U11" t="s">
        <v>82</v>
      </c>
    </row>
    <row r="12" spans="1:28" x14ac:dyDescent="0.2">
      <c r="B12" t="s">
        <v>198</v>
      </c>
      <c r="C12" t="s">
        <v>203</v>
      </c>
      <c r="F12" t="s">
        <v>187</v>
      </c>
      <c r="G12" t="s">
        <v>188</v>
      </c>
      <c r="O12" t="s">
        <v>84</v>
      </c>
      <c r="P12">
        <v>53.491</v>
      </c>
      <c r="T12" t="s">
        <v>85</v>
      </c>
    </row>
    <row r="13" spans="1:28" x14ac:dyDescent="0.2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189</v>
      </c>
      <c r="F13">
        <v>14.2</v>
      </c>
      <c r="G13">
        <v>17.399999999999999</v>
      </c>
      <c r="O13" t="s">
        <v>86</v>
      </c>
      <c r="P13">
        <v>60.06</v>
      </c>
      <c r="T13" s="1" t="s">
        <v>87</v>
      </c>
      <c r="U13" s="1" t="s">
        <v>67</v>
      </c>
    </row>
    <row r="14" spans="1:28" x14ac:dyDescent="0.2">
      <c r="E14" t="s">
        <v>190</v>
      </c>
      <c r="F14">
        <v>9</v>
      </c>
      <c r="G14">
        <v>12</v>
      </c>
      <c r="T14">
        <v>500</v>
      </c>
      <c r="U14" t="s">
        <v>88</v>
      </c>
    </row>
    <row r="15" spans="1:28" x14ac:dyDescent="0.2">
      <c r="C15" t="s">
        <v>199</v>
      </c>
      <c r="D15" t="s">
        <v>38</v>
      </c>
      <c r="E15" t="s">
        <v>200</v>
      </c>
      <c r="T15">
        <v>40</v>
      </c>
      <c r="U15" t="s">
        <v>89</v>
      </c>
    </row>
    <row r="16" spans="1:28" x14ac:dyDescent="0.2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90</v>
      </c>
    </row>
    <row r="17" spans="20:24" x14ac:dyDescent="0.2">
      <c r="T17">
        <v>200</v>
      </c>
      <c r="U17" t="s">
        <v>91</v>
      </c>
    </row>
    <row r="18" spans="20:24" x14ac:dyDescent="0.2">
      <c r="T18">
        <v>400</v>
      </c>
      <c r="U18" t="s">
        <v>92</v>
      </c>
    </row>
    <row r="19" spans="20:24" x14ac:dyDescent="0.2">
      <c r="T19">
        <v>200</v>
      </c>
      <c r="U19" t="s">
        <v>93</v>
      </c>
    </row>
    <row r="20" spans="20:24" x14ac:dyDescent="0.2">
      <c r="T20">
        <v>400</v>
      </c>
      <c r="U20" t="s">
        <v>94</v>
      </c>
    </row>
    <row r="21" spans="20:24" x14ac:dyDescent="0.2">
      <c r="T21">
        <f>SUM(T14:T20)/1000000</f>
        <v>1.8400000000000001E-3</v>
      </c>
      <c r="U21" t="s">
        <v>82</v>
      </c>
    </row>
    <row r="22" spans="20:24" x14ac:dyDescent="0.2">
      <c r="T22" t="s">
        <v>95</v>
      </c>
    </row>
    <row r="23" spans="20:24" x14ac:dyDescent="0.2">
      <c r="T23" s="1" t="s">
        <v>87</v>
      </c>
      <c r="U23" s="1" t="s">
        <v>67</v>
      </c>
    </row>
    <row r="24" spans="20:24" x14ac:dyDescent="0.2">
      <c r="T24">
        <v>2</v>
      </c>
      <c r="U24" t="s">
        <v>96</v>
      </c>
      <c r="X24">
        <f>550*0.3</f>
        <v>165</v>
      </c>
    </row>
    <row r="25" spans="20:24" x14ac:dyDescent="0.2">
      <c r="T25">
        <v>400</v>
      </c>
      <c r="U25" t="s">
        <v>97</v>
      </c>
    </row>
    <row r="26" spans="20:24" x14ac:dyDescent="0.2">
      <c r="T26">
        <v>2</v>
      </c>
      <c r="U26" t="s">
        <v>99</v>
      </c>
    </row>
    <row r="27" spans="20:24" x14ac:dyDescent="0.2">
      <c r="T27" s="25">
        <v>2000</v>
      </c>
      <c r="U27" t="s">
        <v>101</v>
      </c>
    </row>
    <row r="28" spans="20:24" x14ac:dyDescent="0.2">
      <c r="T28">
        <v>400</v>
      </c>
      <c r="U28" t="s">
        <v>103</v>
      </c>
    </row>
    <row r="29" spans="20:24" x14ac:dyDescent="0.2">
      <c r="T29">
        <v>200</v>
      </c>
      <c r="U29" t="s">
        <v>105</v>
      </c>
    </row>
    <row r="30" spans="20:24" x14ac:dyDescent="0.2">
      <c r="T30">
        <v>400</v>
      </c>
      <c r="U30" t="s">
        <v>107</v>
      </c>
    </row>
    <row r="31" spans="20:24" x14ac:dyDescent="0.2">
      <c r="T31">
        <v>200</v>
      </c>
      <c r="U31" t="s">
        <v>108</v>
      </c>
    </row>
    <row r="32" spans="20:24" x14ac:dyDescent="0.2">
      <c r="T32">
        <v>400</v>
      </c>
      <c r="U32" t="s">
        <v>110</v>
      </c>
    </row>
    <row r="35" spans="3:21" x14ac:dyDescent="0.2">
      <c r="T35">
        <f>SUM(T24:T32)/1000000</f>
        <v>4.0039999999999997E-3</v>
      </c>
      <c r="U35" t="s">
        <v>82</v>
      </c>
    </row>
    <row r="46" spans="3:21" x14ac:dyDescent="0.2">
      <c r="E46" t="s">
        <v>58</v>
      </c>
    </row>
    <row r="47" spans="3:21" x14ac:dyDescent="0.2">
      <c r="C47" s="1" t="s">
        <v>62</v>
      </c>
      <c r="D47" s="34" t="s">
        <v>156</v>
      </c>
      <c r="G47" t="s">
        <v>202</v>
      </c>
      <c r="H47" t="s">
        <v>195</v>
      </c>
      <c r="L47" t="s">
        <v>195</v>
      </c>
      <c r="M47" t="s">
        <v>196</v>
      </c>
    </row>
    <row r="48" spans="3:21" x14ac:dyDescent="0.2">
      <c r="C48">
        <v>1</v>
      </c>
      <c r="D48" s="1" t="s">
        <v>83</v>
      </c>
      <c r="E48" s="1" t="s">
        <v>66</v>
      </c>
      <c r="F48" s="1" t="s">
        <v>67</v>
      </c>
      <c r="G48" s="1" t="s">
        <v>68</v>
      </c>
      <c r="H48" s="1" t="s">
        <v>68</v>
      </c>
      <c r="I48" s="1" t="s">
        <v>69</v>
      </c>
      <c r="J48" s="1" t="s">
        <v>70</v>
      </c>
      <c r="K48" s="1" t="s">
        <v>71</v>
      </c>
      <c r="L48" s="1" t="s">
        <v>72</v>
      </c>
      <c r="M48" s="1" t="s">
        <v>72</v>
      </c>
      <c r="N48" s="1" t="s">
        <v>73</v>
      </c>
      <c r="P48" s="1" t="s">
        <v>201</v>
      </c>
    </row>
    <row r="49" spans="2:16" x14ac:dyDescent="0.2">
      <c r="E49" s="39">
        <v>1.7</v>
      </c>
      <c r="F49" t="s">
        <v>60</v>
      </c>
      <c r="G49" s="6">
        <f>K49/L49</f>
        <v>72.692800834788557</v>
      </c>
      <c r="H49" s="6">
        <f>K49/M49</f>
        <v>70.388280740649634</v>
      </c>
      <c r="I49" s="6">
        <f>K49/N49</f>
        <v>453.22720309065477</v>
      </c>
      <c r="J49" s="6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>
        <f>E49*1.5</f>
        <v>2.5499999999999998</v>
      </c>
    </row>
    <row r="50" spans="2:16" x14ac:dyDescent="0.2">
      <c r="E50" s="39">
        <v>2.21</v>
      </c>
      <c r="F50" t="s">
        <v>84</v>
      </c>
      <c r="P50">
        <f t="shared" ref="P50:P52" si="0">E50*1.5</f>
        <v>3.3149999999999999</v>
      </c>
    </row>
    <row r="51" spans="2:16" x14ac:dyDescent="0.2">
      <c r="E51" s="39">
        <v>100</v>
      </c>
      <c r="F51" t="s">
        <v>17</v>
      </c>
      <c r="P51">
        <f t="shared" si="0"/>
        <v>150</v>
      </c>
    </row>
    <row r="52" spans="2:16" x14ac:dyDescent="0.2">
      <c r="E52" s="39">
        <v>0.7</v>
      </c>
      <c r="F52" t="s">
        <v>185</v>
      </c>
      <c r="P52">
        <f t="shared" si="0"/>
        <v>1.0499999999999998</v>
      </c>
    </row>
    <row r="53" spans="2:16" x14ac:dyDescent="0.2">
      <c r="E53" s="39"/>
    </row>
    <row r="54" spans="2:16" x14ac:dyDescent="0.2">
      <c r="C54">
        <v>2</v>
      </c>
      <c r="D54" s="1" t="s">
        <v>83</v>
      </c>
      <c r="E54" s="1" t="s">
        <v>66</v>
      </c>
      <c r="F54" s="1" t="s">
        <v>67</v>
      </c>
      <c r="G54" s="1" t="s">
        <v>68</v>
      </c>
      <c r="H54" s="1" t="s">
        <v>69</v>
      </c>
      <c r="I54" s="1" t="s">
        <v>70</v>
      </c>
      <c r="J54" s="1" t="s">
        <v>71</v>
      </c>
      <c r="K54" s="1" t="s">
        <v>72</v>
      </c>
      <c r="L54" s="1" t="s">
        <v>73</v>
      </c>
    </row>
    <row r="55" spans="2:16" x14ac:dyDescent="0.2">
      <c r="E55">
        <v>1.7</v>
      </c>
      <c r="F55" t="s">
        <v>60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84</v>
      </c>
    </row>
    <row r="57" spans="2:16" x14ac:dyDescent="0.2">
      <c r="E57">
        <v>50</v>
      </c>
      <c r="F57" t="s">
        <v>17</v>
      </c>
    </row>
    <row r="59" spans="2:16" x14ac:dyDescent="0.2">
      <c r="D59" s="35" t="s">
        <v>157</v>
      </c>
    </row>
    <row r="60" spans="2:16" x14ac:dyDescent="0.2">
      <c r="B60" s="1"/>
      <c r="D60" s="1" t="s">
        <v>83</v>
      </c>
      <c r="E60" s="1" t="s">
        <v>66</v>
      </c>
      <c r="F60" s="1" t="s">
        <v>67</v>
      </c>
      <c r="G60" s="1" t="s">
        <v>68</v>
      </c>
      <c r="H60" s="1" t="s">
        <v>69</v>
      </c>
      <c r="I60" s="1" t="s">
        <v>70</v>
      </c>
      <c r="J60" s="1" t="s">
        <v>71</v>
      </c>
      <c r="K60" s="1" t="s">
        <v>72</v>
      </c>
      <c r="L60" s="1" t="s">
        <v>73</v>
      </c>
    </row>
    <row r="61" spans="2:16" x14ac:dyDescent="0.2">
      <c r="E61">
        <v>1.7</v>
      </c>
      <c r="F61" t="s">
        <v>60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84</v>
      </c>
    </row>
    <row r="63" spans="2:16" x14ac:dyDescent="0.2">
      <c r="E63">
        <v>50</v>
      </c>
      <c r="F63" t="s">
        <v>17</v>
      </c>
    </row>
    <row r="67" spans="2:12" x14ac:dyDescent="0.2"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2:12" x14ac:dyDescent="0.2">
      <c r="B68" s="1"/>
    </row>
    <row r="70" spans="2:12" x14ac:dyDescent="0.2">
      <c r="B70" s="21" t="s">
        <v>32</v>
      </c>
    </row>
    <row r="73" spans="2:12" x14ac:dyDescent="0.2">
      <c r="D73" t="s">
        <v>98</v>
      </c>
    </row>
    <row r="74" spans="2:12" x14ac:dyDescent="0.2">
      <c r="E74" t="s">
        <v>100</v>
      </c>
    </row>
    <row r="75" spans="2:12" x14ac:dyDescent="0.2">
      <c r="E75" t="s">
        <v>102</v>
      </c>
    </row>
    <row r="76" spans="2:12" x14ac:dyDescent="0.2">
      <c r="E76" t="s">
        <v>104</v>
      </c>
    </row>
    <row r="77" spans="2:12" x14ac:dyDescent="0.2">
      <c r="E77" t="s">
        <v>106</v>
      </c>
    </row>
    <row r="79" spans="2:12" x14ac:dyDescent="0.2">
      <c r="D79" t="s">
        <v>109</v>
      </c>
    </row>
    <row r="80" spans="2:12" x14ac:dyDescent="0.2">
      <c r="E80" t="s">
        <v>111</v>
      </c>
    </row>
    <row r="81" spans="4:5" x14ac:dyDescent="0.2">
      <c r="E81" t="s">
        <v>112</v>
      </c>
    </row>
    <row r="82" spans="4:5" x14ac:dyDescent="0.2">
      <c r="E82" t="s">
        <v>113</v>
      </c>
    </row>
    <row r="84" spans="4:5" x14ac:dyDescent="0.2">
      <c r="D8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33</v>
      </c>
    </row>
    <row r="5" spans="1:2" x14ac:dyDescent="0.2">
      <c r="B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36</v>
      </c>
      <c r="D10">
        <v>1.25</v>
      </c>
      <c r="E10" t="s">
        <v>38</v>
      </c>
    </row>
    <row r="11" spans="2:9" x14ac:dyDescent="0.2">
      <c r="B11" t="s">
        <v>35</v>
      </c>
      <c r="D11">
        <v>1.41</v>
      </c>
      <c r="E11" t="s">
        <v>38</v>
      </c>
    </row>
    <row r="13" spans="2:9" x14ac:dyDescent="0.2">
      <c r="D13">
        <f>(D11-D10)*1000</f>
        <v>159.99999999999991</v>
      </c>
      <c r="E13" t="s">
        <v>37</v>
      </c>
    </row>
    <row r="14" spans="2:9" x14ac:dyDescent="0.2">
      <c r="D14">
        <v>236.5</v>
      </c>
      <c r="E14" t="s">
        <v>39</v>
      </c>
    </row>
    <row r="16" spans="2:9" x14ac:dyDescent="0.2">
      <c r="D16">
        <f>D13/D14</f>
        <v>0.67653276955602504</v>
      </c>
      <c r="E16" t="s">
        <v>40</v>
      </c>
    </row>
    <row r="18" spans="3:5" x14ac:dyDescent="0.2">
      <c r="D18">
        <v>1</v>
      </c>
      <c r="E18" t="s">
        <v>41</v>
      </c>
    </row>
    <row r="19" spans="3:5" x14ac:dyDescent="0.2">
      <c r="D19">
        <f>D11/D10</f>
        <v>1.1279999999999999</v>
      </c>
      <c r="E19" t="s">
        <v>42</v>
      </c>
    </row>
    <row r="24" spans="3:5" x14ac:dyDescent="0.2">
      <c r="C24" t="s">
        <v>44</v>
      </c>
      <c r="D24" t="s">
        <v>45</v>
      </c>
      <c r="E24">
        <v>4.1000000000000002E-2</v>
      </c>
    </row>
    <row r="25" spans="3:5" x14ac:dyDescent="0.2">
      <c r="D25" t="s">
        <v>46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CY76"/>
  <sheetViews>
    <sheetView showGridLines="0" topLeftCell="K7" zoomScale="88" zoomScaleNormal="125" workbookViewId="0">
      <selection activeCell="AF16" sqref="AF16"/>
    </sheetView>
  </sheetViews>
  <sheetFormatPr baseColWidth="10" defaultColWidth="11.1640625" defaultRowHeight="16" x14ac:dyDescent="0.2"/>
  <cols>
    <col min="2" max="2" width="36.1640625" customWidth="1"/>
    <col min="61" max="64" width="9.5" customWidth="1"/>
    <col min="65" max="65" width="10.6640625" customWidth="1"/>
    <col min="66" max="66" width="11.6640625" bestFit="1" customWidth="1"/>
    <col min="67" max="67" width="11.1640625" style="5"/>
    <col min="71" max="71" width="14" customWidth="1"/>
    <col min="72" max="72" width="14.6640625" customWidth="1"/>
    <col min="73" max="74" width="18.83203125" customWidth="1"/>
    <col min="75" max="75" width="18.33203125" style="15" customWidth="1"/>
    <col min="76" max="76" width="24.83203125" style="27" customWidth="1"/>
    <col min="77" max="79" width="24.83203125" customWidth="1"/>
    <col min="86" max="87" width="13.83203125" customWidth="1"/>
    <col min="88" max="88" width="19" customWidth="1"/>
    <col min="89" max="89" width="27" customWidth="1"/>
    <col min="90" max="90" width="20.33203125" customWidth="1"/>
    <col min="91" max="91" width="18.33203125" customWidth="1"/>
    <col min="92" max="93" width="11.6640625" bestFit="1" customWidth="1"/>
  </cols>
  <sheetData>
    <row r="2" spans="1:103" x14ac:dyDescent="0.2">
      <c r="BO2"/>
      <c r="BW2"/>
      <c r="BX2"/>
    </row>
    <row r="3" spans="1:103" x14ac:dyDescent="0.2">
      <c r="BO3"/>
      <c r="BW3"/>
      <c r="BX3"/>
    </row>
    <row r="4" spans="1:103" x14ac:dyDescent="0.2">
      <c r="BO4"/>
      <c r="BW4"/>
      <c r="BX4"/>
    </row>
    <row r="5" spans="1:103" x14ac:dyDescent="0.2">
      <c r="BO5"/>
      <c r="BW5"/>
      <c r="BX5"/>
    </row>
    <row r="6" spans="1:103" x14ac:dyDescent="0.2">
      <c r="BO6"/>
      <c r="BW6"/>
      <c r="BX6"/>
    </row>
    <row r="7" spans="1:103" x14ac:dyDescent="0.2">
      <c r="BO7"/>
      <c r="BW7"/>
      <c r="BX7"/>
    </row>
    <row r="8" spans="1:103" x14ac:dyDescent="0.2">
      <c r="BO8"/>
      <c r="BW8"/>
      <c r="BX8"/>
    </row>
    <row r="9" spans="1:103" x14ac:dyDescent="0.2">
      <c r="BO9"/>
      <c r="BW9"/>
      <c r="BX9"/>
    </row>
    <row r="10" spans="1:103" x14ac:dyDescent="0.2">
      <c r="BO10"/>
      <c r="BW10"/>
      <c r="BX10"/>
    </row>
    <row r="11" spans="1:103" x14ac:dyDescent="0.2">
      <c r="BO11"/>
      <c r="BW11"/>
      <c r="BX11"/>
    </row>
    <row r="12" spans="1:103" x14ac:dyDescent="0.2">
      <c r="V12" t="s">
        <v>129</v>
      </c>
      <c r="Y12" t="s">
        <v>130</v>
      </c>
      <c r="BA12" s="54" t="s">
        <v>14</v>
      </c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38"/>
      <c r="BN12" s="55" t="s">
        <v>27</v>
      </c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37"/>
    </row>
    <row r="13" spans="1:103" ht="68" x14ac:dyDescent="0.2">
      <c r="A13" s="3" t="s">
        <v>13</v>
      </c>
      <c r="B13" s="3" t="s">
        <v>15</v>
      </c>
      <c r="C13" s="3" t="s">
        <v>131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132</v>
      </c>
      <c r="L13" s="3" t="s">
        <v>133</v>
      </c>
      <c r="M13" s="3" t="s">
        <v>134</v>
      </c>
      <c r="N13" s="5" t="s">
        <v>149</v>
      </c>
      <c r="P13" s="51" t="s">
        <v>31</v>
      </c>
      <c r="Q13" s="51" t="s">
        <v>135</v>
      </c>
      <c r="R13" s="52" t="s">
        <v>136</v>
      </c>
      <c r="S13" s="52" t="s">
        <v>137</v>
      </c>
      <c r="T13" s="51" t="s">
        <v>138</v>
      </c>
      <c r="U13" s="51" t="s">
        <v>139</v>
      </c>
      <c r="V13" s="51" t="s">
        <v>140</v>
      </c>
      <c r="W13" s="51" t="s">
        <v>141</v>
      </c>
      <c r="X13" s="51" t="s">
        <v>142</v>
      </c>
      <c r="Y13" s="51" t="s">
        <v>28</v>
      </c>
      <c r="Z13" s="51" t="s">
        <v>29</v>
      </c>
      <c r="AA13" s="51" t="s">
        <v>143</v>
      </c>
      <c r="AB13" s="51" t="s">
        <v>144</v>
      </c>
      <c r="AC13" s="51" t="s">
        <v>30</v>
      </c>
      <c r="AD13" s="51" t="s">
        <v>431</v>
      </c>
      <c r="AE13" s="51" t="s">
        <v>434</v>
      </c>
      <c r="AF13" s="51" t="s">
        <v>435</v>
      </c>
      <c r="AG13" s="51" t="s">
        <v>436</v>
      </c>
      <c r="AH13" s="51" t="s">
        <v>432</v>
      </c>
      <c r="AI13" s="51" t="s">
        <v>446</v>
      </c>
      <c r="AJ13" s="51" t="s">
        <v>445</v>
      </c>
      <c r="AK13" s="51" t="s">
        <v>448</v>
      </c>
      <c r="AL13" s="51" t="s">
        <v>441</v>
      </c>
      <c r="AM13" s="51" t="s">
        <v>442</v>
      </c>
      <c r="AN13" s="51" t="s">
        <v>443</v>
      </c>
      <c r="AO13" s="51" t="s">
        <v>444</v>
      </c>
      <c r="AP13" s="51" t="s">
        <v>437</v>
      </c>
      <c r="AQ13" s="51" t="s">
        <v>438</v>
      </c>
      <c r="AR13" s="51" t="s">
        <v>433</v>
      </c>
      <c r="AS13" s="51" t="s">
        <v>440</v>
      </c>
      <c r="AT13" s="51" t="s">
        <v>439</v>
      </c>
      <c r="AU13" s="51" t="s">
        <v>447</v>
      </c>
      <c r="AV13" s="51" t="s">
        <v>148</v>
      </c>
      <c r="AW13" s="51" t="s">
        <v>449</v>
      </c>
      <c r="AX13" s="51" t="s">
        <v>437</v>
      </c>
      <c r="AY13" s="51"/>
      <c r="BA13" s="3" t="s">
        <v>131</v>
      </c>
      <c r="BB13" s="3" t="s">
        <v>16</v>
      </c>
      <c r="BC13" s="3" t="s">
        <v>17</v>
      </c>
      <c r="BD13" s="3" t="s">
        <v>18</v>
      </c>
      <c r="BE13" s="3" t="s">
        <v>19</v>
      </c>
      <c r="BF13" s="3" t="s">
        <v>20</v>
      </c>
      <c r="BG13" s="3" t="s">
        <v>21</v>
      </c>
      <c r="BH13" s="3" t="s">
        <v>22</v>
      </c>
      <c r="BI13" s="3" t="s">
        <v>132</v>
      </c>
      <c r="BJ13" s="3" t="s">
        <v>133</v>
      </c>
      <c r="BK13" s="3" t="s">
        <v>134</v>
      </c>
      <c r="BL13" s="3" t="s">
        <v>150</v>
      </c>
      <c r="BM13" s="5" t="s">
        <v>31</v>
      </c>
      <c r="BN13" s="11" t="s">
        <v>51</v>
      </c>
      <c r="BO13"/>
      <c r="BR13" s="10" t="s">
        <v>26</v>
      </c>
      <c r="BS13" s="7" t="s">
        <v>43</v>
      </c>
      <c r="BT13" s="7" t="s">
        <v>47</v>
      </c>
      <c r="BU13" s="7" t="s">
        <v>48</v>
      </c>
      <c r="BV13" s="7" t="s">
        <v>24</v>
      </c>
      <c r="BW13" s="7"/>
      <c r="BX13" s="7" t="s">
        <v>25</v>
      </c>
      <c r="BY13" s="7" t="s">
        <v>145</v>
      </c>
      <c r="BZ13" s="16" t="s">
        <v>146</v>
      </c>
      <c r="CA13" s="28" t="s">
        <v>147</v>
      </c>
      <c r="CB13" s="28" t="s">
        <v>148</v>
      </c>
      <c r="CC13" s="30"/>
      <c r="CD13" s="26"/>
      <c r="CE13" s="19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</row>
    <row r="14" spans="1:103" x14ac:dyDescent="0.2">
      <c r="A14" s="3"/>
      <c r="B14" s="3" t="s">
        <v>204</v>
      </c>
      <c r="C14" s="3" t="s">
        <v>205</v>
      </c>
      <c r="D14" s="3" t="s">
        <v>205</v>
      </c>
      <c r="E14" s="3">
        <v>9.9158100000000005</v>
      </c>
      <c r="F14" s="3" t="s">
        <v>205</v>
      </c>
      <c r="G14" s="3" t="s">
        <v>205</v>
      </c>
      <c r="H14" s="3" t="s">
        <v>205</v>
      </c>
      <c r="I14" s="3" t="s">
        <v>205</v>
      </c>
      <c r="J14" s="3" t="s">
        <v>205</v>
      </c>
      <c r="K14" s="3" t="s">
        <v>205</v>
      </c>
      <c r="L14" s="3"/>
      <c r="M14" s="3"/>
      <c r="N14" s="3"/>
      <c r="P14" s="2">
        <v>45586</v>
      </c>
      <c r="Q14" s="31">
        <v>0.39583333333333331</v>
      </c>
      <c r="R14">
        <v>0.5</v>
      </c>
      <c r="S14" t="s">
        <v>49</v>
      </c>
      <c r="T14">
        <v>1</v>
      </c>
      <c r="V14" t="s">
        <v>23</v>
      </c>
      <c r="W14" s="39">
        <v>1.085</v>
      </c>
      <c r="X14">
        <v>0</v>
      </c>
      <c r="Y14">
        <v>6.6757</v>
      </c>
      <c r="Z14">
        <v>6.6783000000000001</v>
      </c>
      <c r="AA14">
        <v>8</v>
      </c>
      <c r="AB14">
        <f>Z14-Y14</f>
        <v>2.6000000000001577E-3</v>
      </c>
      <c r="AC14" s="9">
        <f>AB14/(AA14/1000)</f>
        <v>0.32500000000001972</v>
      </c>
      <c r="AD14">
        <v>4</v>
      </c>
      <c r="AE14">
        <f>FAME!P118</f>
        <v>0.24149999999999999</v>
      </c>
      <c r="AF14" s="50">
        <f>AE14/AD14</f>
        <v>6.0374999999999998E-2</v>
      </c>
      <c r="AG14" s="9">
        <f>AF14*AC14</f>
        <v>1.962187500000119E-2</v>
      </c>
      <c r="AH14" s="9">
        <f>W14/AC14</f>
        <v>3.3384615384613356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>
        <f t="shared" ref="BA14:BA37" si="0">IF(ISNUMBER(C14),C14*1000/100,0)</f>
        <v>0</v>
      </c>
      <c r="BB14">
        <f t="shared" ref="BB14:BB37" si="1">IF(ISNUMBER(D14),D14*1000/100,0)</f>
        <v>0</v>
      </c>
      <c r="BC14">
        <f t="shared" ref="BC14:BC37" si="2">IF(ISNUMBER(E14),E14*1000/100,0)</f>
        <v>99.158100000000019</v>
      </c>
      <c r="BD14" t="str">
        <f t="shared" ref="BD14:BL14" si="3">IF(ISNUMBER(F14),F14*1000/100,"")</f>
        <v/>
      </c>
      <c r="BE14" t="str">
        <f t="shared" si="3"/>
        <v/>
      </c>
      <c r="BF14" t="str">
        <f t="shared" si="3"/>
        <v/>
      </c>
      <c r="BG14" t="str">
        <f t="shared" si="3"/>
        <v/>
      </c>
      <c r="BH14" t="str">
        <f t="shared" si="3"/>
        <v/>
      </c>
      <c r="BI14" t="str">
        <f t="shared" si="3"/>
        <v/>
      </c>
      <c r="BJ14" t="str">
        <f t="shared" si="3"/>
        <v/>
      </c>
      <c r="BK14" t="str">
        <f t="shared" si="3"/>
        <v/>
      </c>
      <c r="BL14" t="str">
        <f t="shared" si="3"/>
        <v/>
      </c>
      <c r="BM14" s="11"/>
      <c r="BN14" s="11" t="str">
        <f>S14</f>
        <v>r1</v>
      </c>
      <c r="BO14" s="6"/>
      <c r="BP14" t="str">
        <f t="shared" ref="BP14:BP21" si="4">B14</f>
        <v>Jeff_SloHot50_Biostat 2L-21-1</v>
      </c>
      <c r="BR14" s="5"/>
      <c r="BT14" s="6"/>
      <c r="BU14" s="6"/>
      <c r="BV14" s="6">
        <f>$BC$14-BC14</f>
        <v>0</v>
      </c>
      <c r="BW14" s="6"/>
      <c r="BX14" s="6">
        <f>BV14/R14</f>
        <v>0</v>
      </c>
      <c r="BY14" s="6"/>
      <c r="BZ14" s="17"/>
      <c r="CA14" s="15"/>
      <c r="CB14" s="15"/>
      <c r="CD14" s="14"/>
      <c r="CE14" s="14"/>
    </row>
    <row r="15" spans="1:103" x14ac:dyDescent="0.2">
      <c r="A15" s="3"/>
      <c r="B15" s="3" t="s">
        <v>206</v>
      </c>
      <c r="C15" s="3" t="s">
        <v>205</v>
      </c>
      <c r="D15" s="3" t="s">
        <v>205</v>
      </c>
      <c r="E15" s="3">
        <v>7.5081800000000003</v>
      </c>
      <c r="F15" s="3" t="s">
        <v>205</v>
      </c>
      <c r="G15" s="3" t="s">
        <v>205</v>
      </c>
      <c r="H15" s="3" t="s">
        <v>205</v>
      </c>
      <c r="I15" s="3" t="s">
        <v>205</v>
      </c>
      <c r="J15" s="3" t="s">
        <v>205</v>
      </c>
      <c r="K15" s="3">
        <v>0.46526000000000001</v>
      </c>
      <c r="L15" s="3"/>
      <c r="M15" s="3"/>
      <c r="N15" s="3"/>
      <c r="P15" s="2">
        <v>45586</v>
      </c>
      <c r="Q15" s="31">
        <v>0.39583333333333331</v>
      </c>
      <c r="R15">
        <v>0.5</v>
      </c>
      <c r="S15" t="s">
        <v>50</v>
      </c>
      <c r="T15">
        <v>2</v>
      </c>
      <c r="U15">
        <v>3</v>
      </c>
      <c r="V15" t="s">
        <v>23</v>
      </c>
      <c r="W15" s="39">
        <v>0.55500000000000005</v>
      </c>
      <c r="X15">
        <v>1</v>
      </c>
      <c r="Y15">
        <v>6.7434000000000003</v>
      </c>
      <c r="Z15">
        <v>6.7450000000000001</v>
      </c>
      <c r="AA15">
        <v>8</v>
      </c>
      <c r="AB15">
        <f t="shared" ref="AB15:AB37" si="5">Z15-Y15</f>
        <v>1.5999999999998238E-3</v>
      </c>
      <c r="AC15" s="9">
        <f t="shared" ref="AC15:AC37" si="6">AB15/(AA15/1000)</f>
        <v>0.19999999999997797</v>
      </c>
      <c r="AD15">
        <v>2</v>
      </c>
      <c r="AE15">
        <f>FAME!P119</f>
        <v>0.20300000000000001</v>
      </c>
      <c r="AF15" s="50">
        <f t="shared" ref="AF15:AF36" si="7">AE15/AD15</f>
        <v>0.10150000000000001</v>
      </c>
      <c r="AG15" s="9">
        <f t="shared" ref="AG15:AG37" si="8">AF15*AC15</f>
        <v>2.0299999999997764E-2</v>
      </c>
      <c r="AH15" s="9">
        <f t="shared" ref="AH15:AH37" si="9">W15/AC15</f>
        <v>2.7750000000003059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>
        <f t="shared" si="0"/>
        <v>0</v>
      </c>
      <c r="BB15">
        <f t="shared" si="1"/>
        <v>0</v>
      </c>
      <c r="BC15">
        <f t="shared" si="2"/>
        <v>75.081800000000001</v>
      </c>
      <c r="BD15" t="str">
        <f t="shared" ref="BD15:BD29" si="10">IF(ISNUMBER(F15),F15*1000/100,"")</f>
        <v/>
      </c>
      <c r="BE15" t="str">
        <f t="shared" ref="BE15:BE29" si="11">IF(ISNUMBER(G15),G15*1000/100,"")</f>
        <v/>
      </c>
      <c r="BF15" t="str">
        <f t="shared" ref="BF15:BF29" si="12">IF(ISNUMBER(H15),H15*1000/100,"")</f>
        <v/>
      </c>
      <c r="BG15" t="str">
        <f t="shared" ref="BG15:BG29" si="13">IF(ISNUMBER(I15),I15*1000/100,"")</f>
        <v/>
      </c>
      <c r="BH15" t="str">
        <f t="shared" ref="BH15:BH29" si="14">IF(ISNUMBER(J15),J15*1000/100,"")</f>
        <v/>
      </c>
      <c r="BI15">
        <f t="shared" ref="BI15:BI29" si="15">IF(ISNUMBER(K15),K15*1000/100,"")</f>
        <v>4.6525999999999996</v>
      </c>
      <c r="BJ15" t="str">
        <f t="shared" ref="BJ15:BJ29" si="16">IF(ISNUMBER(L15),L15*1000/100,"")</f>
        <v/>
      </c>
      <c r="BK15" t="str">
        <f t="shared" ref="BK15:BK29" si="17">IF(ISNUMBER(M15),M15*1000/100,"")</f>
        <v/>
      </c>
      <c r="BL15" t="str">
        <f t="shared" ref="BL15:BL29" si="18">IF(ISNUMBER(N15),N15*1000/100,"")</f>
        <v/>
      </c>
      <c r="BM15" s="11"/>
      <c r="BN15" s="11" t="str">
        <f>S15</f>
        <v>r2</v>
      </c>
      <c r="BO15" s="6"/>
      <c r="BP15" t="str">
        <f t="shared" si="4"/>
        <v>Jeff_SloHot50_Biostat 2L-21-2</v>
      </c>
      <c r="BQ15" s="9"/>
      <c r="BR15" s="32"/>
      <c r="BT15" s="6"/>
      <c r="BU15" s="6"/>
      <c r="BV15" s="6">
        <f>$BC$15-BC15</f>
        <v>0</v>
      </c>
      <c r="BW15" s="6"/>
      <c r="BX15" s="6">
        <f t="shared" ref="BX15:BX21" si="19">BV15/R15</f>
        <v>0</v>
      </c>
      <c r="BY15" s="6"/>
      <c r="BZ15" s="17"/>
      <c r="CA15" s="15"/>
      <c r="CB15" s="15"/>
      <c r="CD15" s="14"/>
      <c r="CE15" s="14"/>
    </row>
    <row r="16" spans="1:103" x14ac:dyDescent="0.2">
      <c r="A16" s="3"/>
      <c r="B16" s="3" t="s">
        <v>207</v>
      </c>
      <c r="C16" s="3">
        <v>1.323E-2</v>
      </c>
      <c r="D16" s="3" t="s">
        <v>205</v>
      </c>
      <c r="E16" s="3">
        <v>9.9204799999999995</v>
      </c>
      <c r="F16" s="3" t="s">
        <v>205</v>
      </c>
      <c r="G16" s="3" t="s">
        <v>205</v>
      </c>
      <c r="H16" s="3" t="s">
        <v>205</v>
      </c>
      <c r="I16" s="3" t="s">
        <v>205</v>
      </c>
      <c r="J16" s="3" t="s">
        <v>205</v>
      </c>
      <c r="K16" s="3" t="s">
        <v>205</v>
      </c>
      <c r="L16" s="3"/>
      <c r="M16" s="3"/>
      <c r="N16" s="3"/>
      <c r="P16" s="2">
        <v>45586</v>
      </c>
      <c r="Q16" s="31">
        <v>0.51041666666666663</v>
      </c>
      <c r="R16">
        <v>2.75</v>
      </c>
      <c r="S16" t="s">
        <v>49</v>
      </c>
      <c r="T16">
        <v>3</v>
      </c>
      <c r="U16">
        <v>3</v>
      </c>
      <c r="V16" t="s">
        <v>23</v>
      </c>
      <c r="W16">
        <v>2.7250000000000001</v>
      </c>
      <c r="X16">
        <v>1</v>
      </c>
      <c r="Y16">
        <v>6.7009999999999996</v>
      </c>
      <c r="Z16">
        <v>6.7150999999999996</v>
      </c>
      <c r="AA16">
        <v>8</v>
      </c>
      <c r="AB16">
        <f t="shared" si="5"/>
        <v>1.4100000000000001E-2</v>
      </c>
      <c r="AC16" s="9">
        <f t="shared" si="6"/>
        <v>1.7625000000000002</v>
      </c>
      <c r="AD16">
        <v>10</v>
      </c>
      <c r="AE16">
        <f>FAME!P120</f>
        <v>0.61849999999999994</v>
      </c>
      <c r="AF16" s="50">
        <f t="shared" si="7"/>
        <v>6.1849999999999995E-2</v>
      </c>
      <c r="AG16" s="9">
        <f t="shared" si="8"/>
        <v>0.109010625</v>
      </c>
      <c r="AH16" s="9">
        <f t="shared" si="9"/>
        <v>1.5460992907801416</v>
      </c>
      <c r="AI16" s="9">
        <f t="shared" ref="AI16:AI37" si="20">BC14-BC16</f>
        <v>-4.6699999999972874E-2</v>
      </c>
      <c r="AJ16" s="9">
        <f>AI16/(R16-R14)</f>
        <v>-2.0755555555543499E-2</v>
      </c>
      <c r="AK16" s="9">
        <f>(AC16-AC14)/(R16-R14)</f>
        <v>0.63888888888888018</v>
      </c>
      <c r="AL16" s="9">
        <f>AK16/AJ16</f>
        <v>-30.781584582458574</v>
      </c>
      <c r="AM16" s="9">
        <f>(BB16-BB14)/(R16-R14)</f>
        <v>0</v>
      </c>
      <c r="AN16" s="9">
        <f>AM16/AJ16</f>
        <v>0</v>
      </c>
      <c r="AO16" s="9">
        <f>(AG16-AG14)/(R16-R14)</f>
        <v>3.9728333333332803E-2</v>
      </c>
      <c r="AP16" s="9"/>
      <c r="AQ16" s="9"/>
      <c r="AR16" s="9">
        <f>$BC$16-BC16</f>
        <v>0</v>
      </c>
      <c r="AS16" s="9">
        <f>BB16/R16</f>
        <v>0</v>
      </c>
      <c r="AT16" s="9" t="e">
        <f>BB16/AR16</f>
        <v>#DIV/0!</v>
      </c>
      <c r="AU16" s="9">
        <f>AC16/R16</f>
        <v>0.64090909090909098</v>
      </c>
      <c r="AV16" s="9" t="e">
        <f t="shared" ref="AV16:AV22" si="21">AC16/AR16</f>
        <v>#DIV/0!</v>
      </c>
      <c r="AW16" s="9">
        <f>AG16/R16</f>
        <v>3.9640227272727271E-2</v>
      </c>
      <c r="AX16" s="9" t="e">
        <f>AG16/AR16</f>
        <v>#DIV/0!</v>
      </c>
      <c r="AY16" s="9"/>
      <c r="AZ16" s="9"/>
      <c r="BA16">
        <f t="shared" si="0"/>
        <v>0.1323</v>
      </c>
      <c r="BB16">
        <f t="shared" si="1"/>
        <v>0</v>
      </c>
      <c r="BC16">
        <f t="shared" si="2"/>
        <v>99.204799999999992</v>
      </c>
      <c r="BD16" t="str">
        <f t="shared" si="10"/>
        <v/>
      </c>
      <c r="BE16" t="str">
        <f t="shared" si="11"/>
        <v/>
      </c>
      <c r="BF16" t="str">
        <f t="shared" si="12"/>
        <v/>
      </c>
      <c r="BG16" t="str">
        <f t="shared" si="13"/>
        <v/>
      </c>
      <c r="BH16" t="str">
        <f t="shared" si="14"/>
        <v/>
      </c>
      <c r="BI16" t="str">
        <f t="shared" si="15"/>
        <v/>
      </c>
      <c r="BJ16" t="str">
        <f t="shared" si="16"/>
        <v/>
      </c>
      <c r="BK16" t="str">
        <f t="shared" si="17"/>
        <v/>
      </c>
      <c r="BL16" t="str">
        <f t="shared" si="18"/>
        <v/>
      </c>
      <c r="BM16" s="11"/>
      <c r="BN16" s="11" t="str">
        <f t="shared" ref="BN16:BN21" si="22">S16</f>
        <v>r1</v>
      </c>
      <c r="BO16" s="6"/>
      <c r="BP16" t="str">
        <f t="shared" si="4"/>
        <v>Jeff_SloHot50_Biostat 2L-21-3</v>
      </c>
      <c r="BQ16" s="9"/>
      <c r="BR16" s="32"/>
      <c r="BS16" s="6"/>
      <c r="BT16" s="13"/>
      <c r="BU16" s="13"/>
      <c r="BV16" s="6">
        <f>$BC$14-BC16</f>
        <v>-4.6699999999972874E-2</v>
      </c>
      <c r="BW16" s="6"/>
      <c r="BX16" s="6">
        <f>BV16/R16</f>
        <v>-1.6981818181808318E-2</v>
      </c>
      <c r="BY16" s="6">
        <f>BV16-BV14</f>
        <v>-4.6699999999972874E-2</v>
      </c>
      <c r="BZ16" s="17">
        <f>BY16/(R16-R14)</f>
        <v>-2.0755555555543499E-2</v>
      </c>
      <c r="CA16" s="17">
        <f>AC16-AC14</f>
        <v>1.4374999999999805</v>
      </c>
      <c r="CB16" s="18">
        <f>CA16/BY16</f>
        <v>-30.781584582458574</v>
      </c>
      <c r="CC16" s="8"/>
      <c r="CD16" s="20"/>
      <c r="CE16" s="14"/>
      <c r="CF16" s="14"/>
      <c r="CK16" s="9"/>
      <c r="CL16" s="9"/>
      <c r="CM16" s="6"/>
      <c r="CN16" s="6"/>
      <c r="CO16" s="6"/>
      <c r="CP16" s="9"/>
      <c r="CW16" s="6"/>
      <c r="CX16" s="6"/>
      <c r="CY16" s="6"/>
    </row>
    <row r="17" spans="1:103" x14ac:dyDescent="0.2">
      <c r="A17" s="3"/>
      <c r="B17" s="3" t="s">
        <v>208</v>
      </c>
      <c r="C17" s="3" t="s">
        <v>205</v>
      </c>
      <c r="D17" s="3" t="s">
        <v>205</v>
      </c>
      <c r="E17" s="3">
        <v>9.2828400000000002</v>
      </c>
      <c r="F17" s="3" t="s">
        <v>205</v>
      </c>
      <c r="G17" s="3" t="s">
        <v>205</v>
      </c>
      <c r="H17" s="3" t="s">
        <v>205</v>
      </c>
      <c r="I17" s="3" t="s">
        <v>205</v>
      </c>
      <c r="J17" s="3" t="s">
        <v>205</v>
      </c>
      <c r="K17" s="3">
        <v>0.1459</v>
      </c>
      <c r="L17" s="3"/>
      <c r="M17" s="3"/>
      <c r="N17" s="3"/>
      <c r="P17" s="2">
        <v>45586</v>
      </c>
      <c r="Q17" s="31">
        <v>0.51041666666666663</v>
      </c>
      <c r="R17">
        <v>2.75</v>
      </c>
      <c r="S17" t="s">
        <v>50</v>
      </c>
      <c r="T17">
        <v>4</v>
      </c>
      <c r="U17">
        <v>3</v>
      </c>
      <c r="V17" t="s">
        <v>23</v>
      </c>
      <c r="W17">
        <v>1.141</v>
      </c>
      <c r="X17">
        <v>2</v>
      </c>
      <c r="Y17">
        <v>6.6654</v>
      </c>
      <c r="Z17">
        <v>6.6721000000000004</v>
      </c>
      <c r="AA17">
        <v>8</v>
      </c>
      <c r="AB17">
        <f t="shared" si="5"/>
        <v>6.7000000000003723E-3</v>
      </c>
      <c r="AC17" s="9">
        <f t="shared" si="6"/>
        <v>0.83750000000004654</v>
      </c>
      <c r="AD17">
        <v>4</v>
      </c>
      <c r="AE17">
        <f>FAME!P121</f>
        <v>0.32700000000000001</v>
      </c>
      <c r="AF17" s="50">
        <f t="shared" si="7"/>
        <v>8.1750000000000003E-2</v>
      </c>
      <c r="AG17" s="9">
        <f t="shared" si="8"/>
        <v>6.8465625000003805E-2</v>
      </c>
      <c r="AH17" s="9">
        <f t="shared" si="9"/>
        <v>1.3623880597014169</v>
      </c>
      <c r="AI17" s="9">
        <f t="shared" si="20"/>
        <v>-17.746600000000001</v>
      </c>
      <c r="AJ17" s="9">
        <f>AI17/(R17-R15)</f>
        <v>-7.887377777777778</v>
      </c>
      <c r="AK17" s="53">
        <f t="shared" ref="AK17:AK37" si="23">(AC17-AC15)/(R17-R15)</f>
        <v>0.2833333333333638</v>
      </c>
      <c r="AL17" s="53">
        <f>AK17/AJ17</f>
        <v>-3.5922373863166386E-2</v>
      </c>
      <c r="AM17" s="9">
        <f t="shared" ref="AM17:AM37" si="24">(BB17-BB15)/(R17-R15)</f>
        <v>0</v>
      </c>
      <c r="AN17" s="9">
        <f t="shared" ref="AN17:AN22" si="25">AM17/AJ17</f>
        <v>0</v>
      </c>
      <c r="AO17" s="9">
        <f t="shared" ref="AO17:AO37" si="26">(AG17-AG15)/(R17-R15)</f>
        <v>2.1406944444447129E-2</v>
      </c>
      <c r="AP17" s="9">
        <f>AO17/AJ17</f>
        <v>-2.7140762174166339E-3</v>
      </c>
      <c r="AQ17" s="9">
        <f>AN17+AL17</f>
        <v>-3.5922373863166386E-2</v>
      </c>
      <c r="AR17" s="9">
        <f>$BC$17-BC17</f>
        <v>0</v>
      </c>
      <c r="AS17" s="9">
        <f t="shared" ref="AS17:AS37" si="27">BB17/R17</f>
        <v>0</v>
      </c>
      <c r="AT17" s="9" t="e">
        <f t="shared" ref="AT17:AT37" si="28">BB17/AR17</f>
        <v>#DIV/0!</v>
      </c>
      <c r="AU17" s="9">
        <f t="shared" ref="AU17:AU37" si="29">AC17/R17</f>
        <v>0.30454545454547149</v>
      </c>
      <c r="AV17" s="9" t="e">
        <f t="shared" si="21"/>
        <v>#DIV/0!</v>
      </c>
      <c r="AW17" s="9">
        <f t="shared" ref="AW17:AW37" si="30">AG17/R17</f>
        <v>2.4896590909092294E-2</v>
      </c>
      <c r="AX17" s="9" t="e">
        <f t="shared" ref="AX17:AX37" si="31">AG17/AR17</f>
        <v>#DIV/0!</v>
      </c>
      <c r="AY17" s="9"/>
      <c r="AZ17" s="9"/>
      <c r="BA17">
        <f t="shared" si="0"/>
        <v>0</v>
      </c>
      <c r="BB17">
        <f t="shared" si="1"/>
        <v>0</v>
      </c>
      <c r="BC17">
        <f t="shared" si="2"/>
        <v>92.828400000000002</v>
      </c>
      <c r="BD17" t="str">
        <f t="shared" si="10"/>
        <v/>
      </c>
      <c r="BE17" t="str">
        <f t="shared" si="11"/>
        <v/>
      </c>
      <c r="BF17" t="str">
        <f t="shared" si="12"/>
        <v/>
      </c>
      <c r="BG17" t="str">
        <f t="shared" si="13"/>
        <v/>
      </c>
      <c r="BH17" t="str">
        <f t="shared" si="14"/>
        <v/>
      </c>
      <c r="BI17">
        <f t="shared" si="15"/>
        <v>1.4590000000000001</v>
      </c>
      <c r="BJ17" t="str">
        <f t="shared" si="16"/>
        <v/>
      </c>
      <c r="BK17" t="str">
        <f t="shared" si="17"/>
        <v/>
      </c>
      <c r="BL17" t="str">
        <f t="shared" si="18"/>
        <v/>
      </c>
      <c r="BM17" s="11"/>
      <c r="BN17" s="11" t="str">
        <f t="shared" si="22"/>
        <v>r2</v>
      </c>
      <c r="BO17" s="6"/>
      <c r="BP17" t="str">
        <f t="shared" si="4"/>
        <v>Jeff_SloHot50_Biostat 2L-21-4</v>
      </c>
      <c r="BQ17" s="9"/>
      <c r="BR17" s="32"/>
      <c r="BS17" s="6"/>
      <c r="BT17" s="13"/>
      <c r="BU17" s="13"/>
      <c r="BV17" s="6">
        <f>$BC$15-BC17</f>
        <v>-17.746600000000001</v>
      </c>
      <c r="BW17" s="6"/>
      <c r="BX17" s="6">
        <f t="shared" si="19"/>
        <v>-6.4533090909090909</v>
      </c>
      <c r="BY17" s="6">
        <f t="shared" ref="BY17:BY25" si="32">BV17-BV15</f>
        <v>-17.746600000000001</v>
      </c>
      <c r="BZ17" s="17">
        <f t="shared" ref="BZ17:BZ21" si="33">BY17/(R17-R15)</f>
        <v>-7.887377777777778</v>
      </c>
      <c r="CA17" s="17">
        <f>AC17-AC15</f>
        <v>0.63750000000006857</v>
      </c>
      <c r="CB17" s="18">
        <f>CA17/BY17</f>
        <v>-3.5922373863166386E-2</v>
      </c>
      <c r="CC17" s="8"/>
      <c r="CD17" s="20"/>
      <c r="CE17" s="20"/>
      <c r="CF17" s="14"/>
      <c r="CK17" s="9"/>
      <c r="CL17" s="9"/>
      <c r="CM17" s="6"/>
      <c r="CN17" s="6"/>
      <c r="CO17" s="6"/>
      <c r="CP17" s="9"/>
      <c r="CW17" s="6"/>
      <c r="CX17" s="6"/>
      <c r="CY17" s="6"/>
    </row>
    <row r="18" spans="1:103" x14ac:dyDescent="0.2">
      <c r="A18" s="3"/>
      <c r="B18" s="3" t="s">
        <v>209</v>
      </c>
      <c r="C18" s="3">
        <v>1.575E-2</v>
      </c>
      <c r="D18" s="3" t="s">
        <v>205</v>
      </c>
      <c r="E18" s="3">
        <v>9.8346099999999996</v>
      </c>
      <c r="F18" s="3" t="s">
        <v>205</v>
      </c>
      <c r="G18" s="3" t="s">
        <v>205</v>
      </c>
      <c r="H18" s="3" t="s">
        <v>205</v>
      </c>
      <c r="I18" s="3" t="s">
        <v>205</v>
      </c>
      <c r="J18" s="3" t="s">
        <v>205</v>
      </c>
      <c r="K18" s="3" t="s">
        <v>205</v>
      </c>
      <c r="L18" s="3"/>
      <c r="M18" s="3"/>
      <c r="N18" s="3"/>
      <c r="P18" s="2">
        <v>45586</v>
      </c>
      <c r="Q18" s="31">
        <v>0.59375</v>
      </c>
      <c r="R18">
        <v>4.75</v>
      </c>
      <c r="S18" t="s">
        <v>49</v>
      </c>
      <c r="T18">
        <v>5</v>
      </c>
      <c r="U18">
        <v>3</v>
      </c>
      <c r="V18" t="s">
        <v>23</v>
      </c>
      <c r="W18" s="39">
        <v>5.1100000000000003</v>
      </c>
      <c r="X18">
        <v>2</v>
      </c>
      <c r="Y18">
        <v>6.6898</v>
      </c>
      <c r="Z18">
        <v>6.7092999999999998</v>
      </c>
      <c r="AA18">
        <v>8</v>
      </c>
      <c r="AB18">
        <f t="shared" si="5"/>
        <v>1.9499999999999851E-2</v>
      </c>
      <c r="AC18" s="9">
        <f t="shared" si="6"/>
        <v>2.4374999999999813</v>
      </c>
      <c r="AD18">
        <v>18</v>
      </c>
      <c r="AE18">
        <f>FAME!P122</f>
        <v>1.1595</v>
      </c>
      <c r="AF18" s="50">
        <f t="shared" si="7"/>
        <v>6.4416666666666664E-2</v>
      </c>
      <c r="AG18" s="9">
        <f t="shared" si="8"/>
        <v>0.1570156249999988</v>
      </c>
      <c r="AH18" s="9">
        <f t="shared" si="9"/>
        <v>2.0964102564102727</v>
      </c>
      <c r="AI18" s="9">
        <f t="shared" si="20"/>
        <v>0.85869999999999891</v>
      </c>
      <c r="AJ18" s="9">
        <f>AI18/(R18-R16)</f>
        <v>0.42934999999999945</v>
      </c>
      <c r="AK18" s="9">
        <f t="shared" si="23"/>
        <v>0.33749999999999059</v>
      </c>
      <c r="AL18" s="9">
        <f>AK18/AJ18</f>
        <v>0.78607196925583089</v>
      </c>
      <c r="AM18" s="9">
        <f t="shared" si="24"/>
        <v>0</v>
      </c>
      <c r="AN18" s="9">
        <f t="shared" si="25"/>
        <v>0</v>
      </c>
      <c r="AO18" s="9">
        <f t="shared" si="26"/>
        <v>2.4002499999999399E-2</v>
      </c>
      <c r="AP18" s="9">
        <f t="shared" ref="AP18:AP36" si="34">AO18/AJ18</f>
        <v>5.5904273902409291E-2</v>
      </c>
      <c r="AQ18" s="9"/>
      <c r="AR18" s="9">
        <f>$BC$16-BC18</f>
        <v>0.85869999999999891</v>
      </c>
      <c r="AS18" s="9">
        <f t="shared" si="27"/>
        <v>0</v>
      </c>
      <c r="AT18" s="9">
        <f>BB18/AR18</f>
        <v>0</v>
      </c>
      <c r="AU18" s="9">
        <f t="shared" si="29"/>
        <v>0.51315789473683815</v>
      </c>
      <c r="AV18" s="9">
        <f t="shared" si="21"/>
        <v>2.8385932223127801</v>
      </c>
      <c r="AW18" s="9">
        <f t="shared" si="30"/>
        <v>3.3055921052631325E-2</v>
      </c>
      <c r="AX18" s="9">
        <f t="shared" si="31"/>
        <v>0.1828527134039816</v>
      </c>
      <c r="AY18" s="9">
        <f>AT18+AV18</f>
        <v>2.8385932223127801</v>
      </c>
      <c r="AZ18" s="9"/>
      <c r="BA18">
        <f t="shared" si="0"/>
        <v>0.1575</v>
      </c>
      <c r="BB18">
        <f t="shared" si="1"/>
        <v>0</v>
      </c>
      <c r="BC18">
        <f t="shared" si="2"/>
        <v>98.346099999999993</v>
      </c>
      <c r="BD18" t="str">
        <f t="shared" si="10"/>
        <v/>
      </c>
      <c r="BE18" t="str">
        <f t="shared" si="11"/>
        <v/>
      </c>
      <c r="BF18" t="str">
        <f t="shared" si="12"/>
        <v/>
      </c>
      <c r="BG18" t="str">
        <f t="shared" si="13"/>
        <v/>
      </c>
      <c r="BH18" t="str">
        <f t="shared" si="14"/>
        <v/>
      </c>
      <c r="BI18" t="str">
        <f t="shared" si="15"/>
        <v/>
      </c>
      <c r="BJ18" t="str">
        <f t="shared" si="16"/>
        <v/>
      </c>
      <c r="BK18" t="str">
        <f t="shared" si="17"/>
        <v/>
      </c>
      <c r="BL18" t="str">
        <f t="shared" si="18"/>
        <v/>
      </c>
      <c r="BM18" s="11"/>
      <c r="BN18" s="11" t="str">
        <f t="shared" si="22"/>
        <v>r1</v>
      </c>
      <c r="BO18" s="6"/>
      <c r="BP18" t="str">
        <f t="shared" si="4"/>
        <v>Jeff_SloHot50_Biostat 2L-21-5</v>
      </c>
      <c r="BQ18" s="9"/>
      <c r="BR18" s="32"/>
      <c r="BS18" s="6"/>
      <c r="BT18" s="13"/>
      <c r="BU18" s="6"/>
      <c r="BV18" s="6">
        <f>$BC$14-BC18</f>
        <v>0.81200000000002603</v>
      </c>
      <c r="BW18" s="6"/>
      <c r="BX18" s="6">
        <f t="shared" si="19"/>
        <v>0.17094736842105812</v>
      </c>
      <c r="BY18" s="6">
        <f t="shared" si="32"/>
        <v>0.85869999999999891</v>
      </c>
      <c r="BZ18" s="17">
        <f t="shared" si="33"/>
        <v>0.42934999999999945</v>
      </c>
      <c r="CA18" s="17"/>
      <c r="CB18" s="18"/>
      <c r="CC18" s="8"/>
      <c r="CD18" s="20"/>
      <c r="CE18" s="20"/>
      <c r="CF18" s="8"/>
      <c r="CK18" s="9"/>
      <c r="CL18" s="9"/>
      <c r="CM18" s="6"/>
      <c r="CN18" s="6"/>
      <c r="CO18" s="6"/>
      <c r="CP18" s="9"/>
      <c r="CQ18" s="9"/>
      <c r="CR18" s="9"/>
      <c r="CW18" s="6"/>
      <c r="CX18" s="6"/>
      <c r="CY18" s="6"/>
    </row>
    <row r="19" spans="1:103" x14ac:dyDescent="0.2">
      <c r="A19" s="3"/>
      <c r="B19" s="3" t="s">
        <v>210</v>
      </c>
      <c r="C19" s="3">
        <v>8.7299999999999999E-3</v>
      </c>
      <c r="D19" s="3" t="s">
        <v>205</v>
      </c>
      <c r="E19" s="3">
        <v>9.2520100000000003</v>
      </c>
      <c r="F19" s="3" t="s">
        <v>205</v>
      </c>
      <c r="G19" s="3" t="s">
        <v>205</v>
      </c>
      <c r="H19" s="3" t="s">
        <v>205</v>
      </c>
      <c r="I19" s="3" t="s">
        <v>205</v>
      </c>
      <c r="J19" s="3" t="s">
        <v>205</v>
      </c>
      <c r="K19" s="3">
        <v>0.12404999999999999</v>
      </c>
      <c r="L19" s="3"/>
      <c r="M19" s="3"/>
      <c r="N19" s="3"/>
      <c r="P19" s="2">
        <v>45586</v>
      </c>
      <c r="Q19" s="31">
        <v>0.59375</v>
      </c>
      <c r="R19">
        <v>4.75</v>
      </c>
      <c r="S19" t="s">
        <v>50</v>
      </c>
      <c r="T19">
        <v>6</v>
      </c>
      <c r="U19">
        <v>3</v>
      </c>
      <c r="V19" t="s">
        <v>23</v>
      </c>
      <c r="W19" s="39">
        <v>2.5049999999999999</v>
      </c>
      <c r="X19">
        <v>16</v>
      </c>
      <c r="Y19">
        <v>6.6642000000000001</v>
      </c>
      <c r="Z19">
        <v>6.6746999999999996</v>
      </c>
      <c r="AA19">
        <v>8</v>
      </c>
      <c r="AB19">
        <f t="shared" si="5"/>
        <v>1.049999999999951E-2</v>
      </c>
      <c r="AC19" s="9">
        <f t="shared" si="6"/>
        <v>1.3124999999999387</v>
      </c>
      <c r="AD19">
        <v>9</v>
      </c>
      <c r="AE19">
        <f>FAME!P123</f>
        <v>0.59249999999999992</v>
      </c>
      <c r="AF19" s="50">
        <f t="shared" si="7"/>
        <v>6.5833333333333327E-2</v>
      </c>
      <c r="AG19" s="9">
        <f t="shared" si="8"/>
        <v>8.6406249999995952E-2</v>
      </c>
      <c r="AH19" s="9">
        <f t="shared" si="9"/>
        <v>1.9085714285715176</v>
      </c>
      <c r="AI19" s="9">
        <f t="shared" si="20"/>
        <v>0.30830000000000268</v>
      </c>
      <c r="AJ19" s="9">
        <f>AI19/(R19-R17)</f>
        <v>0.15415000000000134</v>
      </c>
      <c r="AK19" s="53">
        <f t="shared" si="23"/>
        <v>0.23749999999994609</v>
      </c>
      <c r="AL19" s="53">
        <f t="shared" ref="AL19:AL36" si="35">AK19/AJ19</f>
        <v>1.5407071034702824</v>
      </c>
      <c r="AM19" s="9">
        <f t="shared" si="24"/>
        <v>0</v>
      </c>
      <c r="AN19" s="9">
        <f t="shared" si="25"/>
        <v>0</v>
      </c>
      <c r="AO19" s="9">
        <f t="shared" si="26"/>
        <v>8.9703124999960734E-3</v>
      </c>
      <c r="AP19" s="9">
        <f>AO19/AJ19</f>
        <v>5.8192101848822543E-2</v>
      </c>
      <c r="AQ19" s="9">
        <f>AN19+AL19</f>
        <v>1.5407071034702824</v>
      </c>
      <c r="AR19" s="9">
        <f>$BC$17-BC19</f>
        <v>0.30830000000000268</v>
      </c>
      <c r="AS19" s="9">
        <f t="shared" si="27"/>
        <v>0</v>
      </c>
      <c r="AT19" s="9">
        <f t="shared" si="28"/>
        <v>0</v>
      </c>
      <c r="AU19" s="9">
        <f t="shared" si="29"/>
        <v>0.2763157894736713</v>
      </c>
      <c r="AV19" s="9">
        <f t="shared" si="21"/>
        <v>4.2572169964318105</v>
      </c>
      <c r="AW19" s="9">
        <f t="shared" si="30"/>
        <v>1.8190789473683359E-2</v>
      </c>
      <c r="AX19" s="9">
        <f t="shared" si="31"/>
        <v>0.28026678559842749</v>
      </c>
      <c r="AY19" s="9">
        <f t="shared" ref="AY19:AY37" si="36">AT19+AV19</f>
        <v>4.2572169964318105</v>
      </c>
      <c r="AZ19" s="9"/>
      <c r="BA19">
        <f t="shared" si="0"/>
        <v>8.7300000000000003E-2</v>
      </c>
      <c r="BB19">
        <f t="shared" si="1"/>
        <v>0</v>
      </c>
      <c r="BC19">
        <f t="shared" si="2"/>
        <v>92.520099999999999</v>
      </c>
      <c r="BD19" t="str">
        <f t="shared" si="10"/>
        <v/>
      </c>
      <c r="BE19" t="str">
        <f t="shared" si="11"/>
        <v/>
      </c>
      <c r="BF19" t="str">
        <f t="shared" si="12"/>
        <v/>
      </c>
      <c r="BG19" t="str">
        <f t="shared" si="13"/>
        <v/>
      </c>
      <c r="BH19" t="str">
        <f t="shared" si="14"/>
        <v/>
      </c>
      <c r="BI19">
        <f t="shared" si="15"/>
        <v>1.2404999999999999</v>
      </c>
      <c r="BJ19" t="str">
        <f t="shared" si="16"/>
        <v/>
      </c>
      <c r="BK19" t="str">
        <f t="shared" si="17"/>
        <v/>
      </c>
      <c r="BL19" t="str">
        <f t="shared" si="18"/>
        <v/>
      </c>
      <c r="BM19" s="11"/>
      <c r="BN19" s="11" t="str">
        <f t="shared" si="22"/>
        <v>r2</v>
      </c>
      <c r="BO19" s="6"/>
      <c r="BP19" t="str">
        <f t="shared" si="4"/>
        <v>Jeff_SloHot50_Biostat 2L-21-6</v>
      </c>
      <c r="BQ19" s="9"/>
      <c r="BR19" s="32"/>
      <c r="BS19" s="6"/>
      <c r="BT19" s="13"/>
      <c r="BU19" s="6"/>
      <c r="BV19" s="6">
        <f>$BC$15-BC19</f>
        <v>-17.438299999999998</v>
      </c>
      <c r="BW19" s="6"/>
      <c r="BX19" s="6">
        <f t="shared" si="19"/>
        <v>-3.6712210526315787</v>
      </c>
      <c r="BY19" s="6">
        <f t="shared" si="32"/>
        <v>0.30830000000000268</v>
      </c>
      <c r="BZ19" s="17">
        <f t="shared" si="33"/>
        <v>0.15415000000000134</v>
      </c>
      <c r="CA19" s="17"/>
      <c r="CB19" s="18"/>
      <c r="CC19" s="8"/>
      <c r="CD19" s="20"/>
      <c r="CE19" s="20"/>
      <c r="CF19" s="8"/>
      <c r="CK19" s="9"/>
      <c r="CL19" s="9"/>
      <c r="CM19" s="6"/>
      <c r="CN19" s="6"/>
      <c r="CO19" s="6"/>
      <c r="CP19" s="9"/>
      <c r="CQ19" s="9"/>
      <c r="CR19" s="9"/>
      <c r="CW19" s="6"/>
      <c r="CX19" s="6"/>
      <c r="CY19" s="6"/>
    </row>
    <row r="20" spans="1:103" x14ac:dyDescent="0.2">
      <c r="B20" s="3" t="s">
        <v>211</v>
      </c>
      <c r="C20" s="3">
        <v>2.4559999999999998E-2</v>
      </c>
      <c r="D20" s="3" t="s">
        <v>205</v>
      </c>
      <c r="E20" s="3">
        <v>9.6970700000000001</v>
      </c>
      <c r="F20" s="3" t="s">
        <v>205</v>
      </c>
      <c r="G20" s="3" t="s">
        <v>205</v>
      </c>
      <c r="H20" s="3" t="s">
        <v>205</v>
      </c>
      <c r="I20" s="3" t="s">
        <v>205</v>
      </c>
      <c r="J20" s="3" t="s">
        <v>205</v>
      </c>
      <c r="K20" s="3" t="s">
        <v>205</v>
      </c>
      <c r="L20" s="3"/>
      <c r="M20" s="3"/>
      <c r="N20" s="3"/>
      <c r="P20" s="2">
        <v>45586</v>
      </c>
      <c r="Q20" s="31">
        <v>0.66666666666666663</v>
      </c>
      <c r="R20">
        <v>6.5</v>
      </c>
      <c r="S20" t="s">
        <v>49</v>
      </c>
      <c r="T20">
        <v>7</v>
      </c>
      <c r="U20">
        <v>3</v>
      </c>
      <c r="V20" t="s">
        <v>23</v>
      </c>
      <c r="W20">
        <v>8.34</v>
      </c>
      <c r="X20">
        <v>2</v>
      </c>
      <c r="Y20">
        <v>6.7243000000000004</v>
      </c>
      <c r="Z20">
        <v>6.7619999999999996</v>
      </c>
      <c r="AA20">
        <v>8</v>
      </c>
      <c r="AB20">
        <f t="shared" si="5"/>
        <v>3.7699999999999179E-2</v>
      </c>
      <c r="AC20" s="9">
        <f t="shared" si="6"/>
        <v>4.7124999999998973</v>
      </c>
      <c r="AD20">
        <v>11</v>
      </c>
      <c r="AE20">
        <f>FAME!P124</f>
        <v>1.0589999999999999</v>
      </c>
      <c r="AF20" s="50">
        <f t="shared" si="7"/>
        <v>9.6272727272727274E-2</v>
      </c>
      <c r="AG20" s="9">
        <f t="shared" si="8"/>
        <v>0.45368522727271737</v>
      </c>
      <c r="AH20" s="9">
        <f t="shared" si="9"/>
        <v>1.7697612732095875</v>
      </c>
      <c r="AI20" s="9">
        <f t="shared" si="20"/>
        <v>1.3753999999999991</v>
      </c>
      <c r="AJ20" s="9">
        <f>AI20/(R20-R18)</f>
        <v>0.78594285714285661</v>
      </c>
      <c r="AK20" s="9">
        <f t="shared" si="23"/>
        <v>1.2999999999999521</v>
      </c>
      <c r="AL20" s="9">
        <f t="shared" si="35"/>
        <v>1.6540642722116603</v>
      </c>
      <c r="AM20" s="9">
        <f t="shared" si="24"/>
        <v>0</v>
      </c>
      <c r="AN20" s="9">
        <f t="shared" si="25"/>
        <v>0</v>
      </c>
      <c r="AO20" s="9">
        <f t="shared" si="26"/>
        <v>0.16952548701298203</v>
      </c>
      <c r="AP20" s="9">
        <f t="shared" si="34"/>
        <v>0.2156969625365121</v>
      </c>
      <c r="AQ20" s="9"/>
      <c r="AR20" s="9">
        <f>$BC$16-BC20</f>
        <v>2.234099999999998</v>
      </c>
      <c r="AS20" s="9">
        <f t="shared" si="27"/>
        <v>0</v>
      </c>
      <c r="AT20" s="9">
        <f t="shared" si="28"/>
        <v>0</v>
      </c>
      <c r="AU20" s="9">
        <f t="shared" si="29"/>
        <v>0.72499999999998421</v>
      </c>
      <c r="AV20" s="9">
        <f t="shared" si="21"/>
        <v>2.1093505214627375</v>
      </c>
      <c r="AW20" s="9">
        <f t="shared" si="30"/>
        <v>6.9797727272725749E-2</v>
      </c>
      <c r="AX20" s="9">
        <f t="shared" si="31"/>
        <v>0.20307292747536718</v>
      </c>
      <c r="AY20" s="9">
        <f t="shared" si="36"/>
        <v>2.1093505214627375</v>
      </c>
      <c r="AZ20" s="9"/>
      <c r="BA20">
        <f t="shared" si="0"/>
        <v>0.24559999999999998</v>
      </c>
      <c r="BB20">
        <f t="shared" si="1"/>
        <v>0</v>
      </c>
      <c r="BC20">
        <f t="shared" si="2"/>
        <v>96.970699999999994</v>
      </c>
      <c r="BD20" t="str">
        <f t="shared" si="10"/>
        <v/>
      </c>
      <c r="BE20" t="str">
        <f t="shared" si="11"/>
        <v/>
      </c>
      <c r="BF20" t="str">
        <f t="shared" si="12"/>
        <v/>
      </c>
      <c r="BG20" t="str">
        <f t="shared" si="13"/>
        <v/>
      </c>
      <c r="BH20" t="str">
        <f t="shared" si="14"/>
        <v/>
      </c>
      <c r="BI20" t="str">
        <f t="shared" si="15"/>
        <v/>
      </c>
      <c r="BJ20" t="str">
        <f t="shared" si="16"/>
        <v/>
      </c>
      <c r="BK20" t="str">
        <f t="shared" si="17"/>
        <v/>
      </c>
      <c r="BL20" t="str">
        <f t="shared" si="18"/>
        <v/>
      </c>
      <c r="BM20" s="11"/>
      <c r="BN20" s="11" t="str">
        <f t="shared" si="22"/>
        <v>r1</v>
      </c>
      <c r="BO20" s="6"/>
      <c r="BP20" t="str">
        <f t="shared" si="4"/>
        <v>Jeff_SloHot50_Biostat 2L-21-7</v>
      </c>
      <c r="BQ20" s="9"/>
      <c r="BR20" s="32"/>
      <c r="BS20" s="6"/>
      <c r="BT20" s="13"/>
      <c r="BU20" s="6"/>
      <c r="BV20" s="6">
        <f>$BC$14-BC20</f>
        <v>2.1874000000000251</v>
      </c>
      <c r="BW20" s="6"/>
      <c r="BX20" s="6">
        <f t="shared" si="19"/>
        <v>0.33652307692308081</v>
      </c>
      <c r="BY20" s="6">
        <f t="shared" si="32"/>
        <v>1.3753999999999991</v>
      </c>
      <c r="BZ20" s="17">
        <f t="shared" si="33"/>
        <v>0.78594285714285661</v>
      </c>
      <c r="CA20" s="17"/>
      <c r="CB20" s="18"/>
      <c r="CC20" s="8"/>
      <c r="CD20" s="20"/>
      <c r="CE20" s="20"/>
      <c r="CF20" s="8"/>
      <c r="CK20" s="8"/>
      <c r="CL20" s="9"/>
      <c r="CM20" s="6"/>
      <c r="CN20" s="6"/>
      <c r="CO20" s="6"/>
      <c r="CP20" s="9"/>
      <c r="CQ20" s="9"/>
      <c r="CR20" s="9"/>
      <c r="CW20" s="6"/>
      <c r="CX20" s="6"/>
      <c r="CY20" s="6"/>
    </row>
    <row r="21" spans="1:103" x14ac:dyDescent="0.2">
      <c r="B21" s="3" t="s">
        <v>212</v>
      </c>
      <c r="C21" s="3">
        <v>1.179E-2</v>
      </c>
      <c r="D21" s="3" t="s">
        <v>205</v>
      </c>
      <c r="E21" s="3">
        <v>9.0807599999999997</v>
      </c>
      <c r="F21" s="3" t="s">
        <v>205</v>
      </c>
      <c r="G21" s="3" t="s">
        <v>205</v>
      </c>
      <c r="H21" s="3" t="s">
        <v>205</v>
      </c>
      <c r="I21" s="3" t="s">
        <v>205</v>
      </c>
      <c r="J21" s="3" t="s">
        <v>205</v>
      </c>
      <c r="K21" s="3">
        <v>5.9569999999999998E-2</v>
      </c>
      <c r="L21" s="3"/>
      <c r="M21" s="3"/>
      <c r="N21" s="3"/>
      <c r="P21" s="2">
        <v>45586</v>
      </c>
      <c r="Q21" s="31">
        <v>0.66666666666666663</v>
      </c>
      <c r="R21">
        <v>6.5</v>
      </c>
      <c r="S21" t="s">
        <v>50</v>
      </c>
      <c r="T21">
        <v>8</v>
      </c>
      <c r="U21">
        <v>3</v>
      </c>
      <c r="V21" t="s">
        <v>23</v>
      </c>
      <c r="W21">
        <v>4.0999999999999996</v>
      </c>
      <c r="X21">
        <v>19</v>
      </c>
      <c r="Y21">
        <v>6.7055999999999996</v>
      </c>
      <c r="Z21">
        <v>6.7352999999999996</v>
      </c>
      <c r="AA21">
        <v>8</v>
      </c>
      <c r="AB21">
        <f t="shared" si="5"/>
        <v>2.970000000000006E-2</v>
      </c>
      <c r="AC21" s="9">
        <f t="shared" si="6"/>
        <v>3.7125000000000075</v>
      </c>
      <c r="AD21">
        <v>16</v>
      </c>
      <c r="AE21">
        <f>FAME!P125</f>
        <v>1.0915000000000001</v>
      </c>
      <c r="AF21" s="50">
        <f t="shared" si="7"/>
        <v>6.8218750000000009E-2</v>
      </c>
      <c r="AG21" s="9">
        <f t="shared" si="8"/>
        <v>0.25326210937500054</v>
      </c>
      <c r="AH21" s="9">
        <f t="shared" si="9"/>
        <v>1.104377104377102</v>
      </c>
      <c r="AI21" s="9">
        <f t="shared" si="20"/>
        <v>1.7124999999999915</v>
      </c>
      <c r="AJ21" s="9">
        <f t="shared" ref="AJ21:AJ37" si="37">AI21/(R21-R19)</f>
        <v>0.97857142857142365</v>
      </c>
      <c r="AK21" s="53">
        <f>(AC21-AC19)/(R21-R19)</f>
        <v>1.3714285714286107</v>
      </c>
      <c r="AL21" s="53">
        <f t="shared" si="35"/>
        <v>1.4014598540146457</v>
      </c>
      <c r="AM21" s="9">
        <f t="shared" si="24"/>
        <v>0</v>
      </c>
      <c r="AN21" s="9">
        <f t="shared" si="25"/>
        <v>0</v>
      </c>
      <c r="AO21" s="9">
        <f t="shared" si="26"/>
        <v>9.5346205357145469E-2</v>
      </c>
      <c r="AP21" s="9">
        <f t="shared" si="34"/>
        <v>9.7434078467156446E-2</v>
      </c>
      <c r="AQ21" s="9">
        <f>AN21+AL21</f>
        <v>1.4014598540146457</v>
      </c>
      <c r="AR21" s="9">
        <f>$BC$17-BC21</f>
        <v>2.0207999999999942</v>
      </c>
      <c r="AS21" s="9">
        <f t="shared" si="27"/>
        <v>0</v>
      </c>
      <c r="AT21" s="9">
        <f t="shared" si="28"/>
        <v>0</v>
      </c>
      <c r="AU21" s="9">
        <f t="shared" si="29"/>
        <v>0.57115384615384734</v>
      </c>
      <c r="AV21" s="9">
        <f t="shared" si="21"/>
        <v>1.8371437054631918</v>
      </c>
      <c r="AW21" s="9">
        <f t="shared" si="30"/>
        <v>3.8963401442307775E-2</v>
      </c>
      <c r="AX21" s="9">
        <f t="shared" si="31"/>
        <v>0.12532764715706715</v>
      </c>
      <c r="AY21" s="9">
        <f t="shared" si="36"/>
        <v>1.8371437054631918</v>
      </c>
      <c r="AZ21" s="9"/>
      <c r="BA21">
        <f t="shared" si="0"/>
        <v>0.1179</v>
      </c>
      <c r="BB21">
        <f t="shared" si="1"/>
        <v>0</v>
      </c>
      <c r="BC21">
        <f t="shared" si="2"/>
        <v>90.807600000000008</v>
      </c>
      <c r="BD21" t="str">
        <f t="shared" si="10"/>
        <v/>
      </c>
      <c r="BE21" t="str">
        <f t="shared" si="11"/>
        <v/>
      </c>
      <c r="BF21" t="str">
        <f t="shared" si="12"/>
        <v/>
      </c>
      <c r="BG21" t="str">
        <f t="shared" si="13"/>
        <v/>
      </c>
      <c r="BH21" t="str">
        <f t="shared" si="14"/>
        <v/>
      </c>
      <c r="BI21">
        <f t="shared" si="15"/>
        <v>0.59570000000000001</v>
      </c>
      <c r="BJ21" t="str">
        <f t="shared" si="16"/>
        <v/>
      </c>
      <c r="BK21" t="str">
        <f t="shared" si="17"/>
        <v/>
      </c>
      <c r="BL21" t="str">
        <f t="shared" si="18"/>
        <v/>
      </c>
      <c r="BM21" s="11"/>
      <c r="BN21" s="11" t="str">
        <f t="shared" si="22"/>
        <v>r2</v>
      </c>
      <c r="BO21" s="6"/>
      <c r="BP21" t="str">
        <f t="shared" si="4"/>
        <v>Jeff_SloHot50_Biostat 2L-21-8</v>
      </c>
      <c r="BQ21" s="9"/>
      <c r="BR21" s="32"/>
      <c r="BS21" s="6"/>
      <c r="BT21" s="13"/>
      <c r="BU21" s="6"/>
      <c r="BV21" s="6">
        <f>$BC$15-BC21</f>
        <v>-15.725800000000007</v>
      </c>
      <c r="BW21" s="6"/>
      <c r="BX21" s="6">
        <f t="shared" si="19"/>
        <v>-2.4193538461538471</v>
      </c>
      <c r="BY21" s="6">
        <f t="shared" si="32"/>
        <v>1.7124999999999915</v>
      </c>
      <c r="BZ21" s="17">
        <f t="shared" si="33"/>
        <v>0.97857142857142365</v>
      </c>
      <c r="CA21" s="17"/>
      <c r="CB21" s="18"/>
      <c r="CC21" s="8"/>
      <c r="CD21" s="20"/>
      <c r="CE21" s="20"/>
      <c r="CF21" s="8"/>
      <c r="CK21" s="8"/>
      <c r="CL21" s="9"/>
      <c r="CM21" s="6"/>
      <c r="CN21" s="6"/>
      <c r="CO21" s="6"/>
      <c r="CP21" s="9"/>
      <c r="CQ21" s="9"/>
      <c r="CR21" s="9"/>
      <c r="CW21" s="6"/>
      <c r="CX21" s="6"/>
      <c r="CY21" s="6"/>
    </row>
    <row r="22" spans="1:103" x14ac:dyDescent="0.2">
      <c r="B22" s="3" t="s">
        <v>213</v>
      </c>
      <c r="C22" s="3">
        <v>4.2659999999999997E-2</v>
      </c>
      <c r="D22" s="3">
        <v>0.61992999999999998</v>
      </c>
      <c r="E22" s="3">
        <v>7.6309100000000001</v>
      </c>
      <c r="F22" s="3" t="s">
        <v>205</v>
      </c>
      <c r="G22" s="3" t="s">
        <v>205</v>
      </c>
      <c r="H22" s="3" t="s">
        <v>205</v>
      </c>
      <c r="I22" s="3" t="s">
        <v>205</v>
      </c>
      <c r="J22" s="3" t="s">
        <v>205</v>
      </c>
      <c r="K22" s="3" t="s">
        <v>205</v>
      </c>
      <c r="L22" s="3"/>
      <c r="M22" s="3"/>
      <c r="N22" s="3"/>
      <c r="P22" s="2">
        <v>45587</v>
      </c>
      <c r="Q22" s="31">
        <v>0.27083333333333331</v>
      </c>
      <c r="R22">
        <v>21</v>
      </c>
      <c r="S22" t="s">
        <v>49</v>
      </c>
      <c r="T22">
        <v>9</v>
      </c>
      <c r="U22">
        <v>1</v>
      </c>
      <c r="V22" t="s">
        <v>23</v>
      </c>
      <c r="W22">
        <v>23</v>
      </c>
      <c r="X22">
        <v>71</v>
      </c>
      <c r="Y22">
        <v>6.6974999999999998</v>
      </c>
      <c r="Z22">
        <v>6.7866999999999997</v>
      </c>
      <c r="AA22">
        <v>8</v>
      </c>
      <c r="AB22">
        <f t="shared" si="5"/>
        <v>8.9199999999999946E-2</v>
      </c>
      <c r="AC22" s="9">
        <f t="shared" si="6"/>
        <v>11.149999999999993</v>
      </c>
      <c r="AD22">
        <v>15</v>
      </c>
      <c r="AE22">
        <f>FAME!P126</f>
        <v>2.351</v>
      </c>
      <c r="AF22" s="50">
        <f t="shared" si="7"/>
        <v>0.15673333333333334</v>
      </c>
      <c r="AG22" s="9">
        <f t="shared" si="8"/>
        <v>1.7475766666666657</v>
      </c>
      <c r="AH22" s="9">
        <f t="shared" si="9"/>
        <v>2.062780269058297</v>
      </c>
      <c r="AI22" s="9">
        <f t="shared" si="20"/>
        <v>20.661599999999993</v>
      </c>
      <c r="AJ22" s="9">
        <f t="shared" si="37"/>
        <v>1.4249379310344823</v>
      </c>
      <c r="AK22" s="9">
        <f t="shared" si="23"/>
        <v>0.44396551724138594</v>
      </c>
      <c r="AL22" s="9">
        <f t="shared" si="35"/>
        <v>0.31156831997522449</v>
      </c>
      <c r="AM22" s="9">
        <f t="shared" si="24"/>
        <v>0.42753793103448268</v>
      </c>
      <c r="AN22" s="9">
        <f t="shared" si="25"/>
        <v>0.30003968714910756</v>
      </c>
      <c r="AO22" s="9">
        <f t="shared" si="26"/>
        <v>8.9233892371996429E-2</v>
      </c>
      <c r="AP22" s="9">
        <f t="shared" si="34"/>
        <v>6.2623003029482163E-2</v>
      </c>
      <c r="AQ22" s="9"/>
      <c r="AR22" s="9">
        <f>$BC$16-BC22</f>
        <v>22.895699999999991</v>
      </c>
      <c r="AS22" s="9">
        <f t="shared" si="27"/>
        <v>0.29520476190476186</v>
      </c>
      <c r="AT22" s="9">
        <f t="shared" si="28"/>
        <v>0.27076263228466485</v>
      </c>
      <c r="AU22" s="9">
        <f t="shared" si="29"/>
        <v>0.53095238095238062</v>
      </c>
      <c r="AV22" s="9">
        <f t="shared" si="21"/>
        <v>0.48699100704499088</v>
      </c>
      <c r="AW22" s="9">
        <f t="shared" si="30"/>
        <v>8.3217936507936463E-2</v>
      </c>
      <c r="AX22" s="9">
        <f t="shared" si="31"/>
        <v>7.6327723837518235E-2</v>
      </c>
      <c r="AY22" s="9">
        <f t="shared" si="36"/>
        <v>0.75775363932965578</v>
      </c>
      <c r="AZ22" s="9"/>
      <c r="BA22">
        <f t="shared" si="0"/>
        <v>0.42659999999999998</v>
      </c>
      <c r="BB22">
        <f t="shared" si="1"/>
        <v>6.1992999999999991</v>
      </c>
      <c r="BC22">
        <f t="shared" si="2"/>
        <v>76.309100000000001</v>
      </c>
      <c r="BD22" t="str">
        <f t="shared" si="10"/>
        <v/>
      </c>
      <c r="BE22" t="str">
        <f t="shared" si="11"/>
        <v/>
      </c>
      <c r="BF22" t="str">
        <f t="shared" si="12"/>
        <v/>
      </c>
      <c r="BG22" t="str">
        <f t="shared" si="13"/>
        <v/>
      </c>
      <c r="BH22" t="str">
        <f t="shared" si="14"/>
        <v/>
      </c>
      <c r="BI22" t="str">
        <f t="shared" si="15"/>
        <v/>
      </c>
      <c r="BJ22" t="str">
        <f t="shared" si="16"/>
        <v/>
      </c>
      <c r="BK22" t="str">
        <f t="shared" si="17"/>
        <v/>
      </c>
      <c r="BL22" t="str">
        <f t="shared" si="18"/>
        <v/>
      </c>
      <c r="BM22" s="11"/>
      <c r="BN22" s="11" t="str">
        <f t="shared" ref="BN22:BN29" si="38">S24</f>
        <v>r1</v>
      </c>
      <c r="BO22" s="6"/>
      <c r="BP22" t="e">
        <f>#REF!</f>
        <v>#REF!</v>
      </c>
      <c r="BQ22" s="9"/>
      <c r="BR22" s="32"/>
      <c r="BS22" s="6"/>
      <c r="BT22" s="6"/>
      <c r="BU22" s="6"/>
      <c r="BV22" s="6">
        <f>$BC$14-BC22</f>
        <v>22.849000000000018</v>
      </c>
      <c r="BW22" s="6"/>
      <c r="BX22" s="6">
        <f t="shared" ref="BX22:BX29" si="39">BV22/R24</f>
        <v>0.91396000000000077</v>
      </c>
      <c r="BY22" s="6">
        <f t="shared" si="32"/>
        <v>20.661599999999993</v>
      </c>
      <c r="BZ22" s="17">
        <f>BY22/(R24-R20)</f>
        <v>1.1168432432432429</v>
      </c>
      <c r="CA22" s="17">
        <f>AC22-AC16</f>
        <v>9.3874999999999922</v>
      </c>
      <c r="CB22" s="18">
        <f>CA22/BY22</f>
        <v>0.45434525883765031</v>
      </c>
      <c r="CC22" s="8"/>
      <c r="CD22" s="20"/>
      <c r="CE22" s="20"/>
      <c r="CF22" s="8"/>
      <c r="CK22" s="8"/>
      <c r="CL22" s="9"/>
      <c r="CM22" s="6"/>
      <c r="CN22" s="6"/>
      <c r="CO22" s="6"/>
      <c r="CP22" s="9"/>
      <c r="CQ22" s="9"/>
      <c r="CR22" s="9"/>
      <c r="CW22" s="6"/>
      <c r="CX22" s="8"/>
      <c r="CY22" s="6"/>
    </row>
    <row r="23" spans="1:103" x14ac:dyDescent="0.2">
      <c r="B23" s="3" t="s">
        <v>214</v>
      </c>
      <c r="C23" s="3">
        <v>3.7789999999999997E-2</v>
      </c>
      <c r="D23" s="3">
        <v>0.34731000000000001</v>
      </c>
      <c r="E23" s="3">
        <v>6.5895099999999998</v>
      </c>
      <c r="F23" s="3" t="s">
        <v>205</v>
      </c>
      <c r="G23" s="3" t="s">
        <v>205</v>
      </c>
      <c r="H23" s="3" t="s">
        <v>205</v>
      </c>
      <c r="I23" s="3" t="s">
        <v>205</v>
      </c>
      <c r="J23" s="3" t="s">
        <v>205</v>
      </c>
      <c r="K23" s="3" t="s">
        <v>205</v>
      </c>
      <c r="L23" s="3"/>
      <c r="M23" s="3"/>
      <c r="N23" s="3"/>
      <c r="P23" s="2">
        <v>45587</v>
      </c>
      <c r="Q23" s="31">
        <v>0.27083333333333331</v>
      </c>
      <c r="R23">
        <v>21</v>
      </c>
      <c r="S23" t="s">
        <v>50</v>
      </c>
      <c r="T23">
        <v>10</v>
      </c>
      <c r="U23">
        <v>1</v>
      </c>
      <c r="V23" t="s">
        <v>23</v>
      </c>
      <c r="W23">
        <v>26</v>
      </c>
      <c r="X23">
        <v>80</v>
      </c>
      <c r="Y23">
        <v>6.7058</v>
      </c>
      <c r="Z23">
        <v>6.8323999999999998</v>
      </c>
      <c r="AA23">
        <v>8</v>
      </c>
      <c r="AB23">
        <f t="shared" si="5"/>
        <v>0.12659999999999982</v>
      </c>
      <c r="AC23" s="9">
        <f t="shared" si="6"/>
        <v>15.824999999999978</v>
      </c>
      <c r="AD23">
        <v>15</v>
      </c>
      <c r="AE23">
        <f>FAME!P127</f>
        <v>1.1279999999999999</v>
      </c>
      <c r="AF23" s="50">
        <f t="shared" si="7"/>
        <v>7.5199999999999989E-2</v>
      </c>
      <c r="AG23" s="9">
        <f t="shared" si="8"/>
        <v>1.1900399999999982</v>
      </c>
      <c r="AH23" s="9">
        <f t="shared" si="9"/>
        <v>1.6429699842022141</v>
      </c>
      <c r="AI23" s="9">
        <f t="shared" si="20"/>
        <v>24.912500000000009</v>
      </c>
      <c r="AJ23" s="9">
        <f>AI23/(R23-R21)</f>
        <v>1.7181034482758626</v>
      </c>
      <c r="AK23" s="9">
        <f>(AC23-AC21)/(R23-R21)</f>
        <v>0.83534482758620487</v>
      </c>
      <c r="AL23" s="9">
        <f t="shared" si="35"/>
        <v>0.48620170597089685</v>
      </c>
      <c r="AM23" s="9">
        <f t="shared" si="24"/>
        <v>0.2395241379310345</v>
      </c>
      <c r="AN23" s="9">
        <f>AM23/AJ23</f>
        <v>0.13941194179628696</v>
      </c>
      <c r="AO23" s="9">
        <f t="shared" si="26"/>
        <v>6.4605371767241224E-2</v>
      </c>
      <c r="AP23" s="9">
        <f t="shared" si="34"/>
        <v>3.7602725163070644E-2</v>
      </c>
      <c r="AQ23" s="9">
        <f>AN23+AL23</f>
        <v>0.62561364776718387</v>
      </c>
      <c r="AR23" s="9">
        <f>$BC$17-BC23</f>
        <v>26.933300000000003</v>
      </c>
      <c r="AS23" s="9">
        <f t="shared" si="27"/>
        <v>0.1653857142857143</v>
      </c>
      <c r="AT23" s="9">
        <f t="shared" si="28"/>
        <v>0.12895189226719339</v>
      </c>
      <c r="AU23" s="9">
        <f t="shared" si="29"/>
        <v>0.75357142857142756</v>
      </c>
      <c r="AV23" s="9">
        <f>AC23/AR23</f>
        <v>0.58756260836956398</v>
      </c>
      <c r="AW23" s="9">
        <f t="shared" si="30"/>
        <v>5.6668571428571346E-2</v>
      </c>
      <c r="AX23" s="9">
        <f t="shared" si="31"/>
        <v>4.4184708149391204E-2</v>
      </c>
      <c r="AY23" s="9">
        <f t="shared" si="36"/>
        <v>0.71651450063675737</v>
      </c>
      <c r="AZ23" s="9"/>
      <c r="BA23">
        <f t="shared" si="0"/>
        <v>0.37790000000000001</v>
      </c>
      <c r="BB23">
        <f t="shared" si="1"/>
        <v>3.4731000000000001</v>
      </c>
      <c r="BC23">
        <f t="shared" si="2"/>
        <v>65.895099999999999</v>
      </c>
      <c r="BD23" t="str">
        <f t="shared" si="10"/>
        <v/>
      </c>
      <c r="BE23" t="str">
        <f t="shared" si="11"/>
        <v/>
      </c>
      <c r="BF23" t="str">
        <f t="shared" si="12"/>
        <v/>
      </c>
      <c r="BG23" t="str">
        <f t="shared" si="13"/>
        <v/>
      </c>
      <c r="BH23" t="str">
        <f t="shared" si="14"/>
        <v/>
      </c>
      <c r="BI23" t="str">
        <f t="shared" si="15"/>
        <v/>
      </c>
      <c r="BJ23" t="str">
        <f t="shared" si="16"/>
        <v/>
      </c>
      <c r="BK23" t="str">
        <f t="shared" si="17"/>
        <v/>
      </c>
      <c r="BL23" t="str">
        <f t="shared" si="18"/>
        <v/>
      </c>
      <c r="BM23" s="11"/>
      <c r="BN23" s="11" t="str">
        <f t="shared" si="38"/>
        <v>r2</v>
      </c>
      <c r="BO23" s="6"/>
      <c r="BP23" t="e">
        <f>#REF!</f>
        <v>#REF!</v>
      </c>
      <c r="BQ23" s="9"/>
      <c r="BR23" s="32"/>
      <c r="BS23" s="6"/>
      <c r="BT23" s="6"/>
      <c r="BU23" s="6"/>
      <c r="BV23" s="6">
        <f>$BC$15-BC23</f>
        <v>9.1867000000000019</v>
      </c>
      <c r="BW23" s="6"/>
      <c r="BX23" s="6">
        <f t="shared" si="39"/>
        <v>0.36746800000000007</v>
      </c>
      <c r="BY23" s="6">
        <f t="shared" si="32"/>
        <v>24.912500000000009</v>
      </c>
      <c r="BZ23" s="17">
        <f>BY23/(R25-R21)</f>
        <v>1.346621621621622</v>
      </c>
      <c r="CA23" s="17">
        <f>AC23-AC17</f>
        <v>14.987499999999931</v>
      </c>
      <c r="CB23" s="18">
        <f>CA23/BY23</f>
        <v>0.60160561966883797</v>
      </c>
      <c r="CC23" s="8"/>
      <c r="CD23" s="20"/>
      <c r="CE23" s="20"/>
      <c r="CF23" s="8"/>
      <c r="CK23" s="8"/>
      <c r="CL23" s="9"/>
      <c r="CM23" s="6"/>
      <c r="CN23" s="6"/>
      <c r="CO23" s="6"/>
      <c r="CP23" s="9"/>
      <c r="CQ23" s="9"/>
      <c r="CR23" s="9"/>
      <c r="CW23" s="6"/>
      <c r="CX23" s="8"/>
      <c r="CY23" s="6"/>
    </row>
    <row r="24" spans="1:103" x14ac:dyDescent="0.2">
      <c r="A24" s="3"/>
      <c r="B24" s="3" t="s">
        <v>215</v>
      </c>
      <c r="C24" s="3">
        <v>4.3860000000000003E-2</v>
      </c>
      <c r="D24" s="3">
        <v>0.90720000000000001</v>
      </c>
      <c r="E24" s="3">
        <v>6.9749600000000003</v>
      </c>
      <c r="F24" s="3" t="s">
        <v>205</v>
      </c>
      <c r="G24" s="3">
        <v>1.383E-2</v>
      </c>
      <c r="H24" s="3" t="s">
        <v>205</v>
      </c>
      <c r="I24" s="3" t="s">
        <v>205</v>
      </c>
      <c r="J24" s="3" t="s">
        <v>205</v>
      </c>
      <c r="K24" s="3" t="s">
        <v>205</v>
      </c>
      <c r="L24" s="3"/>
      <c r="M24" s="3"/>
      <c r="N24" s="3"/>
      <c r="P24" s="2">
        <v>45587</v>
      </c>
      <c r="Q24" s="31">
        <v>0.4375</v>
      </c>
      <c r="R24">
        <v>25</v>
      </c>
      <c r="S24" t="s">
        <v>49</v>
      </c>
      <c r="T24">
        <v>11</v>
      </c>
      <c r="V24" t="s">
        <v>23</v>
      </c>
      <c r="W24">
        <v>26.68</v>
      </c>
      <c r="X24">
        <v>100</v>
      </c>
      <c r="Y24">
        <v>6.6882000000000001</v>
      </c>
      <c r="Z24">
        <v>6.7713000000000001</v>
      </c>
      <c r="AA24">
        <v>8</v>
      </c>
      <c r="AB24">
        <f t="shared" si="5"/>
        <v>8.3099999999999952E-2</v>
      </c>
      <c r="AC24" s="9">
        <f t="shared" si="6"/>
        <v>10.387499999999994</v>
      </c>
      <c r="AD24">
        <v>19</v>
      </c>
      <c r="AE24">
        <f>FAME!P128</f>
        <v>3.3845000000000001</v>
      </c>
      <c r="AF24" s="50">
        <f t="shared" si="7"/>
        <v>0.17813157894736842</v>
      </c>
      <c r="AG24" s="9">
        <f t="shared" si="8"/>
        <v>1.8503417763157883</v>
      </c>
      <c r="AH24" s="9">
        <f t="shared" si="9"/>
        <v>2.5684717208182928</v>
      </c>
      <c r="AI24" s="9">
        <f t="shared" si="20"/>
        <v>6.5594999999999999</v>
      </c>
      <c r="AJ24" s="9">
        <f t="shared" si="37"/>
        <v>1.639875</v>
      </c>
      <c r="AK24" s="9">
        <f t="shared" si="23"/>
        <v>-0.19062499999999982</v>
      </c>
      <c r="AL24" s="9">
        <f t="shared" si="35"/>
        <v>-0.11624361612927804</v>
      </c>
      <c r="AM24" s="9">
        <f t="shared" si="24"/>
        <v>0.71817500000000045</v>
      </c>
      <c r="AN24" s="9">
        <f t="shared" ref="AN24:AN37" si="40">AM24/AJ24</f>
        <v>0.43794496531747873</v>
      </c>
      <c r="AO24" s="9">
        <f t="shared" si="26"/>
        <v>2.5691277412280666E-2</v>
      </c>
      <c r="AP24" s="9">
        <f t="shared" si="34"/>
        <v>1.566660715742399E-2</v>
      </c>
      <c r="AQ24" s="9">
        <f>AN24+AL24</f>
        <v>0.3217013491882007</v>
      </c>
      <c r="AR24" s="9">
        <f>$BC$16-BC24</f>
        <v>29.455199999999991</v>
      </c>
      <c r="AS24" s="9">
        <f t="shared" si="27"/>
        <v>0.36288000000000004</v>
      </c>
      <c r="AT24" s="9">
        <f t="shared" si="28"/>
        <v>0.30799315570765107</v>
      </c>
      <c r="AU24" s="9">
        <f t="shared" si="29"/>
        <v>0.41549999999999976</v>
      </c>
      <c r="AV24" s="9">
        <f t="shared" ref="AV24:AV37" si="41">AC24/AR24</f>
        <v>0.35265420027703076</v>
      </c>
      <c r="AW24" s="9">
        <f t="shared" si="30"/>
        <v>7.4013671052631527E-2</v>
      </c>
      <c r="AX24" s="9">
        <f t="shared" si="31"/>
        <v>6.2818849517768977E-2</v>
      </c>
      <c r="AY24" s="9">
        <f t="shared" si="36"/>
        <v>0.66064735598468183</v>
      </c>
      <c r="AZ24" s="9"/>
      <c r="BA24">
        <f t="shared" si="0"/>
        <v>0.43860000000000005</v>
      </c>
      <c r="BB24">
        <f t="shared" si="1"/>
        <v>9.072000000000001</v>
      </c>
      <c r="BC24">
        <f t="shared" si="2"/>
        <v>69.749600000000001</v>
      </c>
      <c r="BD24" t="str">
        <f t="shared" si="10"/>
        <v/>
      </c>
      <c r="BE24">
        <f t="shared" si="11"/>
        <v>0.13830000000000001</v>
      </c>
      <c r="BF24" t="str">
        <f t="shared" si="12"/>
        <v/>
      </c>
      <c r="BG24" t="str">
        <f t="shared" si="13"/>
        <v/>
      </c>
      <c r="BH24" t="str">
        <f t="shared" si="14"/>
        <v/>
      </c>
      <c r="BI24" t="str">
        <f t="shared" si="15"/>
        <v/>
      </c>
      <c r="BJ24" t="str">
        <f t="shared" si="16"/>
        <v/>
      </c>
      <c r="BK24" t="str">
        <f t="shared" si="17"/>
        <v/>
      </c>
      <c r="BL24" t="str">
        <f t="shared" si="18"/>
        <v/>
      </c>
      <c r="BM24" s="11"/>
      <c r="BN24" s="11" t="str">
        <f t="shared" si="38"/>
        <v>r1</v>
      </c>
      <c r="BO24" s="6"/>
      <c r="BP24" t="str">
        <f t="shared" ref="BP24:BP31" si="42">B22</f>
        <v>Jeff_SloHot50_Biostat 2L-21-9</v>
      </c>
      <c r="BQ24" s="9"/>
      <c r="BR24" s="32"/>
      <c r="BS24" s="6"/>
      <c r="BT24" s="6"/>
      <c r="BU24" s="6"/>
      <c r="BV24" s="6">
        <f>$BC$14-BC24</f>
        <v>29.408500000000018</v>
      </c>
      <c r="BW24" s="6"/>
      <c r="BX24" s="6">
        <f t="shared" si="39"/>
        <v>0.98852100840336199</v>
      </c>
      <c r="BY24" s="6">
        <f t="shared" si="32"/>
        <v>6.5594999999999999</v>
      </c>
      <c r="BZ24" s="17">
        <f t="shared" ref="BZ24:BZ29" si="43">BY24/(R26-R24)</f>
        <v>1.3809473684210527</v>
      </c>
      <c r="CA24" s="17"/>
      <c r="CB24" s="18"/>
      <c r="CC24" s="8"/>
      <c r="CD24" s="20"/>
      <c r="CE24" s="20"/>
      <c r="CF24" s="8"/>
      <c r="CK24" s="8"/>
      <c r="CL24" s="9"/>
      <c r="CM24" s="6"/>
      <c r="CN24" s="6"/>
      <c r="CO24" s="6"/>
      <c r="CP24" s="9"/>
      <c r="CQ24" s="9"/>
      <c r="CR24" s="9"/>
      <c r="CW24" s="6"/>
      <c r="CX24" s="8"/>
      <c r="CY24" s="6"/>
    </row>
    <row r="25" spans="1:103" x14ac:dyDescent="0.2">
      <c r="A25" s="5"/>
      <c r="B25" s="3" t="s">
        <v>216</v>
      </c>
      <c r="C25" s="3">
        <v>3.6110000000000003E-2</v>
      </c>
      <c r="D25" s="3">
        <v>0.61956</v>
      </c>
      <c r="E25" s="3">
        <v>5.8538199999999998</v>
      </c>
      <c r="F25" s="3" t="s">
        <v>205</v>
      </c>
      <c r="G25" s="3" t="s">
        <v>205</v>
      </c>
      <c r="H25" s="3" t="s">
        <v>205</v>
      </c>
      <c r="I25" s="3" t="s">
        <v>205</v>
      </c>
      <c r="J25" s="3" t="s">
        <v>205</v>
      </c>
      <c r="K25" s="3" t="s">
        <v>205</v>
      </c>
      <c r="L25" s="3"/>
      <c r="M25" s="3"/>
      <c r="N25" s="3"/>
      <c r="P25" s="2">
        <v>45587</v>
      </c>
      <c r="Q25" s="31">
        <v>0.4375</v>
      </c>
      <c r="R25">
        <v>25</v>
      </c>
      <c r="S25" t="s">
        <v>50</v>
      </c>
      <c r="T25">
        <v>12</v>
      </c>
      <c r="V25" t="s">
        <v>23</v>
      </c>
      <c r="W25">
        <v>31</v>
      </c>
      <c r="X25">
        <v>108</v>
      </c>
      <c r="Y25">
        <v>6.6942000000000004</v>
      </c>
      <c r="Z25">
        <v>6.8273000000000001</v>
      </c>
      <c r="AA25">
        <v>8</v>
      </c>
      <c r="AB25">
        <f t="shared" si="5"/>
        <v>0.13309999999999977</v>
      </c>
      <c r="AC25" s="9">
        <f t="shared" si="6"/>
        <v>16.637499999999971</v>
      </c>
      <c r="AD25">
        <v>18</v>
      </c>
      <c r="AE25">
        <f>FAME!P129</f>
        <v>2.0944999999999996</v>
      </c>
      <c r="AF25" s="50">
        <f t="shared" si="7"/>
        <v>0.11636111111111108</v>
      </c>
      <c r="AG25" s="9">
        <f t="shared" si="8"/>
        <v>1.9359579861111071</v>
      </c>
      <c r="AH25" s="9">
        <f t="shared" si="9"/>
        <v>1.8632607062359161</v>
      </c>
      <c r="AI25" s="9">
        <f t="shared" si="20"/>
        <v>7.3569000000000031</v>
      </c>
      <c r="AJ25" s="9">
        <f t="shared" si="37"/>
        <v>1.8392250000000008</v>
      </c>
      <c r="AK25" s="9">
        <f t="shared" si="23"/>
        <v>0.20312499999999822</v>
      </c>
      <c r="AL25" s="9">
        <f t="shared" si="35"/>
        <v>0.11044053881390158</v>
      </c>
      <c r="AM25" s="9">
        <f t="shared" si="24"/>
        <v>0.68062499999999992</v>
      </c>
      <c r="AN25" s="9">
        <f t="shared" si="40"/>
        <v>0.37006075928719956</v>
      </c>
      <c r="AO25" s="9">
        <f t="shared" si="26"/>
        <v>0.18647949652777723</v>
      </c>
      <c r="AP25" s="9">
        <f t="shared" si="34"/>
        <v>0.10139025759642085</v>
      </c>
      <c r="AQ25" s="9">
        <f>AN25+AL25</f>
        <v>0.48050129810110115</v>
      </c>
      <c r="AR25" s="9">
        <f>$BC$17-BC25</f>
        <v>34.290200000000006</v>
      </c>
      <c r="AS25" s="9">
        <f t="shared" si="27"/>
        <v>0.24782399999999999</v>
      </c>
      <c r="AT25" s="9">
        <f t="shared" si="28"/>
        <v>0.18068136085528808</v>
      </c>
      <c r="AU25" s="9">
        <f t="shared" si="29"/>
        <v>0.66549999999999887</v>
      </c>
      <c r="AV25" s="9">
        <f t="shared" si="41"/>
        <v>0.48519693673410969</v>
      </c>
      <c r="AW25" s="9">
        <f t="shared" si="30"/>
        <v>7.7438319444444292E-2</v>
      </c>
      <c r="AX25" s="9">
        <f t="shared" si="31"/>
        <v>5.645805466608847E-2</v>
      </c>
      <c r="AY25" s="9">
        <f t="shared" si="36"/>
        <v>0.66587829758939776</v>
      </c>
      <c r="AZ25" s="9"/>
      <c r="BA25">
        <f t="shared" si="0"/>
        <v>0.36110000000000009</v>
      </c>
      <c r="BB25">
        <f t="shared" si="1"/>
        <v>6.1955999999999998</v>
      </c>
      <c r="BC25">
        <f t="shared" si="2"/>
        <v>58.538199999999996</v>
      </c>
      <c r="BD25" t="str">
        <f t="shared" si="10"/>
        <v/>
      </c>
      <c r="BE25" t="str">
        <f t="shared" si="11"/>
        <v/>
      </c>
      <c r="BF25" t="str">
        <f t="shared" si="12"/>
        <v/>
      </c>
      <c r="BG25" t="str">
        <f t="shared" si="13"/>
        <v/>
      </c>
      <c r="BH25" t="str">
        <f t="shared" si="14"/>
        <v/>
      </c>
      <c r="BI25" t="str">
        <f t="shared" si="15"/>
        <v/>
      </c>
      <c r="BJ25" t="str">
        <f t="shared" si="16"/>
        <v/>
      </c>
      <c r="BK25" t="str">
        <f t="shared" si="17"/>
        <v/>
      </c>
      <c r="BL25" t="str">
        <f t="shared" si="18"/>
        <v/>
      </c>
      <c r="BM25" s="11"/>
      <c r="BN25" s="11" t="str">
        <f t="shared" si="38"/>
        <v>r2</v>
      </c>
      <c r="BO25" s="6"/>
      <c r="BP25" t="str">
        <f t="shared" si="42"/>
        <v>Jeff_SloHot50_Biostat 2L-21-10</v>
      </c>
      <c r="BQ25" s="6"/>
      <c r="BR25" s="32"/>
      <c r="BS25" s="6"/>
      <c r="BT25" s="6"/>
      <c r="BU25" s="6"/>
      <c r="BV25" s="6">
        <f>$BC$15-BC25</f>
        <v>16.543600000000005</v>
      </c>
      <c r="BW25" s="6"/>
      <c r="BX25" s="6">
        <f t="shared" si="39"/>
        <v>0.55608739495798332</v>
      </c>
      <c r="BY25" s="6">
        <f t="shared" si="32"/>
        <v>7.3569000000000031</v>
      </c>
      <c r="BZ25" s="17">
        <f t="shared" si="43"/>
        <v>1.5488210526315795</v>
      </c>
      <c r="CA25" s="17"/>
      <c r="CB25" s="18"/>
      <c r="CC25" s="8"/>
      <c r="CD25" s="20"/>
      <c r="CE25" s="20"/>
      <c r="CF25" s="8"/>
      <c r="CK25" s="8"/>
      <c r="CL25" s="9"/>
      <c r="CM25" s="6"/>
      <c r="CN25" s="6"/>
      <c r="CO25" s="6"/>
      <c r="CP25" s="9"/>
      <c r="CQ25" s="9"/>
      <c r="CR25" s="9"/>
      <c r="CW25" s="6"/>
      <c r="CX25" s="8"/>
      <c r="CY25" s="6"/>
    </row>
    <row r="26" spans="1:103" x14ac:dyDescent="0.2">
      <c r="B26" s="3" t="s">
        <v>217</v>
      </c>
      <c r="C26" s="3">
        <v>4.2160000000000003E-2</v>
      </c>
      <c r="D26" s="3">
        <v>1.2072799999999999</v>
      </c>
      <c r="E26" s="3">
        <v>6.3092699999999997</v>
      </c>
      <c r="F26" s="3" t="s">
        <v>205</v>
      </c>
      <c r="G26" s="3">
        <v>0.02</v>
      </c>
      <c r="H26" s="3" t="s">
        <v>205</v>
      </c>
      <c r="I26" s="3" t="s">
        <v>205</v>
      </c>
      <c r="J26" s="3" t="s">
        <v>205</v>
      </c>
      <c r="K26" s="3" t="s">
        <v>205</v>
      </c>
      <c r="L26" s="3"/>
      <c r="M26" s="3"/>
      <c r="N26" s="3"/>
      <c r="P26" s="2">
        <v>45587</v>
      </c>
      <c r="Q26" s="31">
        <v>0.63541666666666663</v>
      </c>
      <c r="R26">
        <v>29.75</v>
      </c>
      <c r="S26" t="s">
        <v>49</v>
      </c>
      <c r="T26">
        <v>13</v>
      </c>
      <c r="V26" t="s">
        <v>23</v>
      </c>
      <c r="W26" t="s">
        <v>23</v>
      </c>
      <c r="X26">
        <v>133</v>
      </c>
      <c r="Y26">
        <v>6.6978999999999997</v>
      </c>
      <c r="Z26">
        <v>6.7915999999999999</v>
      </c>
      <c r="AA26">
        <v>8</v>
      </c>
      <c r="AB26">
        <f t="shared" si="5"/>
        <v>9.3700000000000117E-2</v>
      </c>
      <c r="AC26" s="9">
        <f t="shared" si="6"/>
        <v>11.712500000000015</v>
      </c>
      <c r="AD26">
        <v>17</v>
      </c>
      <c r="AE26">
        <f>FAME!P130</f>
        <v>3.4314999999999998</v>
      </c>
      <c r="AF26" s="50">
        <f t="shared" si="7"/>
        <v>0.20185294117647057</v>
      </c>
      <c r="AG26" s="9">
        <f t="shared" si="8"/>
        <v>2.3642025735294143</v>
      </c>
      <c r="AH26" s="9" t="s">
        <v>23</v>
      </c>
      <c r="AI26" s="9">
        <f t="shared" si="20"/>
        <v>6.6569000000000074</v>
      </c>
      <c r="AJ26" s="9">
        <f t="shared" si="37"/>
        <v>1.4014526315789488</v>
      </c>
      <c r="AK26" s="9">
        <f t="shared" si="23"/>
        <v>0.278947368421057</v>
      </c>
      <c r="AL26" s="9">
        <f t="shared" si="35"/>
        <v>0.19904159593805215</v>
      </c>
      <c r="AM26" s="9">
        <f t="shared" si="24"/>
        <v>0.63174736842105228</v>
      </c>
      <c r="AN26" s="9">
        <f t="shared" si="40"/>
        <v>0.45078039327614883</v>
      </c>
      <c r="AO26" s="9">
        <f t="shared" si="26"/>
        <v>0.10818122046602652</v>
      </c>
      <c r="AP26" s="9">
        <f t="shared" si="34"/>
        <v>7.7192206164074184E-2</v>
      </c>
      <c r="AQ26" s="9"/>
      <c r="AR26" s="9">
        <f>$BC$16-BC26</f>
        <v>36.112099999999998</v>
      </c>
      <c r="AS26" s="9">
        <f t="shared" si="27"/>
        <v>0.40580840336134449</v>
      </c>
      <c r="AT26" s="9">
        <f t="shared" si="28"/>
        <v>0.33431453723267268</v>
      </c>
      <c r="AU26" s="9">
        <f t="shared" si="29"/>
        <v>0.39369747899159713</v>
      </c>
      <c r="AV26" s="9">
        <f t="shared" si="41"/>
        <v>0.3243372719947058</v>
      </c>
      <c r="AW26" s="9">
        <f t="shared" si="30"/>
        <v>7.9468994068215601E-2</v>
      </c>
      <c r="AX26" s="9">
        <f t="shared" si="31"/>
        <v>6.5468432285284275E-2</v>
      </c>
      <c r="AY26" s="9">
        <f t="shared" si="36"/>
        <v>0.65865180922737854</v>
      </c>
      <c r="AZ26" s="9"/>
      <c r="BA26">
        <f t="shared" si="0"/>
        <v>0.42160000000000003</v>
      </c>
      <c r="BB26">
        <f t="shared" si="1"/>
        <v>12.072799999999999</v>
      </c>
      <c r="BC26">
        <f t="shared" si="2"/>
        <v>63.092699999999994</v>
      </c>
      <c r="BD26" t="str">
        <f t="shared" si="10"/>
        <v/>
      </c>
      <c r="BE26">
        <f t="shared" si="11"/>
        <v>0.2</v>
      </c>
      <c r="BF26" t="str">
        <f t="shared" si="12"/>
        <v/>
      </c>
      <c r="BG26" t="str">
        <f t="shared" si="13"/>
        <v/>
      </c>
      <c r="BH26" t="str">
        <f t="shared" si="14"/>
        <v/>
      </c>
      <c r="BI26" t="str">
        <f t="shared" si="15"/>
        <v/>
      </c>
      <c r="BJ26" t="str">
        <f t="shared" si="16"/>
        <v/>
      </c>
      <c r="BK26" t="str">
        <f t="shared" si="17"/>
        <v/>
      </c>
      <c r="BL26" t="str">
        <f t="shared" si="18"/>
        <v/>
      </c>
      <c r="BM26" s="11"/>
      <c r="BN26" s="11" t="str">
        <f t="shared" si="38"/>
        <v>r1</v>
      </c>
      <c r="BO26" s="6"/>
      <c r="BP26" t="str">
        <f t="shared" si="42"/>
        <v>Jeff_SloHot50_Biostat 2L-21-11</v>
      </c>
      <c r="BQ26" s="6"/>
      <c r="BR26" s="32"/>
      <c r="BS26" s="6"/>
      <c r="BT26" s="6"/>
      <c r="BU26" s="6"/>
      <c r="BV26" s="6">
        <f t="shared" ref="BV26:BV29" si="44">$BC$15-BC26</f>
        <v>11.989100000000008</v>
      </c>
      <c r="BW26" s="6"/>
      <c r="BX26" s="6">
        <f t="shared" si="39"/>
        <v>0.2578301075268819</v>
      </c>
      <c r="BY26" s="6">
        <f t="shared" ref="BY26:BY29" si="45">BV26-BV24</f>
        <v>-17.41940000000001</v>
      </c>
      <c r="BZ26" s="17">
        <f t="shared" si="43"/>
        <v>-1.0399641791044782</v>
      </c>
      <c r="CA26" s="17"/>
      <c r="CB26" s="18"/>
      <c r="CC26" s="8"/>
      <c r="CD26" s="20"/>
      <c r="CE26" s="20"/>
      <c r="CF26" s="8"/>
      <c r="CK26" s="8"/>
      <c r="CL26" s="9"/>
      <c r="CM26" s="6"/>
      <c r="CN26" s="6"/>
      <c r="CO26" s="6"/>
      <c r="CP26" s="9"/>
      <c r="CQ26" s="9"/>
      <c r="CR26" s="9"/>
      <c r="CV26" s="12"/>
      <c r="CW26" s="6"/>
      <c r="CX26" s="8"/>
      <c r="CY26" s="6"/>
    </row>
    <row r="27" spans="1:103" x14ac:dyDescent="0.2">
      <c r="B27" s="3" t="s">
        <v>218</v>
      </c>
      <c r="C27" s="3">
        <v>3.4860000000000002E-2</v>
      </c>
      <c r="D27" s="3">
        <v>0.96684999999999999</v>
      </c>
      <c r="E27" s="3">
        <v>5.1368099999999997</v>
      </c>
      <c r="F27" s="3" t="s">
        <v>205</v>
      </c>
      <c r="G27" s="3" t="s">
        <v>205</v>
      </c>
      <c r="H27" s="3" t="s">
        <v>205</v>
      </c>
      <c r="I27" s="3" t="s">
        <v>205</v>
      </c>
      <c r="J27" s="3" t="s">
        <v>205</v>
      </c>
      <c r="K27" s="3" t="s">
        <v>205</v>
      </c>
      <c r="L27" s="3"/>
      <c r="M27" s="3"/>
      <c r="N27" s="3"/>
      <c r="P27" s="2">
        <v>45587</v>
      </c>
      <c r="Q27" s="31">
        <v>0.63541666666666663</v>
      </c>
      <c r="R27">
        <v>29.75</v>
      </c>
      <c r="S27" t="s">
        <v>50</v>
      </c>
      <c r="T27">
        <v>14</v>
      </c>
      <c r="V27" t="s">
        <v>23</v>
      </c>
      <c r="W27" t="s">
        <v>23</v>
      </c>
      <c r="X27">
        <v>144</v>
      </c>
      <c r="Y27">
        <v>6.7070999999999996</v>
      </c>
      <c r="Z27">
        <v>6.8478000000000003</v>
      </c>
      <c r="AA27">
        <v>8</v>
      </c>
      <c r="AB27">
        <f t="shared" si="5"/>
        <v>0.14070000000000071</v>
      </c>
      <c r="AC27" s="9">
        <f t="shared" si="6"/>
        <v>17.587500000000087</v>
      </c>
      <c r="AD27">
        <v>12</v>
      </c>
      <c r="AE27">
        <f>FAME!P131</f>
        <v>1.9159999999999997</v>
      </c>
      <c r="AF27" s="50">
        <f t="shared" si="7"/>
        <v>0.15966666666666665</v>
      </c>
      <c r="AG27" s="9">
        <f t="shared" si="8"/>
        <v>2.8081375000000137</v>
      </c>
      <c r="AH27" s="9" t="s">
        <v>23</v>
      </c>
      <c r="AI27" s="9">
        <f t="shared" si="20"/>
        <v>7.1700999999999979</v>
      </c>
      <c r="AJ27" s="9">
        <f t="shared" si="37"/>
        <v>1.5094947368421048</v>
      </c>
      <c r="AK27" s="9">
        <f t="shared" si="23"/>
        <v>0.20000000000002452</v>
      </c>
      <c r="AL27" s="9">
        <f t="shared" si="35"/>
        <v>0.13249466534638524</v>
      </c>
      <c r="AM27" s="9">
        <f t="shared" si="24"/>
        <v>0.7311368421052632</v>
      </c>
      <c r="AN27" s="9">
        <f t="shared" si="40"/>
        <v>0.48435865608568934</v>
      </c>
      <c r="AO27" s="9">
        <f t="shared" si="26"/>
        <v>0.18361673976608558</v>
      </c>
      <c r="AP27" s="9">
        <f t="shared" si="34"/>
        <v>0.12164119243649417</v>
      </c>
      <c r="AQ27" s="9">
        <f>AN27+AL27</f>
        <v>0.61685332143207461</v>
      </c>
      <c r="AR27" s="9">
        <f>$BC$17-BC27</f>
        <v>41.460300000000004</v>
      </c>
      <c r="AS27" s="9">
        <f t="shared" si="27"/>
        <v>0.32499159663865546</v>
      </c>
      <c r="AT27" s="9">
        <f t="shared" si="28"/>
        <v>0.23319898794750638</v>
      </c>
      <c r="AU27" s="9">
        <f t="shared" si="29"/>
        <v>0.59117647058823819</v>
      </c>
      <c r="AV27" s="9">
        <f t="shared" si="41"/>
        <v>0.42420098262675587</v>
      </c>
      <c r="AW27" s="9">
        <f t="shared" si="30"/>
        <v>9.43911764705887E-2</v>
      </c>
      <c r="AX27" s="9">
        <f t="shared" si="31"/>
        <v>6.7730756892738678E-2</v>
      </c>
      <c r="AY27" s="9">
        <f t="shared" si="36"/>
        <v>0.65739997057426225</v>
      </c>
      <c r="AZ27" s="9"/>
      <c r="BA27">
        <f t="shared" si="0"/>
        <v>0.34860000000000002</v>
      </c>
      <c r="BB27">
        <f t="shared" si="1"/>
        <v>9.6684999999999999</v>
      </c>
      <c r="BC27">
        <f t="shared" si="2"/>
        <v>51.368099999999998</v>
      </c>
      <c r="BD27" t="str">
        <f t="shared" si="10"/>
        <v/>
      </c>
      <c r="BE27" t="str">
        <f t="shared" si="11"/>
        <v/>
      </c>
      <c r="BF27" t="str">
        <f t="shared" si="12"/>
        <v/>
      </c>
      <c r="BG27" t="str">
        <f t="shared" si="13"/>
        <v/>
      </c>
      <c r="BH27" t="str">
        <f t="shared" si="14"/>
        <v/>
      </c>
      <c r="BI27" t="str">
        <f t="shared" si="15"/>
        <v/>
      </c>
      <c r="BJ27" t="str">
        <f t="shared" si="16"/>
        <v/>
      </c>
      <c r="BK27" t="str">
        <f t="shared" si="17"/>
        <v/>
      </c>
      <c r="BL27" t="str">
        <f t="shared" si="18"/>
        <v/>
      </c>
      <c r="BM27" s="11"/>
      <c r="BN27" s="11" t="str">
        <f t="shared" si="38"/>
        <v>r2</v>
      </c>
      <c r="BO27" s="6"/>
      <c r="BP27" t="str">
        <f t="shared" si="42"/>
        <v>Jeff_SloHot50_Biostat 2L-21-12</v>
      </c>
      <c r="BQ27" s="6"/>
      <c r="BR27" s="32"/>
      <c r="BS27" s="6"/>
      <c r="BT27" s="6"/>
      <c r="BU27" s="6"/>
      <c r="BV27" s="6">
        <f t="shared" si="44"/>
        <v>23.713700000000003</v>
      </c>
      <c r="BW27" s="6"/>
      <c r="BX27" s="6">
        <f t="shared" si="39"/>
        <v>0.50997204301075272</v>
      </c>
      <c r="BY27" s="6">
        <f t="shared" si="45"/>
        <v>7.1700999999999979</v>
      </c>
      <c r="BZ27" s="17">
        <f t="shared" si="43"/>
        <v>0.42806567164179093</v>
      </c>
      <c r="CA27" s="17"/>
      <c r="CB27" s="18"/>
      <c r="CC27" s="8"/>
      <c r="CD27" s="20"/>
      <c r="CE27" s="20"/>
      <c r="CF27" s="8"/>
      <c r="CK27" s="8"/>
      <c r="CL27" s="9"/>
      <c r="CM27" s="6"/>
      <c r="CN27" s="6"/>
      <c r="CO27" s="6"/>
      <c r="CP27" s="9"/>
      <c r="CQ27" s="9"/>
      <c r="CR27" s="9"/>
      <c r="CW27" s="6"/>
      <c r="CX27" s="8"/>
      <c r="CY27" s="6"/>
    </row>
    <row r="28" spans="1:103" x14ac:dyDescent="0.2">
      <c r="B28" s="3" t="s">
        <v>227</v>
      </c>
      <c r="C28" s="3"/>
      <c r="D28" s="3">
        <v>2.3239999999999998</v>
      </c>
      <c r="E28" s="3">
        <v>4.1470000000000002</v>
      </c>
      <c r="F28" s="3">
        <v>0.14399999999999999</v>
      </c>
      <c r="G28" s="3"/>
      <c r="H28" s="3"/>
      <c r="I28" s="3"/>
      <c r="J28" s="3"/>
      <c r="K28" s="3"/>
      <c r="L28" s="3"/>
      <c r="M28" s="3"/>
      <c r="N28" s="3"/>
      <c r="P28" s="2">
        <v>45588</v>
      </c>
      <c r="Q28" s="31">
        <v>0.33333333333333331</v>
      </c>
      <c r="R28">
        <v>46.5</v>
      </c>
      <c r="S28" t="s">
        <v>49</v>
      </c>
      <c r="T28">
        <v>15</v>
      </c>
      <c r="U28">
        <v>3</v>
      </c>
      <c r="W28">
        <v>32.28</v>
      </c>
      <c r="X28">
        <v>254</v>
      </c>
      <c r="Y28">
        <v>6.7393000000000001</v>
      </c>
      <c r="Z28">
        <v>6.8369999999999997</v>
      </c>
      <c r="AA28">
        <v>8</v>
      </c>
      <c r="AB28">
        <f t="shared" si="5"/>
        <v>9.7699999999999676E-2</v>
      </c>
      <c r="AC28" s="9">
        <f t="shared" si="6"/>
        <v>12.212499999999959</v>
      </c>
      <c r="AD28">
        <v>14</v>
      </c>
      <c r="AE28">
        <f>FAME!P132</f>
        <v>2.9689999999999999</v>
      </c>
      <c r="AF28" s="50">
        <f t="shared" si="7"/>
        <v>0.21207142857142855</v>
      </c>
      <c r="AG28" s="9">
        <f t="shared" si="8"/>
        <v>2.5899223214285625</v>
      </c>
      <c r="AH28" s="9">
        <f t="shared" si="9"/>
        <v>2.6431934493347069</v>
      </c>
      <c r="AI28" s="9">
        <f t="shared" si="20"/>
        <v>21.622699999999995</v>
      </c>
      <c r="AJ28" s="9">
        <f t="shared" si="37"/>
        <v>1.2909074626865669</v>
      </c>
      <c r="AK28" s="9">
        <f t="shared" si="23"/>
        <v>2.985074626865343E-2</v>
      </c>
      <c r="AL28" s="9">
        <f t="shared" si="35"/>
        <v>2.312384669814339E-2</v>
      </c>
      <c r="AM28" s="9">
        <f t="shared" si="24"/>
        <v>0.66669850746268655</v>
      </c>
      <c r="AN28" s="9">
        <f t="shared" si="40"/>
        <v>0.51645724169507057</v>
      </c>
      <c r="AO28" s="9">
        <f t="shared" si="26"/>
        <v>1.3475805844725264E-2</v>
      </c>
      <c r="AP28" s="9">
        <f t="shared" si="34"/>
        <v>1.04390176943281E-2</v>
      </c>
      <c r="AQ28" s="9"/>
      <c r="AR28" s="9">
        <f>$BC$16-BC28</f>
        <v>57.734799999999993</v>
      </c>
      <c r="AS28" s="9">
        <f t="shared" si="27"/>
        <v>0.49978494623655911</v>
      </c>
      <c r="AT28" s="9">
        <f t="shared" si="28"/>
        <v>0.40253018976423233</v>
      </c>
      <c r="AU28" s="9">
        <f t="shared" si="29"/>
        <v>0.26263440860214965</v>
      </c>
      <c r="AV28" s="9">
        <f t="shared" si="41"/>
        <v>0.21152753625196521</v>
      </c>
      <c r="AW28" s="9">
        <f t="shared" si="30"/>
        <v>5.569725422427016E-2</v>
      </c>
      <c r="AX28" s="9">
        <f t="shared" si="31"/>
        <v>4.4858946795148902E-2</v>
      </c>
      <c r="AY28" s="9">
        <f t="shared" si="36"/>
        <v>0.61405772601619757</v>
      </c>
      <c r="AZ28" s="9"/>
      <c r="BA28">
        <f t="shared" si="0"/>
        <v>0</v>
      </c>
      <c r="BB28">
        <f t="shared" si="1"/>
        <v>23.24</v>
      </c>
      <c r="BC28">
        <f t="shared" si="2"/>
        <v>41.47</v>
      </c>
      <c r="BD28">
        <f t="shared" si="10"/>
        <v>1.44</v>
      </c>
      <c r="BE28" t="str">
        <f t="shared" si="11"/>
        <v/>
      </c>
      <c r="BF28" t="str">
        <f t="shared" si="12"/>
        <v/>
      </c>
      <c r="BG28" t="str">
        <f t="shared" si="13"/>
        <v/>
      </c>
      <c r="BH28" t="str">
        <f t="shared" si="14"/>
        <v/>
      </c>
      <c r="BI28" t="str">
        <f t="shared" si="15"/>
        <v/>
      </c>
      <c r="BJ28" t="str">
        <f t="shared" si="16"/>
        <v/>
      </c>
      <c r="BK28" t="str">
        <f t="shared" si="17"/>
        <v/>
      </c>
      <c r="BL28" t="str">
        <f t="shared" si="18"/>
        <v/>
      </c>
      <c r="BM28" s="11"/>
      <c r="BN28" s="11" t="str">
        <f t="shared" si="38"/>
        <v>r1</v>
      </c>
      <c r="BO28" s="6"/>
      <c r="BP28" t="str">
        <f t="shared" si="42"/>
        <v>Jeff_SloHot50_Biostat 2L-21-13</v>
      </c>
      <c r="BQ28" s="6"/>
      <c r="BR28" s="32"/>
      <c r="BS28" s="6"/>
      <c r="BT28" s="6"/>
      <c r="BU28" s="6"/>
      <c r="BV28" s="6">
        <f t="shared" si="44"/>
        <v>33.611800000000002</v>
      </c>
      <c r="BW28" s="6"/>
      <c r="BX28" s="6">
        <f t="shared" si="39"/>
        <v>0.66230147783251236</v>
      </c>
      <c r="BY28" s="6">
        <f t="shared" si="45"/>
        <v>21.622699999999995</v>
      </c>
      <c r="BZ28" s="17">
        <f t="shared" si="43"/>
        <v>5.0876941176470574</v>
      </c>
      <c r="CA28" s="17"/>
      <c r="CB28" s="18"/>
      <c r="CC28" s="8"/>
      <c r="CD28" s="20"/>
      <c r="CE28" s="20"/>
      <c r="CF28" s="8"/>
      <c r="CK28" s="8"/>
      <c r="CL28" s="9"/>
      <c r="CM28" s="6"/>
      <c r="CN28" s="6"/>
      <c r="CO28" s="6"/>
      <c r="CP28" s="9"/>
      <c r="CQ28" s="9"/>
      <c r="CR28" s="9"/>
      <c r="CX28" s="8"/>
      <c r="CY28" s="6"/>
    </row>
    <row r="29" spans="1:103" x14ac:dyDescent="0.2">
      <c r="B29" s="3" t="s">
        <v>228</v>
      </c>
      <c r="C29" s="3"/>
      <c r="D29" s="3">
        <v>2.456</v>
      </c>
      <c r="E29" s="3">
        <v>2.4969999999999999</v>
      </c>
      <c r="F29" s="3">
        <v>0.157</v>
      </c>
      <c r="G29" s="3"/>
      <c r="H29" s="3"/>
      <c r="I29" s="3"/>
      <c r="J29" s="3"/>
      <c r="K29" s="3"/>
      <c r="L29" s="3"/>
      <c r="M29" s="3"/>
      <c r="N29" s="3"/>
      <c r="P29" s="2">
        <v>45588</v>
      </c>
      <c r="Q29" s="31">
        <v>0.33333333333333331</v>
      </c>
      <c r="R29">
        <v>46.5</v>
      </c>
      <c r="S29" t="s">
        <v>50</v>
      </c>
      <c r="T29">
        <v>16</v>
      </c>
      <c r="U29">
        <v>3</v>
      </c>
      <c r="W29">
        <v>33.6</v>
      </c>
      <c r="X29">
        <v>305</v>
      </c>
      <c r="Y29">
        <v>6.6955</v>
      </c>
      <c r="Z29">
        <v>6.8476999999999997</v>
      </c>
      <c r="AA29">
        <v>8</v>
      </c>
      <c r="AB29">
        <f t="shared" si="5"/>
        <v>0.15219999999999967</v>
      </c>
      <c r="AC29" s="9">
        <f t="shared" si="6"/>
        <v>19.024999999999959</v>
      </c>
      <c r="AD29">
        <v>14</v>
      </c>
      <c r="AE29">
        <f>FAME!P133</f>
        <v>2.2600000000000002</v>
      </c>
      <c r="AF29" s="50">
        <f t="shared" si="7"/>
        <v>0.16142857142857145</v>
      </c>
      <c r="AG29" s="9">
        <f t="shared" si="8"/>
        <v>3.0711785714285651</v>
      </c>
      <c r="AH29" s="9">
        <f t="shared" si="9"/>
        <v>1.7660972404730655</v>
      </c>
      <c r="AI29" s="9">
        <f t="shared" si="20"/>
        <v>26.398099999999999</v>
      </c>
      <c r="AJ29" s="9">
        <f t="shared" si="37"/>
        <v>1.5760059701492537</v>
      </c>
      <c r="AK29" s="9">
        <f t="shared" si="23"/>
        <v>8.5820895522380425E-2</v>
      </c>
      <c r="AL29" s="9">
        <f t="shared" si="35"/>
        <v>5.4454676662330705E-2</v>
      </c>
      <c r="AM29" s="9">
        <f t="shared" si="24"/>
        <v>0.88904477611940291</v>
      </c>
      <c r="AN29" s="9">
        <f t="shared" si="40"/>
        <v>0.5641125687075963</v>
      </c>
      <c r="AO29" s="9">
        <f t="shared" si="26"/>
        <v>1.570394456289859E-2</v>
      </c>
      <c r="AP29" s="9">
        <f t="shared" si="34"/>
        <v>9.9643940824737914E-3</v>
      </c>
      <c r="AQ29" s="9">
        <f>AN29+AL29</f>
        <v>0.61856724536992702</v>
      </c>
      <c r="AR29" s="9">
        <f>$BC$17-BC29</f>
        <v>67.858400000000003</v>
      </c>
      <c r="AS29" s="9">
        <f t="shared" si="27"/>
        <v>0.52817204301075271</v>
      </c>
      <c r="AT29" s="9">
        <f t="shared" si="28"/>
        <v>0.3619301368732537</v>
      </c>
      <c r="AU29" s="9">
        <f t="shared" si="29"/>
        <v>0.40913978494623571</v>
      </c>
      <c r="AV29" s="9">
        <f t="shared" si="41"/>
        <v>0.28036322695495264</v>
      </c>
      <c r="AW29" s="9">
        <f t="shared" si="30"/>
        <v>6.604685099846376E-2</v>
      </c>
      <c r="AX29" s="9">
        <f t="shared" si="31"/>
        <v>4.5258635208442359E-2</v>
      </c>
      <c r="AY29" s="9">
        <f t="shared" si="36"/>
        <v>0.64229336382820634</v>
      </c>
      <c r="AZ29" s="9"/>
      <c r="BA29">
        <f t="shared" si="0"/>
        <v>0</v>
      </c>
      <c r="BB29">
        <f t="shared" si="1"/>
        <v>24.56</v>
      </c>
      <c r="BC29">
        <f t="shared" si="2"/>
        <v>24.97</v>
      </c>
      <c r="BD29">
        <f t="shared" si="10"/>
        <v>1.57</v>
      </c>
      <c r="BE29" t="str">
        <f t="shared" si="11"/>
        <v/>
      </c>
      <c r="BF29" t="str">
        <f t="shared" si="12"/>
        <v/>
      </c>
      <c r="BG29" t="str">
        <f t="shared" si="13"/>
        <v/>
      </c>
      <c r="BH29" t="str">
        <f t="shared" si="14"/>
        <v/>
      </c>
      <c r="BI29" t="str">
        <f t="shared" si="15"/>
        <v/>
      </c>
      <c r="BJ29" t="str">
        <f t="shared" si="16"/>
        <v/>
      </c>
      <c r="BK29" t="str">
        <f t="shared" si="17"/>
        <v/>
      </c>
      <c r="BL29" t="str">
        <f t="shared" si="18"/>
        <v/>
      </c>
      <c r="BM29" s="11"/>
      <c r="BN29" s="11" t="str">
        <f t="shared" si="38"/>
        <v>r2</v>
      </c>
      <c r="BO29" s="6"/>
      <c r="BP29" t="str">
        <f t="shared" si="42"/>
        <v>Jeff_SloHot50_Biostat 2L-21-14</v>
      </c>
      <c r="BQ29" s="6"/>
      <c r="BR29" s="32"/>
      <c r="BS29" s="6"/>
      <c r="BT29" s="6"/>
      <c r="BU29" s="6"/>
      <c r="BV29" s="6">
        <f t="shared" si="44"/>
        <v>50.111800000000002</v>
      </c>
      <c r="BW29" s="6"/>
      <c r="BX29" s="6">
        <f t="shared" si="39"/>
        <v>0.98742463054187202</v>
      </c>
      <c r="BY29" s="6">
        <f t="shared" si="45"/>
        <v>26.398099999999999</v>
      </c>
      <c r="BZ29" s="17">
        <f t="shared" si="43"/>
        <v>6.2113176470588236</v>
      </c>
      <c r="CA29" s="17"/>
      <c r="CB29" s="18"/>
      <c r="CC29" s="8"/>
      <c r="CD29" s="20"/>
      <c r="CE29" s="20"/>
      <c r="CF29" s="8"/>
      <c r="CK29" s="8"/>
      <c r="CL29" s="9"/>
      <c r="CM29" s="6"/>
      <c r="CN29" s="6"/>
      <c r="CO29" s="6"/>
      <c r="CP29" s="9"/>
      <c r="CQ29" s="9"/>
      <c r="CR29" s="9"/>
      <c r="CW29" s="6"/>
      <c r="CX29" s="8"/>
      <c r="CY29" s="6"/>
    </row>
    <row r="30" spans="1:103" x14ac:dyDescent="0.2">
      <c r="B30" s="3" t="s">
        <v>219</v>
      </c>
      <c r="C30" s="3">
        <v>4.4560000000000002E-2</v>
      </c>
      <c r="D30" s="3">
        <v>2.5369799999999998</v>
      </c>
      <c r="E30" s="3">
        <v>3.6593900000000001</v>
      </c>
      <c r="F30" s="3" t="s">
        <v>205</v>
      </c>
      <c r="G30" s="3">
        <v>3.1890000000000002E-2</v>
      </c>
      <c r="H30" s="3" t="s">
        <v>205</v>
      </c>
      <c r="I30" s="3" t="s">
        <v>205</v>
      </c>
      <c r="J30" s="3" t="s">
        <v>205</v>
      </c>
      <c r="K30" s="3">
        <v>8.9319999999999997E-2</v>
      </c>
      <c r="L30" s="3"/>
      <c r="M30" s="3"/>
      <c r="N30" s="3"/>
      <c r="P30" s="2">
        <v>45588</v>
      </c>
      <c r="Q30" s="31">
        <v>0.51041666666666663</v>
      </c>
      <c r="R30">
        <v>50.75</v>
      </c>
      <c r="S30" t="s">
        <v>49</v>
      </c>
      <c r="T30">
        <v>17</v>
      </c>
      <c r="U30">
        <v>3</v>
      </c>
      <c r="W30">
        <v>31.25</v>
      </c>
      <c r="X30">
        <v>283</v>
      </c>
      <c r="Y30">
        <v>6.6780999999999997</v>
      </c>
      <c r="Z30">
        <v>6.7718999999999996</v>
      </c>
      <c r="AA30">
        <v>8</v>
      </c>
      <c r="AB30">
        <f t="shared" si="5"/>
        <v>9.3799999999999883E-2</v>
      </c>
      <c r="AC30" s="9">
        <f t="shared" si="6"/>
        <v>11.724999999999985</v>
      </c>
      <c r="AD30">
        <v>16</v>
      </c>
      <c r="AE30">
        <f>FAME!P134</f>
        <v>3.2619999999999996</v>
      </c>
      <c r="AF30" s="50">
        <f t="shared" si="7"/>
        <v>0.20387499999999997</v>
      </c>
      <c r="AG30" s="9">
        <f t="shared" si="8"/>
        <v>2.3904343749999968</v>
      </c>
      <c r="AH30" s="9">
        <f t="shared" si="9"/>
        <v>2.6652452025586388</v>
      </c>
      <c r="AI30" s="9">
        <f t="shared" si="20"/>
        <v>4.8760999999999939</v>
      </c>
      <c r="AJ30" s="9">
        <f t="shared" si="37"/>
        <v>1.147317647058822</v>
      </c>
      <c r="AK30" s="9">
        <f t="shared" si="23"/>
        <v>-0.11470588235293508</v>
      </c>
      <c r="AL30" s="9">
        <f t="shared" si="35"/>
        <v>-9.9977440987669391E-2</v>
      </c>
      <c r="AM30" s="9">
        <f t="shared" si="24"/>
        <v>0.50112941176470494</v>
      </c>
      <c r="AN30" s="9">
        <f t="shared" si="40"/>
        <v>0.43678349500625474</v>
      </c>
      <c r="AO30" s="9">
        <f t="shared" si="26"/>
        <v>-4.6938340336133109E-2</v>
      </c>
      <c r="AP30" s="9">
        <f t="shared" si="34"/>
        <v>-4.0911373111414039E-2</v>
      </c>
      <c r="AQ30" s="9"/>
      <c r="AR30" s="9">
        <f>$BC$16-BC30</f>
        <v>62.610899999999987</v>
      </c>
      <c r="AS30" s="9">
        <f t="shared" si="27"/>
        <v>0.49989753694581268</v>
      </c>
      <c r="AT30" s="9">
        <f t="shared" si="28"/>
        <v>0.40519781699352669</v>
      </c>
      <c r="AU30" s="9">
        <f t="shared" si="29"/>
        <v>0.2310344827586204</v>
      </c>
      <c r="AV30" s="9">
        <f t="shared" si="41"/>
        <v>0.18726771217152266</v>
      </c>
      <c r="AW30" s="9">
        <f t="shared" si="30"/>
        <v>4.7102155172413729E-2</v>
      </c>
      <c r="AX30" s="9">
        <f t="shared" si="31"/>
        <v>3.8179204818969179E-2</v>
      </c>
      <c r="AY30" s="9">
        <f t="shared" si="36"/>
        <v>0.59246552916504935</v>
      </c>
      <c r="AZ30" s="9"/>
      <c r="BA30">
        <f t="shared" si="0"/>
        <v>0.4456</v>
      </c>
      <c r="BB30">
        <f t="shared" si="1"/>
        <v>25.369799999999994</v>
      </c>
      <c r="BC30">
        <f t="shared" si="2"/>
        <v>36.593900000000005</v>
      </c>
      <c r="BD30" t="str">
        <f t="shared" ref="BD30:BL30" si="46">IF(ISNUMBER(F30),F30*1000/100,"")</f>
        <v/>
      </c>
      <c r="BE30">
        <f t="shared" si="46"/>
        <v>0.31890000000000002</v>
      </c>
      <c r="BF30" t="str">
        <f t="shared" si="46"/>
        <v/>
      </c>
      <c r="BG30" t="str">
        <f t="shared" si="46"/>
        <v/>
      </c>
      <c r="BH30" t="str">
        <f t="shared" si="46"/>
        <v/>
      </c>
      <c r="BI30">
        <f t="shared" si="46"/>
        <v>0.89319999999999988</v>
      </c>
      <c r="BJ30" t="str">
        <f t="shared" si="46"/>
        <v/>
      </c>
      <c r="BK30" t="str">
        <f t="shared" si="46"/>
        <v/>
      </c>
      <c r="BL30" t="str">
        <f t="shared" si="46"/>
        <v/>
      </c>
      <c r="BM30" s="11"/>
      <c r="BN30" s="11"/>
      <c r="BO30" s="6"/>
      <c r="BP30" t="str">
        <f t="shared" si="42"/>
        <v>Biostat 21-15</v>
      </c>
      <c r="BQ30" s="6"/>
      <c r="BR30" s="32"/>
      <c r="BS30" s="6"/>
      <c r="BT30" s="6"/>
      <c r="BU30" s="6"/>
      <c r="BV30" s="6"/>
      <c r="BW30" s="6"/>
      <c r="BX30" s="6"/>
      <c r="BY30" s="6"/>
      <c r="BZ30" s="17"/>
      <c r="CA30" s="17"/>
      <c r="CB30" s="18"/>
      <c r="CC30" s="8"/>
      <c r="CD30" s="20"/>
      <c r="CE30" s="20"/>
      <c r="CF30" s="8"/>
      <c r="CK30" s="8"/>
      <c r="CL30" s="9"/>
      <c r="CM30" s="6"/>
      <c r="CN30" s="6"/>
      <c r="CO30" s="6"/>
      <c r="CP30" s="9"/>
      <c r="CQ30" s="9"/>
      <c r="CR30" s="9"/>
      <c r="CW30" s="6"/>
      <c r="CX30" s="8"/>
      <c r="CY30" s="6"/>
    </row>
    <row r="31" spans="1:103" x14ac:dyDescent="0.2">
      <c r="B31" s="3" t="s">
        <v>220</v>
      </c>
      <c r="C31" s="3">
        <v>3.7310000000000003E-2</v>
      </c>
      <c r="D31" s="3">
        <v>2.7550300000000001</v>
      </c>
      <c r="E31" s="3">
        <v>1.93496</v>
      </c>
      <c r="F31" s="3" t="s">
        <v>205</v>
      </c>
      <c r="G31" s="3" t="s">
        <v>205</v>
      </c>
      <c r="H31" s="3" t="s">
        <v>205</v>
      </c>
      <c r="I31" s="3" t="s">
        <v>205</v>
      </c>
      <c r="J31" s="3" t="s">
        <v>205</v>
      </c>
      <c r="K31" s="3" t="s">
        <v>205</v>
      </c>
      <c r="L31" s="3"/>
      <c r="M31" s="3"/>
      <c r="N31" s="3"/>
      <c r="P31" s="2">
        <v>45588</v>
      </c>
      <c r="Q31" s="31">
        <v>0.51041666666666663</v>
      </c>
      <c r="R31">
        <v>50.75</v>
      </c>
      <c r="S31" t="s">
        <v>50</v>
      </c>
      <c r="T31">
        <v>18</v>
      </c>
      <c r="U31">
        <v>3</v>
      </c>
      <c r="W31">
        <v>37.700000000000003</v>
      </c>
      <c r="X31">
        <v>345</v>
      </c>
      <c r="Y31">
        <v>6.7332000000000001</v>
      </c>
      <c r="Z31">
        <v>6.8749000000000002</v>
      </c>
      <c r="AA31">
        <v>8</v>
      </c>
      <c r="AB31">
        <f t="shared" si="5"/>
        <v>0.14170000000000016</v>
      </c>
      <c r="AC31" s="9">
        <f t="shared" si="6"/>
        <v>17.71250000000002</v>
      </c>
      <c r="AD31">
        <v>14</v>
      </c>
      <c r="AE31">
        <f>FAME!P135</f>
        <v>2.5944999999999996</v>
      </c>
      <c r="AF31" s="50">
        <f t="shared" si="7"/>
        <v>0.18532142857142855</v>
      </c>
      <c r="AG31" s="9">
        <f t="shared" si="8"/>
        <v>3.2825058035714321</v>
      </c>
      <c r="AH31" s="9">
        <f t="shared" si="9"/>
        <v>2.128440366972475</v>
      </c>
      <c r="AI31" s="9">
        <f t="shared" si="20"/>
        <v>5.6204000000000001</v>
      </c>
      <c r="AJ31" s="9">
        <f t="shared" si="37"/>
        <v>1.3224470588235295</v>
      </c>
      <c r="AK31" s="9">
        <f t="shared" si="23"/>
        <v>-0.30882352941175051</v>
      </c>
      <c r="AL31" s="9">
        <f t="shared" si="35"/>
        <v>-0.23352430431996646</v>
      </c>
      <c r="AM31" s="9">
        <f t="shared" si="24"/>
        <v>0.70360000000000111</v>
      </c>
      <c r="AN31" s="9">
        <f t="shared" si="40"/>
        <v>0.53204398263468866</v>
      </c>
      <c r="AO31" s="9">
        <f t="shared" si="26"/>
        <v>4.9724054621851053E-2</v>
      </c>
      <c r="AP31" s="9">
        <f t="shared" si="34"/>
        <v>3.7600034186689016E-2</v>
      </c>
      <c r="AQ31" s="9">
        <f>AN31+AL31</f>
        <v>0.2985196783147222</v>
      </c>
      <c r="AR31" s="9">
        <f>$BC$17-BC31</f>
        <v>73.478800000000007</v>
      </c>
      <c r="AS31" s="9">
        <f t="shared" si="27"/>
        <v>0.54286305418719216</v>
      </c>
      <c r="AT31" s="9">
        <f t="shared" si="28"/>
        <v>0.37494216018770044</v>
      </c>
      <c r="AU31" s="9">
        <f t="shared" si="29"/>
        <v>0.34901477832512356</v>
      </c>
      <c r="AV31" s="9">
        <f t="shared" si="41"/>
        <v>0.24105592361334177</v>
      </c>
      <c r="AW31" s="9">
        <f t="shared" si="30"/>
        <v>6.467991731175235E-2</v>
      </c>
      <c r="AX31" s="9">
        <f t="shared" si="31"/>
        <v>4.4672828129629659E-2</v>
      </c>
      <c r="AY31" s="9">
        <f t="shared" si="36"/>
        <v>0.61599808380104215</v>
      </c>
      <c r="AZ31" s="9"/>
      <c r="BA31">
        <f t="shared" si="0"/>
        <v>0.37310000000000004</v>
      </c>
      <c r="BB31">
        <f t="shared" si="1"/>
        <v>27.550300000000004</v>
      </c>
      <c r="BC31">
        <f t="shared" si="2"/>
        <v>19.349599999999999</v>
      </c>
      <c r="BD31" t="str">
        <f t="shared" ref="BD31:BD37" si="47">IF(ISNUMBER(F31),F31*1000/100,"")</f>
        <v/>
      </c>
      <c r="BE31" t="str">
        <f t="shared" ref="BE31:BE37" si="48">IF(ISNUMBER(G31),G31*1000/100,"")</f>
        <v/>
      </c>
      <c r="BF31" t="str">
        <f t="shared" ref="BF31:BF37" si="49">IF(ISNUMBER(H31),H31*1000/100,"")</f>
        <v/>
      </c>
      <c r="BG31" t="str">
        <f t="shared" ref="BG31:BG37" si="50">IF(ISNUMBER(I31),I31*1000/100,"")</f>
        <v/>
      </c>
      <c r="BH31" t="str">
        <f t="shared" ref="BH31:BH37" si="51">IF(ISNUMBER(J31),J31*1000/100,"")</f>
        <v/>
      </c>
      <c r="BI31" t="str">
        <f t="shared" ref="BI31:BI37" si="52">IF(ISNUMBER(K31),K31*1000/100,"")</f>
        <v/>
      </c>
      <c r="BJ31" t="str">
        <f t="shared" ref="BJ31:BJ37" si="53">IF(ISNUMBER(L31),L31*1000/100,"")</f>
        <v/>
      </c>
      <c r="BK31" t="str">
        <f t="shared" ref="BK31:BK37" si="54">IF(ISNUMBER(M31),M31*1000/100,"")</f>
        <v/>
      </c>
      <c r="BL31" t="str">
        <f t="shared" ref="BL31:BL37" si="55">IF(ISNUMBER(N31),N31*1000/100,"")</f>
        <v/>
      </c>
      <c r="BM31" s="11"/>
      <c r="BN31" s="11"/>
      <c r="BO31" s="6"/>
      <c r="BP31" t="str">
        <f t="shared" si="42"/>
        <v>Biostat 21-16</v>
      </c>
      <c r="BQ31" s="4"/>
      <c r="BR31" s="32"/>
      <c r="BS31" s="6"/>
      <c r="BT31" s="6"/>
      <c r="BU31" s="6"/>
      <c r="BV31" s="6"/>
      <c r="BW31" s="6"/>
      <c r="BX31" s="6"/>
      <c r="BY31" s="6"/>
      <c r="BZ31" s="17"/>
      <c r="CA31" s="17"/>
      <c r="CB31" s="18"/>
      <c r="CC31" s="8"/>
      <c r="CD31" s="20"/>
      <c r="CE31" s="20"/>
      <c r="CF31" s="8"/>
      <c r="CK31" s="8"/>
      <c r="CL31" s="9"/>
      <c r="CM31" s="6"/>
      <c r="CN31" s="6"/>
      <c r="CO31" s="6"/>
      <c r="CP31" s="9"/>
      <c r="CQ31" s="9"/>
      <c r="CR31" s="9"/>
      <c r="CW31" s="6"/>
      <c r="CX31" s="8"/>
      <c r="CY31" s="6"/>
    </row>
    <row r="32" spans="1:103" x14ac:dyDescent="0.2">
      <c r="B32" s="3" t="s">
        <v>225</v>
      </c>
      <c r="C32" s="3"/>
      <c r="D32" s="3">
        <v>3.556</v>
      </c>
      <c r="E32" s="3">
        <v>1.893</v>
      </c>
      <c r="F32" s="3">
        <v>0.14299999999999999</v>
      </c>
      <c r="G32" s="3"/>
      <c r="H32" s="3"/>
      <c r="I32" s="3"/>
      <c r="J32" s="3"/>
      <c r="K32" s="3"/>
      <c r="L32" s="3"/>
      <c r="M32" s="3"/>
      <c r="N32" s="3"/>
      <c r="P32" s="2">
        <v>45589</v>
      </c>
      <c r="Q32" s="31">
        <v>0.36458333333333331</v>
      </c>
      <c r="R32">
        <v>71.25</v>
      </c>
      <c r="S32" t="s">
        <v>49</v>
      </c>
      <c r="T32">
        <v>19</v>
      </c>
      <c r="U32">
        <v>3</v>
      </c>
      <c r="W32" s="39">
        <v>31.72</v>
      </c>
      <c r="X32">
        <v>409</v>
      </c>
      <c r="Y32">
        <v>6.7263999999999999</v>
      </c>
      <c r="Z32">
        <v>6.8296999999999999</v>
      </c>
      <c r="AA32">
        <v>8</v>
      </c>
      <c r="AB32">
        <f t="shared" si="5"/>
        <v>0.10329999999999995</v>
      </c>
      <c r="AC32" s="9">
        <f t="shared" si="6"/>
        <v>12.912499999999993</v>
      </c>
      <c r="AD32">
        <v>13</v>
      </c>
      <c r="AE32">
        <f>FAME!P136</f>
        <v>2.7415000000000003</v>
      </c>
      <c r="AF32" s="50">
        <f t="shared" si="7"/>
        <v>0.21088461538461539</v>
      </c>
      <c r="AG32" s="9">
        <f t="shared" si="8"/>
        <v>2.7230475961538447</v>
      </c>
      <c r="AH32" s="9">
        <f t="shared" si="9"/>
        <v>2.4565343659244929</v>
      </c>
      <c r="AI32" s="9">
        <f t="shared" si="20"/>
        <v>17.663900000000005</v>
      </c>
      <c r="AJ32" s="9">
        <f t="shared" si="37"/>
        <v>0.8616536585365856</v>
      </c>
      <c r="AK32" s="9">
        <f t="shared" si="23"/>
        <v>5.7926829268293033E-2</v>
      </c>
      <c r="AL32" s="9">
        <f t="shared" si="35"/>
        <v>6.7227509213707445E-2</v>
      </c>
      <c r="AM32" s="9">
        <f t="shared" si="24"/>
        <v>0.49708292682926869</v>
      </c>
      <c r="AN32" s="9">
        <f t="shared" si="40"/>
        <v>0.57689411738064666</v>
      </c>
      <c r="AO32" s="9">
        <f t="shared" si="26"/>
        <v>1.6225035178236487E-2</v>
      </c>
      <c r="AP32" s="9">
        <f t="shared" si="34"/>
        <v>1.8830112328186183E-2</v>
      </c>
      <c r="AQ32" s="9"/>
      <c r="AR32" s="9">
        <f>$BC$16-BC32</f>
        <v>80.274799999999999</v>
      </c>
      <c r="AS32" s="9">
        <f t="shared" si="27"/>
        <v>0.49908771929824564</v>
      </c>
      <c r="AT32" s="9">
        <f t="shared" si="28"/>
        <v>0.44297836930144957</v>
      </c>
      <c r="AU32" s="9">
        <f t="shared" si="29"/>
        <v>0.18122807017543849</v>
      </c>
      <c r="AV32" s="9">
        <f t="shared" si="41"/>
        <v>0.16085371748045454</v>
      </c>
      <c r="AW32" s="9">
        <f t="shared" si="30"/>
        <v>3.8218211875843434E-2</v>
      </c>
      <c r="AX32" s="9">
        <f t="shared" si="31"/>
        <v>3.3921574344051242E-2</v>
      </c>
      <c r="AY32" s="9">
        <f t="shared" si="36"/>
        <v>0.60383208678190414</v>
      </c>
      <c r="AZ32" s="9"/>
      <c r="BA32">
        <f t="shared" si="0"/>
        <v>0</v>
      </c>
      <c r="BB32">
        <f t="shared" si="1"/>
        <v>35.56</v>
      </c>
      <c r="BC32">
        <f t="shared" si="2"/>
        <v>18.93</v>
      </c>
      <c r="BD32">
        <f t="shared" si="47"/>
        <v>1.43</v>
      </c>
      <c r="BE32" t="str">
        <f t="shared" si="48"/>
        <v/>
      </c>
      <c r="BF32" t="str">
        <f t="shared" si="49"/>
        <v/>
      </c>
      <c r="BG32" t="str">
        <f t="shared" si="50"/>
        <v/>
      </c>
      <c r="BH32" t="str">
        <f t="shared" si="51"/>
        <v/>
      </c>
      <c r="BI32" t="str">
        <f t="shared" si="52"/>
        <v/>
      </c>
      <c r="BJ32" t="str">
        <f t="shared" si="53"/>
        <v/>
      </c>
      <c r="BK32" t="str">
        <f t="shared" si="54"/>
        <v/>
      </c>
      <c r="BL32" t="str">
        <f t="shared" si="55"/>
        <v/>
      </c>
      <c r="BM32" s="11"/>
      <c r="BN32" s="11"/>
      <c r="BO32" s="6"/>
      <c r="BQ32" s="4"/>
      <c r="BR32" s="32"/>
      <c r="BS32" s="6"/>
      <c r="BT32" s="6"/>
      <c r="BU32" s="6"/>
      <c r="BV32" s="6"/>
      <c r="BW32" s="6"/>
      <c r="BX32" s="6"/>
      <c r="BY32" s="6"/>
      <c r="BZ32" s="17"/>
      <c r="CA32" s="17"/>
      <c r="CB32" s="18"/>
      <c r="CC32" s="8"/>
      <c r="CD32" s="20"/>
      <c r="CE32" s="20"/>
      <c r="CF32" s="8"/>
      <c r="CK32" s="8"/>
      <c r="CL32" s="9"/>
      <c r="CM32" s="6"/>
      <c r="CN32" s="6"/>
      <c r="CO32" s="6"/>
      <c r="CP32" s="9"/>
      <c r="CQ32" s="9"/>
      <c r="CR32" s="9"/>
      <c r="CW32" s="6"/>
      <c r="CX32" s="8"/>
      <c r="CY32" s="6"/>
    </row>
    <row r="33" spans="2:102" x14ac:dyDescent="0.2">
      <c r="B33" s="3" t="s">
        <v>226</v>
      </c>
      <c r="C33" s="3"/>
      <c r="D33" s="3">
        <v>4.266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P33" s="2">
        <v>45589</v>
      </c>
      <c r="Q33" s="31">
        <v>0.36458333333333331</v>
      </c>
      <c r="R33">
        <v>71.25</v>
      </c>
      <c r="S33" t="s">
        <v>50</v>
      </c>
      <c r="T33">
        <v>20</v>
      </c>
      <c r="U33">
        <v>3</v>
      </c>
      <c r="W33" s="39">
        <v>38.24</v>
      </c>
      <c r="X33">
        <v>514</v>
      </c>
      <c r="Y33">
        <v>6.6433</v>
      </c>
      <c r="Z33">
        <v>6.7958999999999996</v>
      </c>
      <c r="AA33">
        <v>8</v>
      </c>
      <c r="AB33">
        <f t="shared" si="5"/>
        <v>0.15259999999999962</v>
      </c>
      <c r="AC33" s="9">
        <f t="shared" si="6"/>
        <v>19.074999999999953</v>
      </c>
      <c r="AD33">
        <v>15</v>
      </c>
      <c r="AE33">
        <f>FAME!P137</f>
        <v>2.6685000000000003</v>
      </c>
      <c r="AF33" s="50">
        <f t="shared" si="7"/>
        <v>0.17790000000000003</v>
      </c>
      <c r="AG33" s="9">
        <f t="shared" si="8"/>
        <v>3.3934424999999924</v>
      </c>
      <c r="AH33" s="9">
        <f t="shared" si="9"/>
        <v>2.0047182175622593</v>
      </c>
      <c r="AI33" s="9">
        <f t="shared" si="20"/>
        <v>19.349599999999999</v>
      </c>
      <c r="AJ33" s="9">
        <f t="shared" si="37"/>
        <v>0.94388292682926822</v>
      </c>
      <c r="AK33" s="9">
        <f t="shared" si="23"/>
        <v>6.6463414634143084E-2</v>
      </c>
      <c r="AL33" s="9">
        <f t="shared" si="35"/>
        <v>7.0414892297511744E-2</v>
      </c>
      <c r="AM33" s="9">
        <f t="shared" si="24"/>
        <v>0.73705853658536546</v>
      </c>
      <c r="AN33" s="9">
        <f t="shared" si="40"/>
        <v>0.78087919130111183</v>
      </c>
      <c r="AO33" s="9">
        <f t="shared" si="26"/>
        <v>5.4115461672468437E-3</v>
      </c>
      <c r="AP33" s="9">
        <f t="shared" si="34"/>
        <v>5.7332811235663948E-3</v>
      </c>
      <c r="AQ33" s="9">
        <f>AN33+AL33</f>
        <v>0.85129408359862357</v>
      </c>
      <c r="AR33" s="9">
        <f>$BC$17-BC33</f>
        <v>92.828400000000002</v>
      </c>
      <c r="AS33" s="9">
        <f t="shared" si="27"/>
        <v>0.59873684210526312</v>
      </c>
      <c r="AT33" s="9">
        <f t="shared" si="28"/>
        <v>0.45955763537882799</v>
      </c>
      <c r="AU33" s="9">
        <f t="shared" si="29"/>
        <v>0.26771929824561336</v>
      </c>
      <c r="AV33" s="9">
        <f t="shared" si="41"/>
        <v>0.20548668295478487</v>
      </c>
      <c r="AW33" s="9">
        <f t="shared" si="30"/>
        <v>4.7627263157894631E-2</v>
      </c>
      <c r="AX33" s="9">
        <f t="shared" si="31"/>
        <v>3.6556080897656239E-2</v>
      </c>
      <c r="AY33" s="9">
        <f t="shared" si="36"/>
        <v>0.66504431833361288</v>
      </c>
      <c r="AZ33" s="9"/>
      <c r="BA33">
        <f t="shared" si="0"/>
        <v>0</v>
      </c>
      <c r="BB33">
        <f t="shared" si="1"/>
        <v>42.66</v>
      </c>
      <c r="BC33">
        <f t="shared" si="2"/>
        <v>0</v>
      </c>
      <c r="BD33" t="str">
        <f t="shared" si="47"/>
        <v/>
      </c>
      <c r="BE33" t="str">
        <f t="shared" si="48"/>
        <v/>
      </c>
      <c r="BF33" t="str">
        <f t="shared" si="49"/>
        <v/>
      </c>
      <c r="BG33" t="str">
        <f t="shared" si="50"/>
        <v/>
      </c>
      <c r="BH33" t="str">
        <f t="shared" si="51"/>
        <v/>
      </c>
      <c r="BI33" t="str">
        <f t="shared" si="52"/>
        <v/>
      </c>
      <c r="BJ33" t="str">
        <f t="shared" si="53"/>
        <v/>
      </c>
      <c r="BK33" t="str">
        <f t="shared" si="54"/>
        <v/>
      </c>
      <c r="BL33" t="str">
        <f t="shared" si="55"/>
        <v/>
      </c>
      <c r="BM33" s="11"/>
      <c r="BN33" s="11"/>
      <c r="BO33" s="6"/>
      <c r="BR33" s="32"/>
      <c r="BS33" s="6"/>
      <c r="BT33" s="6"/>
      <c r="BU33" s="6"/>
      <c r="BV33" s="6"/>
      <c r="BW33" s="6"/>
      <c r="BX33" s="6"/>
      <c r="BY33" s="6"/>
      <c r="BZ33" s="17"/>
      <c r="CA33" s="17"/>
      <c r="CB33" s="18"/>
      <c r="CC33" s="8"/>
      <c r="CD33" s="20"/>
      <c r="CE33" s="20"/>
      <c r="CF33" s="8"/>
      <c r="CK33" s="8"/>
      <c r="CL33" s="9"/>
      <c r="CM33" s="6"/>
      <c r="CN33" s="6"/>
      <c r="CO33" s="6"/>
      <c r="CP33" s="22"/>
      <c r="CQ33" s="9"/>
      <c r="CR33" s="9"/>
      <c r="CW33" s="6"/>
      <c r="CX33" s="8"/>
    </row>
    <row r="34" spans="2:102" s="23" customFormat="1" ht="17" thickBot="1" x14ac:dyDescent="0.25">
      <c r="B34" s="3" t="s">
        <v>221</v>
      </c>
      <c r="C34" s="3">
        <v>4.8619999999999997E-2</v>
      </c>
      <c r="D34" s="3">
        <v>3.89235</v>
      </c>
      <c r="E34" s="3">
        <v>1.5180100000000001</v>
      </c>
      <c r="F34" s="3" t="s">
        <v>205</v>
      </c>
      <c r="G34" s="3">
        <v>2.3099999999999999E-2</v>
      </c>
      <c r="H34" s="3" t="s">
        <v>205</v>
      </c>
      <c r="I34" s="3" t="s">
        <v>205</v>
      </c>
      <c r="J34" s="3" t="s">
        <v>205</v>
      </c>
      <c r="K34" s="3" t="s">
        <v>205</v>
      </c>
      <c r="L34" s="3"/>
      <c r="M34" s="3"/>
      <c r="N34" s="3"/>
      <c r="O34"/>
      <c r="P34" s="2">
        <v>45589</v>
      </c>
      <c r="Q34" s="31">
        <v>0.63541666666666663</v>
      </c>
      <c r="R34">
        <v>77.75</v>
      </c>
      <c r="S34" t="s">
        <v>49</v>
      </c>
      <c r="T34">
        <v>21</v>
      </c>
      <c r="U34"/>
      <c r="V34"/>
      <c r="W34" s="12">
        <v>34.950000000000003</v>
      </c>
      <c r="X34">
        <v>446</v>
      </c>
      <c r="Y34">
        <v>6.7199</v>
      </c>
      <c r="Z34">
        <v>6.8032000000000004</v>
      </c>
      <c r="AA34">
        <v>8</v>
      </c>
      <c r="AB34">
        <f t="shared" si="5"/>
        <v>8.3300000000000374E-2</v>
      </c>
      <c r="AC34" s="9">
        <f t="shared" si="6"/>
        <v>10.412500000000046</v>
      </c>
      <c r="AD34">
        <v>16</v>
      </c>
      <c r="AE34">
        <f>FAME!P138</f>
        <v>3.24</v>
      </c>
      <c r="AF34" s="50">
        <f t="shared" si="7"/>
        <v>0.20250000000000001</v>
      </c>
      <c r="AG34" s="9">
        <f t="shared" si="8"/>
        <v>2.1085312500000093</v>
      </c>
      <c r="AH34" s="9">
        <f t="shared" si="9"/>
        <v>3.356542617046804</v>
      </c>
      <c r="AI34" s="9">
        <f t="shared" si="20"/>
        <v>3.7499000000000002</v>
      </c>
      <c r="AJ34" s="9">
        <f t="shared" si="37"/>
        <v>0.57690769230769234</v>
      </c>
      <c r="AK34" s="9">
        <f t="shared" si="23"/>
        <v>-0.38461538461537642</v>
      </c>
      <c r="AL34" s="9">
        <f t="shared" si="35"/>
        <v>-0.66668444491851686</v>
      </c>
      <c r="AM34" s="9">
        <f t="shared" si="24"/>
        <v>0.51746153846153764</v>
      </c>
      <c r="AN34" s="9">
        <f t="shared" si="40"/>
        <v>0.8969572521933904</v>
      </c>
      <c r="AO34" s="9">
        <f t="shared" si="26"/>
        <v>-9.45409763313593E-2</v>
      </c>
      <c r="AP34" s="9">
        <f t="shared" si="34"/>
        <v>-0.1638753956515735</v>
      </c>
      <c r="AQ34" s="9"/>
      <c r="AR34" s="9">
        <f>$BC$16-BC34</f>
        <v>84.024699999999996</v>
      </c>
      <c r="AS34" s="9">
        <f t="shared" si="27"/>
        <v>0.50062379421221859</v>
      </c>
      <c r="AT34" s="9">
        <f t="shared" si="28"/>
        <v>0.4632387857380032</v>
      </c>
      <c r="AU34" s="9">
        <f t="shared" si="29"/>
        <v>0.13392282958199417</v>
      </c>
      <c r="AV34" s="9">
        <f t="shared" si="41"/>
        <v>0.12392189439533907</v>
      </c>
      <c r="AW34" s="9">
        <f t="shared" si="30"/>
        <v>2.7119372990353819E-2</v>
      </c>
      <c r="AX34" s="9">
        <f t="shared" si="31"/>
        <v>2.5094183615056161E-2</v>
      </c>
      <c r="AY34" s="9">
        <f t="shared" si="36"/>
        <v>0.58716068013334222</v>
      </c>
      <c r="AZ34" s="9"/>
      <c r="BA34">
        <f t="shared" si="0"/>
        <v>0.48619999999999997</v>
      </c>
      <c r="BB34">
        <f t="shared" si="1"/>
        <v>38.923499999999997</v>
      </c>
      <c r="BC34">
        <f t="shared" si="2"/>
        <v>15.180099999999999</v>
      </c>
      <c r="BD34" t="str">
        <f t="shared" si="47"/>
        <v/>
      </c>
      <c r="BE34">
        <f t="shared" si="48"/>
        <v>0.23099999999999998</v>
      </c>
      <c r="BF34" t="str">
        <f t="shared" si="49"/>
        <v/>
      </c>
      <c r="BG34" t="str">
        <f t="shared" si="50"/>
        <v/>
      </c>
      <c r="BH34" t="str">
        <f t="shared" si="51"/>
        <v/>
      </c>
      <c r="BI34" t="str">
        <f t="shared" si="52"/>
        <v/>
      </c>
      <c r="BJ34" t="str">
        <f t="shared" si="53"/>
        <v/>
      </c>
      <c r="BK34" t="str">
        <f t="shared" si="54"/>
        <v/>
      </c>
      <c r="BL34" t="str">
        <f t="shared" si="55"/>
        <v/>
      </c>
      <c r="BM34" s="11"/>
      <c r="BN34" s="11"/>
      <c r="BO34" s="6"/>
      <c r="BP34"/>
      <c r="BQ34"/>
      <c r="BR34" s="32"/>
      <c r="BS34" s="6"/>
      <c r="BT34" s="6"/>
      <c r="BU34" s="6"/>
      <c r="BV34" s="6"/>
      <c r="BW34" s="6"/>
      <c r="BX34" s="6"/>
      <c r="BY34" s="6"/>
      <c r="BZ34" s="17"/>
      <c r="CA34" s="17"/>
      <c r="CB34" s="18"/>
      <c r="CC34" s="8"/>
      <c r="CD34" s="20"/>
      <c r="CE34" s="20"/>
      <c r="CF34" s="8"/>
      <c r="CG34"/>
      <c r="CI34"/>
      <c r="CJ34"/>
      <c r="CK34" s="8"/>
      <c r="CL34" s="9"/>
      <c r="CM34" s="6"/>
      <c r="CN34" s="6"/>
      <c r="CO34" s="6"/>
      <c r="CP34" s="24"/>
      <c r="CQ34" s="9"/>
      <c r="CR34" s="9"/>
      <c r="CU34"/>
      <c r="CV34"/>
      <c r="CW34" s="6"/>
      <c r="CX34" s="8"/>
    </row>
    <row r="35" spans="2:102" x14ac:dyDescent="0.2">
      <c r="B35" s="3" t="s">
        <v>222</v>
      </c>
      <c r="C35" s="3">
        <v>2.7210000000000002E-2</v>
      </c>
      <c r="D35" s="3">
        <v>4.26675</v>
      </c>
      <c r="E35" s="3" t="s">
        <v>205</v>
      </c>
      <c r="F35" s="3" t="s">
        <v>205</v>
      </c>
      <c r="G35" s="3" t="s">
        <v>205</v>
      </c>
      <c r="H35" s="3" t="s">
        <v>205</v>
      </c>
      <c r="I35" s="3" t="s">
        <v>205</v>
      </c>
      <c r="J35" s="3" t="s">
        <v>205</v>
      </c>
      <c r="K35" s="3" t="s">
        <v>205</v>
      </c>
      <c r="L35" s="3"/>
      <c r="M35" s="3"/>
      <c r="P35" s="2">
        <v>45589</v>
      </c>
      <c r="Q35" s="31">
        <v>0.63541666666666663</v>
      </c>
      <c r="R35">
        <v>77.75</v>
      </c>
      <c r="S35" t="s">
        <v>50</v>
      </c>
      <c r="T35">
        <v>22</v>
      </c>
      <c r="W35" s="12">
        <v>36.5</v>
      </c>
      <c r="X35">
        <v>526</v>
      </c>
      <c r="Y35">
        <v>6.7343000000000002</v>
      </c>
      <c r="Z35">
        <v>6.8563000000000001</v>
      </c>
      <c r="AA35">
        <v>8</v>
      </c>
      <c r="AB35">
        <f t="shared" si="5"/>
        <v>0.12199999999999989</v>
      </c>
      <c r="AC35" s="9">
        <f t="shared" si="6"/>
        <v>15.249999999999986</v>
      </c>
      <c r="AD35">
        <v>11</v>
      </c>
      <c r="AE35">
        <f>FAME!P139</f>
        <v>1.9515000000000002</v>
      </c>
      <c r="AF35" s="50">
        <f t="shared" si="7"/>
        <v>0.17740909090909093</v>
      </c>
      <c r="AG35" s="9">
        <f t="shared" si="8"/>
        <v>2.7054886363636341</v>
      </c>
      <c r="AH35" s="9">
        <f t="shared" si="9"/>
        <v>2.3934426229508219</v>
      </c>
      <c r="AI35" s="9">
        <f t="shared" si="20"/>
        <v>0</v>
      </c>
      <c r="AJ35" s="9">
        <f t="shared" si="37"/>
        <v>0</v>
      </c>
      <c r="AK35" s="9">
        <f t="shared" si="23"/>
        <v>-0.58846153846153348</v>
      </c>
      <c r="AL35" s="9"/>
      <c r="AM35" s="9">
        <f t="shared" si="24"/>
        <v>1.1538461538461975E-3</v>
      </c>
      <c r="AN35" s="9" t="e">
        <f t="shared" si="40"/>
        <v>#DIV/0!</v>
      </c>
      <c r="AO35" s="9">
        <f t="shared" si="26"/>
        <v>-0.10583905594405511</v>
      </c>
      <c r="AP35" s="9"/>
      <c r="AQ35" s="9"/>
      <c r="AR35" s="9">
        <f>$BC$17-BC35</f>
        <v>92.828400000000002</v>
      </c>
      <c r="AS35" s="9">
        <f t="shared" si="27"/>
        <v>0.54877813504823147</v>
      </c>
      <c r="AT35" s="9">
        <f t="shared" si="28"/>
        <v>0.45963842961852186</v>
      </c>
      <c r="AU35" s="9">
        <f t="shared" si="29"/>
        <v>0.19614147909967827</v>
      </c>
      <c r="AV35" s="9">
        <f t="shared" si="41"/>
        <v>0.16428162071090296</v>
      </c>
      <c r="AW35" s="9">
        <f t="shared" si="30"/>
        <v>3.4797281496638383E-2</v>
      </c>
      <c r="AX35" s="9">
        <f t="shared" si="31"/>
        <v>2.9145052983393382E-2</v>
      </c>
      <c r="AY35" s="9">
        <f t="shared" si="36"/>
        <v>0.62392005032942488</v>
      </c>
      <c r="AZ35" s="9"/>
      <c r="BA35">
        <f t="shared" si="0"/>
        <v>0.27210000000000001</v>
      </c>
      <c r="BB35">
        <f t="shared" si="1"/>
        <v>42.667499999999997</v>
      </c>
      <c r="BC35">
        <f t="shared" si="2"/>
        <v>0</v>
      </c>
      <c r="BD35" t="str">
        <f t="shared" si="47"/>
        <v/>
      </c>
      <c r="BE35" t="str">
        <f t="shared" si="48"/>
        <v/>
      </c>
      <c r="BF35" t="str">
        <f t="shared" si="49"/>
        <v/>
      </c>
      <c r="BG35" t="str">
        <f t="shared" si="50"/>
        <v/>
      </c>
      <c r="BH35" t="str">
        <f t="shared" si="51"/>
        <v/>
      </c>
      <c r="BI35" t="str">
        <f t="shared" si="52"/>
        <v/>
      </c>
      <c r="BJ35" t="str">
        <f t="shared" si="53"/>
        <v/>
      </c>
      <c r="BK35" t="str">
        <f t="shared" si="54"/>
        <v/>
      </c>
      <c r="BL35" t="str">
        <f t="shared" si="55"/>
        <v/>
      </c>
      <c r="BM35" s="11"/>
      <c r="BN35" s="11"/>
      <c r="BO35" s="6"/>
      <c r="BQ35" s="6"/>
      <c r="BR35" s="32"/>
      <c r="BS35" s="6"/>
      <c r="BT35" s="6"/>
      <c r="BU35" s="6"/>
      <c r="BV35" s="6"/>
      <c r="BW35" s="6"/>
      <c r="BX35" s="6"/>
      <c r="BY35" s="6"/>
      <c r="BZ35" s="17"/>
      <c r="CA35" s="17"/>
      <c r="CB35" s="18"/>
      <c r="CC35" s="8"/>
      <c r="CD35" s="20"/>
      <c r="CE35" s="20"/>
      <c r="CF35" s="8"/>
      <c r="CK35" s="8"/>
      <c r="CL35" s="9"/>
      <c r="CM35" s="6"/>
      <c r="CN35" s="6"/>
      <c r="CO35" s="6"/>
      <c r="CP35" s="9"/>
      <c r="CQ35" s="9"/>
      <c r="CR35" s="9"/>
      <c r="CW35" s="6"/>
      <c r="CX35" s="8"/>
    </row>
    <row r="36" spans="2:102" x14ac:dyDescent="0.2">
      <c r="B36" s="3" t="s">
        <v>223</v>
      </c>
      <c r="C36" s="3"/>
      <c r="D36" s="3">
        <v>4.5519999999999996</v>
      </c>
      <c r="E36" s="3">
        <v>0.373</v>
      </c>
      <c r="F36" s="3"/>
      <c r="G36" s="3"/>
      <c r="H36" s="3"/>
      <c r="I36" s="3"/>
      <c r="J36" s="3"/>
      <c r="K36" s="3"/>
      <c r="L36" s="3" t="s">
        <v>205</v>
      </c>
      <c r="M36" s="3"/>
      <c r="P36" s="2">
        <v>45590</v>
      </c>
      <c r="Q36" s="31">
        <v>0.58333333333333337</v>
      </c>
      <c r="R36">
        <v>100.5</v>
      </c>
      <c r="S36" t="s">
        <v>49</v>
      </c>
      <c r="T36">
        <v>23</v>
      </c>
      <c r="W36">
        <v>31.72</v>
      </c>
      <c r="X36">
        <v>537</v>
      </c>
      <c r="Y36">
        <v>6.7239000000000004</v>
      </c>
      <c r="Z36">
        <v>6.8281000000000001</v>
      </c>
      <c r="AA36">
        <v>8</v>
      </c>
      <c r="AB36">
        <f t="shared" si="5"/>
        <v>0.10419999999999963</v>
      </c>
      <c r="AC36" s="9">
        <f t="shared" si="6"/>
        <v>13.024999999999952</v>
      </c>
      <c r="AD36">
        <v>13</v>
      </c>
      <c r="AE36">
        <f>FAME!P140</f>
        <v>2.4420000000000002</v>
      </c>
      <c r="AF36" s="50">
        <f t="shared" si="7"/>
        <v>0.18784615384615386</v>
      </c>
      <c r="AG36" s="9">
        <f t="shared" si="8"/>
        <v>2.4466961538461449</v>
      </c>
      <c r="AH36" s="9">
        <f t="shared" si="9"/>
        <v>2.4353166986564387</v>
      </c>
      <c r="AI36" s="9">
        <f t="shared" si="20"/>
        <v>11.450099999999999</v>
      </c>
      <c r="AJ36" s="9">
        <f t="shared" si="37"/>
        <v>0.50330109890109886</v>
      </c>
      <c r="AK36" s="9">
        <f t="shared" si="23"/>
        <v>0.11483516483516072</v>
      </c>
      <c r="AL36" s="9">
        <f t="shared" si="35"/>
        <v>0.22816394616640087</v>
      </c>
      <c r="AM36" s="9">
        <f t="shared" si="24"/>
        <v>0.28995604395604424</v>
      </c>
      <c r="AN36" s="9">
        <f t="shared" si="40"/>
        <v>0.57610850560257176</v>
      </c>
      <c r="AO36" s="9">
        <f t="shared" si="26"/>
        <v>1.4864391377852115E-2</v>
      </c>
      <c r="AP36" s="9">
        <f t="shared" si="34"/>
        <v>2.9533794800581274E-2</v>
      </c>
      <c r="AQ36" s="9"/>
      <c r="AR36" s="9">
        <f>$BC$16-BC36</f>
        <v>95.474799999999988</v>
      </c>
      <c r="AS36" s="9">
        <f t="shared" si="27"/>
        <v>0.45293532338308462</v>
      </c>
      <c r="AT36" s="9">
        <f t="shared" si="28"/>
        <v>0.47677502335694871</v>
      </c>
      <c r="AU36" s="9">
        <f t="shared" si="29"/>
        <v>0.12960199004975076</v>
      </c>
      <c r="AV36" s="9">
        <f t="shared" si="41"/>
        <v>0.13642343319912642</v>
      </c>
      <c r="AW36" s="9">
        <f t="shared" si="30"/>
        <v>2.4345235361653183E-2</v>
      </c>
      <c r="AX36" s="9">
        <f t="shared" si="31"/>
        <v>2.5626617220943591E-2</v>
      </c>
      <c r="AY36" s="9">
        <f t="shared" si="36"/>
        <v>0.61319845655607508</v>
      </c>
      <c r="AZ36" s="9"/>
      <c r="BA36">
        <f t="shared" si="0"/>
        <v>0</v>
      </c>
      <c r="BB36">
        <f t="shared" si="1"/>
        <v>45.52</v>
      </c>
      <c r="BC36">
        <f t="shared" si="2"/>
        <v>3.73</v>
      </c>
      <c r="BD36" t="str">
        <f t="shared" si="47"/>
        <v/>
      </c>
      <c r="BE36" t="str">
        <f t="shared" si="48"/>
        <v/>
      </c>
      <c r="BF36" t="str">
        <f t="shared" si="49"/>
        <v/>
      </c>
      <c r="BG36" t="str">
        <f t="shared" si="50"/>
        <v/>
      </c>
      <c r="BH36" t="str">
        <f t="shared" si="51"/>
        <v/>
      </c>
      <c r="BI36" t="str">
        <f t="shared" si="52"/>
        <v/>
      </c>
      <c r="BJ36" t="str">
        <f t="shared" si="53"/>
        <v/>
      </c>
      <c r="BK36" t="str">
        <f t="shared" si="54"/>
        <v/>
      </c>
      <c r="BL36" t="str">
        <f t="shared" si="55"/>
        <v/>
      </c>
      <c r="BM36" s="11"/>
      <c r="BO36"/>
      <c r="BW36"/>
      <c r="BX36"/>
    </row>
    <row r="37" spans="2:102" x14ac:dyDescent="0.2">
      <c r="B37" s="3" t="s">
        <v>224</v>
      </c>
      <c r="C37" s="3"/>
      <c r="D37" s="3">
        <v>4.3129999999999997</v>
      </c>
      <c r="E37" s="3"/>
      <c r="F37" s="3"/>
      <c r="G37" s="3"/>
      <c r="H37" s="3"/>
      <c r="I37" s="3"/>
      <c r="J37" s="3"/>
      <c r="K37" s="3"/>
      <c r="L37" s="3" t="s">
        <v>205</v>
      </c>
      <c r="M37" s="3"/>
      <c r="P37" s="2">
        <v>45590</v>
      </c>
      <c r="Q37" s="31">
        <v>0.58333333333333337</v>
      </c>
      <c r="R37">
        <v>100.5</v>
      </c>
      <c r="S37" t="s">
        <v>50</v>
      </c>
      <c r="T37">
        <v>24</v>
      </c>
      <c r="W37">
        <v>39.42</v>
      </c>
      <c r="X37">
        <v>534</v>
      </c>
      <c r="Y37">
        <v>6.7187999999999999</v>
      </c>
      <c r="Z37">
        <v>6.8587999999999996</v>
      </c>
      <c r="AA37">
        <v>8</v>
      </c>
      <c r="AB37">
        <f t="shared" si="5"/>
        <v>0.13999999999999968</v>
      </c>
      <c r="AC37" s="9">
        <f t="shared" si="6"/>
        <v>17.499999999999961</v>
      </c>
      <c r="AD37">
        <v>12</v>
      </c>
      <c r="AE37">
        <f>FAME!P141</f>
        <v>2.0289999999999999</v>
      </c>
      <c r="AF37" s="50">
        <f>AE37/AD37</f>
        <v>0.16908333333333334</v>
      </c>
      <c r="AG37" s="9">
        <f t="shared" si="8"/>
        <v>2.9589583333333267</v>
      </c>
      <c r="AH37" s="9">
        <f t="shared" si="9"/>
        <v>2.2525714285714336</v>
      </c>
      <c r="AI37" s="9">
        <f t="shared" si="20"/>
        <v>0</v>
      </c>
      <c r="AJ37" s="9">
        <f t="shared" si="37"/>
        <v>0</v>
      </c>
      <c r="AK37" s="9">
        <f t="shared" si="23"/>
        <v>9.8901098901097814E-2</v>
      </c>
      <c r="AL37" s="9"/>
      <c r="AM37" s="9">
        <f t="shared" si="24"/>
        <v>2.032967032967058E-2</v>
      </c>
      <c r="AN37" s="9" t="e">
        <f t="shared" si="40"/>
        <v>#DIV/0!</v>
      </c>
      <c r="AO37" s="9">
        <f t="shared" si="26"/>
        <v>1.1141525141524947E-2</v>
      </c>
      <c r="AP37" s="9"/>
      <c r="AQ37" s="9"/>
      <c r="AR37" s="9">
        <f>$BC$17-BC37</f>
        <v>92.828400000000002</v>
      </c>
      <c r="AS37" s="9">
        <f t="shared" si="27"/>
        <v>0.42915422885572141</v>
      </c>
      <c r="AT37" s="9">
        <f t="shared" si="28"/>
        <v>0.46462074106631163</v>
      </c>
      <c r="AU37" s="9">
        <f t="shared" si="29"/>
        <v>0.17412935323383047</v>
      </c>
      <c r="AV37" s="9">
        <f t="shared" si="41"/>
        <v>0.18851989261906874</v>
      </c>
      <c r="AW37" s="9">
        <f t="shared" si="30"/>
        <v>2.9442371475953501E-2</v>
      </c>
      <c r="AX37" s="9">
        <f t="shared" si="31"/>
        <v>3.1875571843674205E-2</v>
      </c>
      <c r="AY37" s="9">
        <f t="shared" si="36"/>
        <v>0.65314063368538033</v>
      </c>
      <c r="AZ37" s="9"/>
      <c r="BA37">
        <f t="shared" si="0"/>
        <v>0</v>
      </c>
      <c r="BB37">
        <f t="shared" si="1"/>
        <v>43.13</v>
      </c>
      <c r="BC37">
        <f t="shared" si="2"/>
        <v>0</v>
      </c>
      <c r="BD37" t="str">
        <f t="shared" si="47"/>
        <v/>
      </c>
      <c r="BE37" t="str">
        <f t="shared" si="48"/>
        <v/>
      </c>
      <c r="BF37" t="str">
        <f t="shared" si="49"/>
        <v/>
      </c>
      <c r="BG37" t="str">
        <f t="shared" si="50"/>
        <v/>
      </c>
      <c r="BH37" t="str">
        <f t="shared" si="51"/>
        <v/>
      </c>
      <c r="BI37" t="str">
        <f t="shared" si="52"/>
        <v/>
      </c>
      <c r="BJ37" t="str">
        <f t="shared" si="53"/>
        <v/>
      </c>
      <c r="BK37" t="str">
        <f t="shared" si="54"/>
        <v/>
      </c>
      <c r="BL37" t="str">
        <f t="shared" si="55"/>
        <v/>
      </c>
      <c r="BM37" s="11"/>
      <c r="BO37"/>
      <c r="BW37"/>
      <c r="BX37"/>
    </row>
    <row r="38" spans="2:102" x14ac:dyDescent="0.2">
      <c r="L38" s="3"/>
      <c r="M38" s="3"/>
      <c r="BM38" s="11"/>
      <c r="BO38"/>
      <c r="BW38"/>
      <c r="BX38"/>
    </row>
    <row r="39" spans="2:102" x14ac:dyDescent="0.2">
      <c r="L39" s="3"/>
      <c r="M39" s="3"/>
      <c r="BM39" s="11"/>
      <c r="BO39"/>
      <c r="BW39"/>
      <c r="BX39"/>
    </row>
    <row r="40" spans="2:102" x14ac:dyDescent="0.2">
      <c r="BM40" s="11"/>
      <c r="BO40"/>
      <c r="BW40"/>
      <c r="BX40"/>
    </row>
    <row r="41" spans="2:102" x14ac:dyDescent="0.2">
      <c r="BM41" s="11"/>
      <c r="BO41"/>
      <c r="BW41"/>
      <c r="BX41"/>
    </row>
    <row r="42" spans="2:102" x14ac:dyDescent="0.2">
      <c r="BM42" s="11"/>
      <c r="BO42"/>
      <c r="BW42"/>
      <c r="BX42"/>
    </row>
    <row r="43" spans="2:102" x14ac:dyDescent="0.2">
      <c r="BM43" s="11"/>
      <c r="BO43"/>
      <c r="BW43"/>
      <c r="BX43"/>
    </row>
    <row r="44" spans="2:102" x14ac:dyDescent="0.2">
      <c r="BM44" s="11"/>
      <c r="BO44"/>
      <c r="BW44"/>
      <c r="BX44"/>
    </row>
    <row r="45" spans="2:102" x14ac:dyDescent="0.2">
      <c r="BM45" s="11"/>
      <c r="BO45"/>
      <c r="BW45"/>
      <c r="BX45"/>
    </row>
    <row r="46" spans="2:102" x14ac:dyDescent="0.2">
      <c r="BM46" s="11"/>
      <c r="BO46"/>
      <c r="BW46"/>
      <c r="BX46"/>
    </row>
    <row r="47" spans="2:102" x14ac:dyDescent="0.2">
      <c r="BM47" s="11"/>
      <c r="BO47"/>
      <c r="BW47"/>
      <c r="BX47"/>
    </row>
    <row r="48" spans="2:102" x14ac:dyDescent="0.2">
      <c r="BM48" s="11"/>
      <c r="BO48"/>
      <c r="BW48"/>
      <c r="BX48"/>
    </row>
    <row r="49" spans="65:76" x14ac:dyDescent="0.2">
      <c r="BM49" s="11"/>
      <c r="BO49"/>
      <c r="BW49"/>
      <c r="BX49"/>
    </row>
    <row r="50" spans="65:76" x14ac:dyDescent="0.2">
      <c r="BM50" s="11"/>
      <c r="BO50"/>
      <c r="BW50"/>
      <c r="BX50"/>
    </row>
    <row r="51" spans="65:76" x14ac:dyDescent="0.2">
      <c r="BM51" s="11"/>
      <c r="BO51"/>
      <c r="BW51"/>
      <c r="BX51"/>
    </row>
    <row r="52" spans="65:76" x14ac:dyDescent="0.2">
      <c r="BM52" s="11"/>
      <c r="BO52"/>
      <c r="BW52"/>
      <c r="BX52"/>
    </row>
    <row r="53" spans="65:76" x14ac:dyDescent="0.2">
      <c r="BM53" s="11"/>
      <c r="BO53"/>
      <c r="BW53"/>
      <c r="BX53"/>
    </row>
    <row r="54" spans="65:76" x14ac:dyDescent="0.2">
      <c r="BM54" s="11"/>
      <c r="BO54"/>
      <c r="BW54"/>
      <c r="BX54"/>
    </row>
    <row r="55" spans="65:76" x14ac:dyDescent="0.2">
      <c r="BM55" s="11"/>
      <c r="BO55"/>
      <c r="BW55"/>
      <c r="BX55"/>
    </row>
    <row r="56" spans="65:76" x14ac:dyDescent="0.2">
      <c r="BM56" s="11"/>
      <c r="BO56"/>
      <c r="BW56"/>
      <c r="BX56"/>
    </row>
    <row r="57" spans="65:76" x14ac:dyDescent="0.2">
      <c r="BM57" s="11"/>
      <c r="BO57"/>
      <c r="BW57"/>
      <c r="BX57"/>
    </row>
    <row r="58" spans="65:76" x14ac:dyDescent="0.2">
      <c r="BM58" s="11"/>
      <c r="BO58"/>
      <c r="BW58"/>
      <c r="BX58"/>
    </row>
    <row r="59" spans="65:76" x14ac:dyDescent="0.2">
      <c r="BM59" s="11"/>
      <c r="BO59"/>
      <c r="BW59"/>
      <c r="BX59"/>
    </row>
    <row r="60" spans="65:76" x14ac:dyDescent="0.2">
      <c r="BM60" s="11"/>
      <c r="BO60"/>
      <c r="BW60"/>
      <c r="BX60"/>
    </row>
    <row r="61" spans="65:76" x14ac:dyDescent="0.2">
      <c r="BM61" s="11"/>
      <c r="BO61"/>
      <c r="BW61"/>
      <c r="BX61"/>
    </row>
    <row r="62" spans="65:76" x14ac:dyDescent="0.2">
      <c r="BM62" s="11"/>
      <c r="BO62"/>
      <c r="BW62"/>
      <c r="BX62"/>
    </row>
    <row r="63" spans="65:76" x14ac:dyDescent="0.2">
      <c r="BM63" s="11"/>
      <c r="BO63"/>
      <c r="BW63"/>
      <c r="BX63"/>
    </row>
    <row r="64" spans="65:76" x14ac:dyDescent="0.2">
      <c r="BM64" s="11"/>
      <c r="BO64"/>
      <c r="BW64"/>
      <c r="BX64"/>
    </row>
    <row r="65" spans="21:102" x14ac:dyDescent="0.2">
      <c r="BM65" s="11"/>
      <c r="BO65"/>
      <c r="BW65"/>
      <c r="BX65"/>
    </row>
    <row r="66" spans="21:102" x14ac:dyDescent="0.2">
      <c r="BM66" s="11"/>
      <c r="BO66"/>
      <c r="BW66"/>
      <c r="BX66"/>
    </row>
    <row r="67" spans="21:102" x14ac:dyDescent="0.2">
      <c r="BM67" s="11"/>
      <c r="BO67"/>
      <c r="BW67"/>
      <c r="BX67"/>
      <c r="BY67" s="6"/>
      <c r="BZ67" s="18"/>
      <c r="CA67" s="29"/>
      <c r="CE67" s="20"/>
      <c r="CF67" s="8"/>
      <c r="CK67" s="9"/>
      <c r="CL67" s="9"/>
      <c r="CM67" s="6"/>
      <c r="CN67" s="6"/>
      <c r="CO67" s="6"/>
      <c r="CP67" s="9"/>
      <c r="CQ67" s="9"/>
      <c r="CR67" s="9"/>
      <c r="CW67" s="6"/>
      <c r="CX67" s="6"/>
    </row>
    <row r="68" spans="21:102" x14ac:dyDescent="0.2">
      <c r="BO68"/>
      <c r="BR68" s="5"/>
      <c r="BW68"/>
      <c r="BX68"/>
      <c r="BZ68" s="15"/>
      <c r="CA68" s="27"/>
    </row>
    <row r="71" spans="21:102" x14ac:dyDescent="0.2">
      <c r="U71">
        <f>390/24</f>
        <v>16.25</v>
      </c>
    </row>
    <row r="76" spans="21:102" x14ac:dyDescent="0.2">
      <c r="BM76" s="8"/>
    </row>
  </sheetData>
  <autoFilter ref="A13:CI67" xr:uid="{B3D1077A-180E-2048-ACB0-3483679027C1}"/>
  <mergeCells count="2">
    <mergeCell ref="BA12:BK12"/>
    <mergeCell ref="BN12:CT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909D-4362-6141-B69C-5A4F0347F4D7}">
  <dimension ref="A1:CE141"/>
  <sheetViews>
    <sheetView topLeftCell="A96" workbookViewId="0">
      <selection activeCell="P118" sqref="P118:P141"/>
    </sheetView>
  </sheetViews>
  <sheetFormatPr baseColWidth="10" defaultColWidth="8.83203125" defaultRowHeight="16" x14ac:dyDescent="0.2"/>
  <cols>
    <col min="5" max="5" width="16.6640625" customWidth="1"/>
  </cols>
  <sheetData>
    <row r="1" spans="1:78" ht="24" x14ac:dyDescent="0.3">
      <c r="D1" s="42" t="s">
        <v>231</v>
      </c>
      <c r="E1" s="43" t="s">
        <v>232</v>
      </c>
      <c r="F1" t="s">
        <v>233</v>
      </c>
      <c r="G1" t="s">
        <v>234</v>
      </c>
    </row>
    <row r="2" spans="1:78" x14ac:dyDescent="0.2">
      <c r="E2" s="44" t="s">
        <v>235</v>
      </c>
      <c r="F2" s="45">
        <v>2.4984999999999999</v>
      </c>
      <c r="G2" s="46">
        <v>4.8133983013937273E-2</v>
      </c>
    </row>
    <row r="3" spans="1:78" x14ac:dyDescent="0.2">
      <c r="E3" s="47" t="s">
        <v>236</v>
      </c>
      <c r="F3" s="45">
        <v>1</v>
      </c>
      <c r="G3" s="46">
        <v>9.6267966027874536E-3</v>
      </c>
    </row>
    <row r="4" spans="1:78" x14ac:dyDescent="0.2">
      <c r="E4" s="44" t="s">
        <v>237</v>
      </c>
      <c r="F4" s="45">
        <v>2.5</v>
      </c>
      <c r="G4" s="46">
        <v>2.4066991506968637E-2</v>
      </c>
    </row>
    <row r="5" spans="1:78" x14ac:dyDescent="0.2">
      <c r="E5" s="44" t="s">
        <v>238</v>
      </c>
      <c r="F5" s="45">
        <v>1</v>
      </c>
      <c r="G5" s="46">
        <v>9.6267966027874536E-3</v>
      </c>
    </row>
    <row r="6" spans="1:78" x14ac:dyDescent="0.2">
      <c r="E6" s="47" t="s">
        <v>239</v>
      </c>
      <c r="F6" s="45">
        <v>1.2493000000000001</v>
      </c>
      <c r="G6" s="46">
        <v>2.4066991506968637E-2</v>
      </c>
    </row>
    <row r="7" spans="1:78" x14ac:dyDescent="0.2">
      <c r="E7" s="44" t="s">
        <v>240</v>
      </c>
      <c r="F7" s="45">
        <v>4.9969999999999999</v>
      </c>
      <c r="G7" s="46">
        <v>9.6267966027874546E-2</v>
      </c>
    </row>
    <row r="8" spans="1:78" x14ac:dyDescent="0.2">
      <c r="E8" s="44" t="s">
        <v>241</v>
      </c>
      <c r="F8" s="45">
        <v>4.9969999999999999</v>
      </c>
      <c r="G8" s="46">
        <v>9.6267966027874546E-2</v>
      </c>
    </row>
    <row r="9" spans="1:78" x14ac:dyDescent="0.2">
      <c r="E9" s="44" t="s">
        <v>242</v>
      </c>
      <c r="F9" s="45">
        <v>2.4984999999999999</v>
      </c>
      <c r="G9" s="46">
        <v>4.8133983013937273E-2</v>
      </c>
    </row>
    <row r="10" spans="1:78" x14ac:dyDescent="0.2">
      <c r="E10" s="44" t="s">
        <v>243</v>
      </c>
      <c r="F10" s="45">
        <v>0.49969999999999998</v>
      </c>
      <c r="G10" s="46">
        <v>9.6267966027874536E-3</v>
      </c>
    </row>
    <row r="11" spans="1:78" x14ac:dyDescent="0.2">
      <c r="A11" t="s">
        <v>278</v>
      </c>
      <c r="H11" t="s">
        <v>244</v>
      </c>
      <c r="O11" t="s">
        <v>279</v>
      </c>
      <c r="V11" t="s">
        <v>247</v>
      </c>
      <c r="AC11" t="s">
        <v>278</v>
      </c>
      <c r="AJ11" t="s">
        <v>244</v>
      </c>
      <c r="AQ11" t="s">
        <v>244</v>
      </c>
      <c r="AX11" t="s">
        <v>245</v>
      </c>
      <c r="BE11" t="s">
        <v>244</v>
      </c>
      <c r="BL11" t="s">
        <v>247</v>
      </c>
      <c r="BS11" t="s">
        <v>244</v>
      </c>
      <c r="BZ11" t="s">
        <v>279</v>
      </c>
    </row>
    <row r="13" spans="1:78" x14ac:dyDescent="0.2">
      <c r="A13" t="s">
        <v>248</v>
      </c>
      <c r="H13" t="s">
        <v>248</v>
      </c>
      <c r="O13" t="s">
        <v>248</v>
      </c>
      <c r="V13" t="s">
        <v>248</v>
      </c>
      <c r="AC13" t="s">
        <v>248</v>
      </c>
      <c r="AJ13" t="s">
        <v>248</v>
      </c>
      <c r="AQ13" t="s">
        <v>248</v>
      </c>
      <c r="AX13" t="s">
        <v>248</v>
      </c>
      <c r="BE13" t="s">
        <v>248</v>
      </c>
      <c r="BL13" t="s">
        <v>248</v>
      </c>
      <c r="BS13" t="s">
        <v>248</v>
      </c>
      <c r="BZ13" t="s">
        <v>248</v>
      </c>
    </row>
    <row r="14" spans="1:78" x14ac:dyDescent="0.2">
      <c r="A14" t="s">
        <v>280</v>
      </c>
      <c r="H14" t="s">
        <v>281</v>
      </c>
      <c r="O14" t="s">
        <v>282</v>
      </c>
      <c r="V14" t="s">
        <v>283</v>
      </c>
      <c r="AC14" t="s">
        <v>284</v>
      </c>
      <c r="AJ14" t="s">
        <v>285</v>
      </c>
      <c r="AQ14" t="s">
        <v>286</v>
      </c>
      <c r="AX14" t="s">
        <v>287</v>
      </c>
      <c r="BE14" t="s">
        <v>288</v>
      </c>
      <c r="BL14" t="s">
        <v>289</v>
      </c>
      <c r="BS14" t="s">
        <v>290</v>
      </c>
      <c r="BZ14" t="s">
        <v>291</v>
      </c>
    </row>
    <row r="15" spans="1:78" x14ac:dyDescent="0.2">
      <c r="A15" t="s">
        <v>249</v>
      </c>
      <c r="H15" t="s">
        <v>249</v>
      </c>
      <c r="O15" t="s">
        <v>249</v>
      </c>
      <c r="V15" t="s">
        <v>249</v>
      </c>
      <c r="AC15" t="s">
        <v>249</v>
      </c>
      <c r="AJ15" t="s">
        <v>249</v>
      </c>
      <c r="AQ15" t="s">
        <v>249</v>
      </c>
      <c r="AX15" t="s">
        <v>249</v>
      </c>
      <c r="BE15" t="s">
        <v>249</v>
      </c>
      <c r="BL15" t="s">
        <v>249</v>
      </c>
      <c r="BS15" t="s">
        <v>249</v>
      </c>
      <c r="BZ15" t="s">
        <v>249</v>
      </c>
    </row>
    <row r="16" spans="1:78" x14ac:dyDescent="0.2">
      <c r="A16" t="s">
        <v>292</v>
      </c>
      <c r="H16" t="s">
        <v>293</v>
      </c>
      <c r="O16" t="s">
        <v>294</v>
      </c>
      <c r="V16" t="s">
        <v>295</v>
      </c>
      <c r="AC16" t="s">
        <v>296</v>
      </c>
      <c r="AJ16" t="s">
        <v>297</v>
      </c>
      <c r="AQ16" t="s">
        <v>298</v>
      </c>
      <c r="AX16" t="s">
        <v>299</v>
      </c>
      <c r="BE16" t="s">
        <v>300</v>
      </c>
      <c r="BL16" t="s">
        <v>301</v>
      </c>
      <c r="BS16" t="s">
        <v>302</v>
      </c>
      <c r="BZ16" t="s">
        <v>303</v>
      </c>
    </row>
    <row r="17" spans="1:78" x14ac:dyDescent="0.2">
      <c r="A17" t="s">
        <v>250</v>
      </c>
      <c r="H17" t="s">
        <v>250</v>
      </c>
      <c r="O17" t="s">
        <v>250</v>
      </c>
      <c r="V17" t="s">
        <v>250</v>
      </c>
      <c r="AC17" t="s">
        <v>250</v>
      </c>
      <c r="AJ17" t="s">
        <v>250</v>
      </c>
      <c r="AQ17" t="s">
        <v>250</v>
      </c>
      <c r="AX17" t="s">
        <v>250</v>
      </c>
      <c r="BE17" t="s">
        <v>250</v>
      </c>
      <c r="BL17" t="s">
        <v>250</v>
      </c>
      <c r="BS17" t="s">
        <v>250</v>
      </c>
      <c r="BZ17" t="s">
        <v>250</v>
      </c>
    </row>
    <row r="18" spans="1:78" s="49" customFormat="1" ht="29" x14ac:dyDescent="0.35">
      <c r="A18" s="49" t="s">
        <v>304</v>
      </c>
      <c r="H18" s="49" t="s">
        <v>305</v>
      </c>
      <c r="O18" s="49" t="s">
        <v>306</v>
      </c>
      <c r="V18" s="49" t="s">
        <v>307</v>
      </c>
      <c r="AC18" s="49" t="s">
        <v>308</v>
      </c>
      <c r="AJ18" s="49" t="s">
        <v>309</v>
      </c>
      <c r="AQ18" s="49" t="s">
        <v>310</v>
      </c>
      <c r="AX18" s="49" t="s">
        <v>311</v>
      </c>
      <c r="BE18" s="49" t="s">
        <v>312</v>
      </c>
      <c r="BL18" s="49" t="s">
        <v>313</v>
      </c>
      <c r="BS18" s="49" t="s">
        <v>314</v>
      </c>
      <c r="BZ18" s="49" t="s">
        <v>315</v>
      </c>
    </row>
    <row r="19" spans="1:78" x14ac:dyDescent="0.2">
      <c r="A19" t="s">
        <v>251</v>
      </c>
      <c r="H19" t="s">
        <v>251</v>
      </c>
      <c r="O19" t="s">
        <v>251</v>
      </c>
      <c r="V19" t="s">
        <v>251</v>
      </c>
      <c r="AC19" t="s">
        <v>251</v>
      </c>
      <c r="AJ19" t="s">
        <v>251</v>
      </c>
      <c r="AQ19" t="s">
        <v>251</v>
      </c>
      <c r="AX19" t="s">
        <v>251</v>
      </c>
      <c r="BE19" t="s">
        <v>251</v>
      </c>
      <c r="BL19" t="s">
        <v>251</v>
      </c>
      <c r="BS19" t="s">
        <v>251</v>
      </c>
      <c r="BZ19" t="s">
        <v>251</v>
      </c>
    </row>
    <row r="20" spans="1:78" x14ac:dyDescent="0.2">
      <c r="A20" t="s">
        <v>316</v>
      </c>
      <c r="H20" t="s">
        <v>317</v>
      </c>
      <c r="O20" t="s">
        <v>318</v>
      </c>
      <c r="V20" t="s">
        <v>319</v>
      </c>
      <c r="AC20" t="s">
        <v>320</v>
      </c>
      <c r="AJ20" t="s">
        <v>321</v>
      </c>
      <c r="AQ20" t="s">
        <v>322</v>
      </c>
      <c r="AX20" t="s">
        <v>323</v>
      </c>
      <c r="BE20" t="s">
        <v>324</v>
      </c>
      <c r="BL20" t="s">
        <v>325</v>
      </c>
      <c r="BS20" t="s">
        <v>326</v>
      </c>
      <c r="BZ20" t="s">
        <v>327</v>
      </c>
    </row>
    <row r="22" spans="1:78" x14ac:dyDescent="0.2">
      <c r="A22" t="s">
        <v>252</v>
      </c>
      <c r="H22" t="s">
        <v>252</v>
      </c>
      <c r="O22" t="s">
        <v>252</v>
      </c>
      <c r="V22" t="s">
        <v>252</v>
      </c>
      <c r="AC22" t="s">
        <v>252</v>
      </c>
      <c r="AJ22" t="s">
        <v>252</v>
      </c>
      <c r="AQ22" t="s">
        <v>252</v>
      </c>
      <c r="AX22" t="s">
        <v>252</v>
      </c>
      <c r="BE22" t="s">
        <v>252</v>
      </c>
      <c r="BL22" t="s">
        <v>252</v>
      </c>
      <c r="BS22" t="s">
        <v>252</v>
      </c>
      <c r="BZ22" t="s">
        <v>252</v>
      </c>
    </row>
    <row r="23" spans="1:78" x14ac:dyDescent="0.2">
      <c r="A23" t="s">
        <v>328</v>
      </c>
      <c r="H23" t="s">
        <v>329</v>
      </c>
      <c r="O23" t="s">
        <v>330</v>
      </c>
      <c r="V23" t="s">
        <v>331</v>
      </c>
      <c r="AC23" t="s">
        <v>332</v>
      </c>
      <c r="AJ23" t="s">
        <v>333</v>
      </c>
      <c r="AQ23" t="s">
        <v>334</v>
      </c>
      <c r="AX23" t="s">
        <v>335</v>
      </c>
      <c r="BE23" t="s">
        <v>336</v>
      </c>
      <c r="BL23" t="s">
        <v>337</v>
      </c>
      <c r="BS23" t="s">
        <v>338</v>
      </c>
      <c r="BZ23" t="s">
        <v>339</v>
      </c>
    </row>
    <row r="24" spans="1:78" x14ac:dyDescent="0.2">
      <c r="A24" t="s">
        <v>253</v>
      </c>
      <c r="H24" t="s">
        <v>253</v>
      </c>
      <c r="O24" t="s">
        <v>253</v>
      </c>
      <c r="V24" t="s">
        <v>253</v>
      </c>
      <c r="AC24" t="s">
        <v>253</v>
      </c>
      <c r="AJ24" t="s">
        <v>253</v>
      </c>
      <c r="AQ24" t="s">
        <v>253</v>
      </c>
      <c r="AX24" t="s">
        <v>253</v>
      </c>
      <c r="BE24" t="s">
        <v>253</v>
      </c>
      <c r="BL24" t="s">
        <v>253</v>
      </c>
      <c r="BS24" t="s">
        <v>253</v>
      </c>
      <c r="BZ24" t="s">
        <v>253</v>
      </c>
    </row>
    <row r="25" spans="1:78" x14ac:dyDescent="0.2">
      <c r="A25" t="s">
        <v>254</v>
      </c>
      <c r="H25" t="s">
        <v>254</v>
      </c>
      <c r="O25" t="s">
        <v>254</v>
      </c>
      <c r="V25" t="s">
        <v>254</v>
      </c>
      <c r="AC25" t="s">
        <v>254</v>
      </c>
      <c r="AJ25" t="s">
        <v>254</v>
      </c>
      <c r="AQ25" t="s">
        <v>254</v>
      </c>
      <c r="AX25" t="s">
        <v>254</v>
      </c>
      <c r="BE25" t="s">
        <v>254</v>
      </c>
      <c r="BL25" t="s">
        <v>254</v>
      </c>
      <c r="BS25" t="s">
        <v>254</v>
      </c>
      <c r="BZ25" t="s">
        <v>254</v>
      </c>
    </row>
    <row r="26" spans="1:78" x14ac:dyDescent="0.2">
      <c r="A26" t="s">
        <v>255</v>
      </c>
      <c r="H26" t="s">
        <v>255</v>
      </c>
      <c r="O26" t="s">
        <v>255</v>
      </c>
      <c r="V26" t="s">
        <v>255</v>
      </c>
      <c r="AC26" t="s">
        <v>255</v>
      </c>
      <c r="AJ26" t="s">
        <v>255</v>
      </c>
      <c r="AQ26" t="s">
        <v>255</v>
      </c>
      <c r="AX26" t="s">
        <v>255</v>
      </c>
      <c r="BE26" t="s">
        <v>255</v>
      </c>
      <c r="BL26" t="s">
        <v>255</v>
      </c>
      <c r="BS26" t="s">
        <v>255</v>
      </c>
      <c r="BZ26" t="s">
        <v>255</v>
      </c>
    </row>
    <row r="27" spans="1:78" x14ac:dyDescent="0.2">
      <c r="A27" t="s">
        <v>256</v>
      </c>
      <c r="H27" t="s">
        <v>256</v>
      </c>
      <c r="O27" t="s">
        <v>256</v>
      </c>
      <c r="V27" t="s">
        <v>256</v>
      </c>
      <c r="AC27" t="s">
        <v>256</v>
      </c>
      <c r="AJ27" t="s">
        <v>256</v>
      </c>
      <c r="AQ27" t="s">
        <v>256</v>
      </c>
      <c r="AX27" t="s">
        <v>256</v>
      </c>
      <c r="BE27" t="s">
        <v>256</v>
      </c>
      <c r="BL27" t="s">
        <v>256</v>
      </c>
      <c r="BS27" t="s">
        <v>256</v>
      </c>
      <c r="BZ27" t="s">
        <v>256</v>
      </c>
    </row>
    <row r="28" spans="1:78" x14ac:dyDescent="0.2">
      <c r="A28" t="s">
        <v>257</v>
      </c>
      <c r="H28" t="s">
        <v>257</v>
      </c>
      <c r="O28" t="s">
        <v>257</v>
      </c>
      <c r="V28" t="s">
        <v>257</v>
      </c>
      <c r="AC28" t="s">
        <v>257</v>
      </c>
      <c r="AJ28" t="s">
        <v>257</v>
      </c>
      <c r="AQ28" t="s">
        <v>257</v>
      </c>
      <c r="AX28" t="s">
        <v>257</v>
      </c>
      <c r="BE28" t="s">
        <v>257</v>
      </c>
      <c r="BL28" t="s">
        <v>257</v>
      </c>
      <c r="BS28" t="s">
        <v>257</v>
      </c>
      <c r="BZ28" t="s">
        <v>257</v>
      </c>
    </row>
    <row r="30" spans="1:78" x14ac:dyDescent="0.2">
      <c r="A30" t="s">
        <v>258</v>
      </c>
      <c r="H30" t="s">
        <v>258</v>
      </c>
      <c r="O30" t="s">
        <v>258</v>
      </c>
      <c r="V30" t="s">
        <v>258</v>
      </c>
      <c r="AC30" t="s">
        <v>258</v>
      </c>
      <c r="AJ30" t="s">
        <v>258</v>
      </c>
      <c r="AQ30" t="s">
        <v>258</v>
      </c>
      <c r="AX30" t="s">
        <v>258</v>
      </c>
      <c r="BE30" t="s">
        <v>258</v>
      </c>
      <c r="BL30" t="s">
        <v>258</v>
      </c>
      <c r="BS30" t="s">
        <v>258</v>
      </c>
      <c r="BZ30" t="s">
        <v>258</v>
      </c>
    </row>
    <row r="31" spans="1:78" x14ac:dyDescent="0.2">
      <c r="A31" t="s">
        <v>259</v>
      </c>
      <c r="H31" t="s">
        <v>259</v>
      </c>
      <c r="O31" t="s">
        <v>259</v>
      </c>
      <c r="V31" t="s">
        <v>259</v>
      </c>
      <c r="AC31" t="s">
        <v>259</v>
      </c>
      <c r="AJ31" t="s">
        <v>259</v>
      </c>
      <c r="AQ31" t="s">
        <v>259</v>
      </c>
      <c r="AX31" t="s">
        <v>259</v>
      </c>
      <c r="BE31" t="s">
        <v>259</v>
      </c>
      <c r="BL31" t="s">
        <v>259</v>
      </c>
      <c r="BS31" t="s">
        <v>259</v>
      </c>
      <c r="BZ31" t="s">
        <v>259</v>
      </c>
    </row>
    <row r="32" spans="1:78" x14ac:dyDescent="0.2">
      <c r="A32" t="s">
        <v>260</v>
      </c>
      <c r="H32" t="s">
        <v>260</v>
      </c>
      <c r="O32" t="s">
        <v>260</v>
      </c>
      <c r="V32" t="s">
        <v>260</v>
      </c>
      <c r="AC32" t="s">
        <v>260</v>
      </c>
      <c r="AJ32" t="s">
        <v>260</v>
      </c>
      <c r="AQ32" t="s">
        <v>260</v>
      </c>
      <c r="AX32" t="s">
        <v>260</v>
      </c>
      <c r="BE32" t="s">
        <v>260</v>
      </c>
      <c r="BL32" t="s">
        <v>260</v>
      </c>
      <c r="BS32" t="s">
        <v>260</v>
      </c>
      <c r="BZ32" t="s">
        <v>260</v>
      </c>
    </row>
    <row r="34" spans="1:83" x14ac:dyDescent="0.2">
      <c r="A34" t="s">
        <v>261</v>
      </c>
      <c r="H34" t="s">
        <v>261</v>
      </c>
      <c r="O34" t="s">
        <v>261</v>
      </c>
      <c r="V34" t="s">
        <v>261</v>
      </c>
      <c r="AC34" t="s">
        <v>261</v>
      </c>
      <c r="AJ34" t="s">
        <v>261</v>
      </c>
      <c r="AQ34" t="s">
        <v>261</v>
      </c>
      <c r="AX34" t="s">
        <v>261</v>
      </c>
      <c r="BE34" t="s">
        <v>261</v>
      </c>
      <c r="BL34" t="s">
        <v>261</v>
      </c>
      <c r="BS34" t="s">
        <v>261</v>
      </c>
      <c r="BZ34" t="s">
        <v>261</v>
      </c>
    </row>
    <row r="35" spans="1:83" x14ac:dyDescent="0.2">
      <c r="A35" t="s">
        <v>262</v>
      </c>
      <c r="H35" t="s">
        <v>262</v>
      </c>
      <c r="O35" t="s">
        <v>262</v>
      </c>
      <c r="V35" t="s">
        <v>262</v>
      </c>
      <c r="AC35" t="s">
        <v>262</v>
      </c>
      <c r="AJ35" t="s">
        <v>262</v>
      </c>
      <c r="AQ35" t="s">
        <v>262</v>
      </c>
      <c r="AX35" t="s">
        <v>262</v>
      </c>
      <c r="BE35" t="s">
        <v>262</v>
      </c>
      <c r="BL35" t="s">
        <v>262</v>
      </c>
      <c r="BS35" t="s">
        <v>262</v>
      </c>
      <c r="BZ35" t="s">
        <v>262</v>
      </c>
    </row>
    <row r="37" spans="1:83" x14ac:dyDescent="0.2">
      <c r="A37" t="s">
        <v>263</v>
      </c>
      <c r="E37" s="40" t="s">
        <v>229</v>
      </c>
      <c r="H37" t="s">
        <v>263</v>
      </c>
      <c r="L37" s="40" t="s">
        <v>229</v>
      </c>
      <c r="O37" t="s">
        <v>263</v>
      </c>
      <c r="S37" s="40" t="s">
        <v>229</v>
      </c>
      <c r="V37" t="s">
        <v>263</v>
      </c>
      <c r="Z37" s="40" t="s">
        <v>229</v>
      </c>
      <c r="AC37" t="s">
        <v>263</v>
      </c>
      <c r="AG37" s="40" t="s">
        <v>229</v>
      </c>
      <c r="AJ37" t="s">
        <v>263</v>
      </c>
      <c r="AN37" s="40" t="s">
        <v>229</v>
      </c>
      <c r="AQ37" t="s">
        <v>263</v>
      </c>
      <c r="AU37" s="40" t="s">
        <v>229</v>
      </c>
      <c r="AX37" t="s">
        <v>263</v>
      </c>
      <c r="BB37" s="40" t="s">
        <v>229</v>
      </c>
      <c r="BE37" t="s">
        <v>263</v>
      </c>
      <c r="BI37" s="40" t="s">
        <v>229</v>
      </c>
      <c r="BL37" t="s">
        <v>263</v>
      </c>
      <c r="BP37" s="40" t="s">
        <v>229</v>
      </c>
      <c r="BS37" t="s">
        <v>263</v>
      </c>
      <c r="BW37" s="40" t="s">
        <v>229</v>
      </c>
      <c r="BZ37" t="s">
        <v>263</v>
      </c>
      <c r="CD37" s="40" t="s">
        <v>229</v>
      </c>
    </row>
    <row r="38" spans="1:83" x14ac:dyDescent="0.2">
      <c r="A38" t="s">
        <v>264</v>
      </c>
      <c r="B38" t="s">
        <v>235</v>
      </c>
      <c r="C38">
        <v>7.9420000000000002</v>
      </c>
      <c r="D38">
        <v>73207602</v>
      </c>
      <c r="E38" s="40">
        <v>0.84799999999999998</v>
      </c>
      <c r="H38" t="s">
        <v>264</v>
      </c>
      <c r="I38" t="s">
        <v>235</v>
      </c>
      <c r="J38">
        <v>7.9429999999999996</v>
      </c>
      <c r="K38">
        <v>82043737</v>
      </c>
      <c r="L38" s="40">
        <v>0.95199999999999996</v>
      </c>
      <c r="O38" t="s">
        <v>264</v>
      </c>
      <c r="P38" t="s">
        <v>235</v>
      </c>
      <c r="Q38">
        <v>7.9409999999999998</v>
      </c>
      <c r="R38">
        <v>79164066</v>
      </c>
      <c r="S38" s="40">
        <v>0.91800000000000004</v>
      </c>
      <c r="V38" t="s">
        <v>264</v>
      </c>
      <c r="W38" t="s">
        <v>235</v>
      </c>
      <c r="X38">
        <v>7.9420000000000002</v>
      </c>
      <c r="Y38">
        <v>73987487</v>
      </c>
      <c r="Z38" s="40">
        <v>0.85699999999999998</v>
      </c>
      <c r="AC38" t="s">
        <v>264</v>
      </c>
      <c r="AD38" t="s">
        <v>235</v>
      </c>
      <c r="AE38">
        <v>7.9379999999999997</v>
      </c>
      <c r="AF38">
        <v>85283069</v>
      </c>
      <c r="AG38" s="40">
        <v>0.99099999999999999</v>
      </c>
      <c r="AJ38" t="s">
        <v>264</v>
      </c>
      <c r="AK38" t="s">
        <v>235</v>
      </c>
      <c r="AL38">
        <v>7.9390000000000001</v>
      </c>
      <c r="AM38">
        <v>87033580</v>
      </c>
      <c r="AN38" s="40">
        <v>1.012</v>
      </c>
      <c r="AQ38" t="s">
        <v>264</v>
      </c>
      <c r="AR38" t="s">
        <v>235</v>
      </c>
      <c r="AS38">
        <v>7.9379999999999997</v>
      </c>
      <c r="AT38">
        <v>101830873</v>
      </c>
      <c r="AU38" s="40">
        <v>1.1870000000000001</v>
      </c>
      <c r="AX38" t="s">
        <v>264</v>
      </c>
      <c r="AY38" t="s">
        <v>235</v>
      </c>
      <c r="AZ38">
        <v>7.9379999999999997</v>
      </c>
      <c r="BA38">
        <v>76867734</v>
      </c>
      <c r="BB38" s="40">
        <v>0.89100000000000001</v>
      </c>
      <c r="BE38" t="s">
        <v>264</v>
      </c>
      <c r="BF38" t="s">
        <v>235</v>
      </c>
      <c r="BG38">
        <v>7.94</v>
      </c>
      <c r="BH38">
        <v>71724761</v>
      </c>
      <c r="BI38" s="40">
        <v>0.83</v>
      </c>
      <c r="BL38" t="s">
        <v>264</v>
      </c>
      <c r="BM38" t="s">
        <v>235</v>
      </c>
      <c r="BN38">
        <v>7.9269999999999996</v>
      </c>
      <c r="BO38">
        <v>63277539</v>
      </c>
      <c r="BP38" s="40">
        <v>0.73</v>
      </c>
      <c r="BS38" t="s">
        <v>264</v>
      </c>
      <c r="BT38" t="s">
        <v>235</v>
      </c>
      <c r="BU38">
        <v>7.9359999999999999</v>
      </c>
      <c r="BV38">
        <v>82571561</v>
      </c>
      <c r="BW38" s="40">
        <v>0.95899999999999996</v>
      </c>
      <c r="BZ38" t="s">
        <v>264</v>
      </c>
      <c r="CA38" t="s">
        <v>235</v>
      </c>
      <c r="CB38">
        <v>7.9340000000000002</v>
      </c>
      <c r="CC38">
        <v>82702778</v>
      </c>
      <c r="CD38" s="40">
        <v>0.96</v>
      </c>
    </row>
    <row r="39" spans="1:83" x14ac:dyDescent="0.2">
      <c r="A39" t="s">
        <v>265</v>
      </c>
      <c r="B39" t="s">
        <v>236</v>
      </c>
      <c r="C39">
        <v>0</v>
      </c>
      <c r="D39">
        <v>0</v>
      </c>
      <c r="E39" s="40" t="s">
        <v>230</v>
      </c>
      <c r="H39" t="s">
        <v>265</v>
      </c>
      <c r="I39" t="s">
        <v>236</v>
      </c>
      <c r="J39">
        <v>0</v>
      </c>
      <c r="K39">
        <v>0</v>
      </c>
      <c r="L39" s="40" t="s">
        <v>230</v>
      </c>
      <c r="O39" t="s">
        <v>265</v>
      </c>
      <c r="P39" t="s">
        <v>236</v>
      </c>
      <c r="Q39">
        <v>0</v>
      </c>
      <c r="R39">
        <v>0</v>
      </c>
      <c r="S39" s="40" t="s">
        <v>230</v>
      </c>
      <c r="T39" t="s">
        <v>340</v>
      </c>
      <c r="V39" t="s">
        <v>265</v>
      </c>
      <c r="W39" t="s">
        <v>236</v>
      </c>
      <c r="X39">
        <v>0</v>
      </c>
      <c r="Y39">
        <v>0</v>
      </c>
      <c r="Z39" s="40" t="s">
        <v>341</v>
      </c>
      <c r="AC39" t="s">
        <v>265</v>
      </c>
      <c r="AD39" t="s">
        <v>236</v>
      </c>
      <c r="AE39">
        <v>0</v>
      </c>
      <c r="AF39">
        <v>0</v>
      </c>
      <c r="AG39" s="40" t="s">
        <v>230</v>
      </c>
      <c r="AH39" t="s">
        <v>340</v>
      </c>
      <c r="AJ39" t="s">
        <v>265</v>
      </c>
      <c r="AK39" t="s">
        <v>236</v>
      </c>
      <c r="AL39">
        <v>0</v>
      </c>
      <c r="AM39">
        <v>0</v>
      </c>
      <c r="AN39" s="40" t="s">
        <v>230</v>
      </c>
      <c r="AO39" t="s">
        <v>340</v>
      </c>
      <c r="AQ39" t="s">
        <v>265</v>
      </c>
      <c r="AR39" t="s">
        <v>236</v>
      </c>
      <c r="AS39">
        <v>0</v>
      </c>
      <c r="AT39">
        <v>0</v>
      </c>
      <c r="AU39" s="40" t="s">
        <v>230</v>
      </c>
      <c r="AV39" t="s">
        <v>340</v>
      </c>
      <c r="AX39" t="s">
        <v>265</v>
      </c>
      <c r="AY39" t="s">
        <v>236</v>
      </c>
      <c r="AZ39">
        <v>0</v>
      </c>
      <c r="BA39">
        <v>0</v>
      </c>
      <c r="BB39" s="40" t="s">
        <v>230</v>
      </c>
      <c r="BC39" t="s">
        <v>340</v>
      </c>
      <c r="BE39" t="s">
        <v>265</v>
      </c>
      <c r="BF39" t="s">
        <v>236</v>
      </c>
      <c r="BG39">
        <v>0</v>
      </c>
      <c r="BH39">
        <v>0</v>
      </c>
      <c r="BI39" s="40" t="s">
        <v>230</v>
      </c>
      <c r="BJ39" t="s">
        <v>340</v>
      </c>
      <c r="BL39" t="s">
        <v>265</v>
      </c>
      <c r="BM39" t="s">
        <v>236</v>
      </c>
      <c r="BN39">
        <v>0</v>
      </c>
      <c r="BO39">
        <v>0</v>
      </c>
      <c r="BP39" s="40" t="s">
        <v>230</v>
      </c>
      <c r="BQ39" t="s">
        <v>340</v>
      </c>
      <c r="BS39" t="s">
        <v>265</v>
      </c>
      <c r="BT39" t="s">
        <v>236</v>
      </c>
      <c r="BU39">
        <v>0</v>
      </c>
      <c r="BV39">
        <v>0</v>
      </c>
      <c r="BW39" s="40" t="s">
        <v>230</v>
      </c>
      <c r="BZ39" t="s">
        <v>265</v>
      </c>
      <c r="CA39" t="s">
        <v>236</v>
      </c>
      <c r="CB39">
        <v>0</v>
      </c>
      <c r="CC39">
        <v>0</v>
      </c>
      <c r="CD39" s="40" t="s">
        <v>230</v>
      </c>
      <c r="CE39" t="s">
        <v>340</v>
      </c>
    </row>
    <row r="40" spans="1:83" x14ac:dyDescent="0.2">
      <c r="A40" t="s">
        <v>267</v>
      </c>
      <c r="B40" t="s">
        <v>237</v>
      </c>
      <c r="C40">
        <v>11.206</v>
      </c>
      <c r="D40">
        <v>11784375</v>
      </c>
      <c r="E40" s="40">
        <v>0.127</v>
      </c>
      <c r="F40" t="s">
        <v>266</v>
      </c>
      <c r="H40" t="s">
        <v>267</v>
      </c>
      <c r="I40" t="s">
        <v>237</v>
      </c>
      <c r="J40">
        <v>11.201000000000001</v>
      </c>
      <c r="K40">
        <v>12911640</v>
      </c>
      <c r="L40" s="40">
        <v>0.14000000000000001</v>
      </c>
      <c r="M40" t="s">
        <v>266</v>
      </c>
      <c r="O40" t="s">
        <v>267</v>
      </c>
      <c r="P40" t="s">
        <v>237</v>
      </c>
      <c r="Q40">
        <v>11.18</v>
      </c>
      <c r="R40">
        <v>21409319</v>
      </c>
      <c r="S40" s="40">
        <v>0.23899999999999999</v>
      </c>
      <c r="V40" t="s">
        <v>267</v>
      </c>
      <c r="W40" t="s">
        <v>237</v>
      </c>
      <c r="X40">
        <v>11.198</v>
      </c>
      <c r="Y40">
        <v>15680705</v>
      </c>
      <c r="Z40" s="40">
        <v>0.17299999999999999</v>
      </c>
      <c r="AC40" t="s">
        <v>267</v>
      </c>
      <c r="AD40" t="s">
        <v>237</v>
      </c>
      <c r="AE40">
        <v>11.159000000000001</v>
      </c>
      <c r="AF40">
        <v>34320415</v>
      </c>
      <c r="AG40" s="40">
        <v>0.38900000000000001</v>
      </c>
      <c r="AJ40" t="s">
        <v>267</v>
      </c>
      <c r="AK40" t="s">
        <v>237</v>
      </c>
      <c r="AL40">
        <v>11.183</v>
      </c>
      <c r="AM40">
        <v>20483066</v>
      </c>
      <c r="AN40" s="40">
        <v>0.22800000000000001</v>
      </c>
      <c r="AQ40" t="s">
        <v>267</v>
      </c>
      <c r="AR40" t="s">
        <v>237</v>
      </c>
      <c r="AS40">
        <v>11.159000000000001</v>
      </c>
      <c r="AT40">
        <v>37605894</v>
      </c>
      <c r="AU40" s="40">
        <v>0.42699999999999999</v>
      </c>
      <c r="AX40" t="s">
        <v>267</v>
      </c>
      <c r="AY40" t="s">
        <v>237</v>
      </c>
      <c r="AZ40">
        <v>11.162000000000001</v>
      </c>
      <c r="BA40">
        <v>30506773</v>
      </c>
      <c r="BB40" s="40">
        <v>0.34499999999999997</v>
      </c>
      <c r="BE40" t="s">
        <v>267</v>
      </c>
      <c r="BF40" t="s">
        <v>237</v>
      </c>
      <c r="BG40">
        <v>11.138999999999999</v>
      </c>
      <c r="BH40">
        <v>71994163</v>
      </c>
      <c r="BI40" s="40">
        <v>0.82599999999999996</v>
      </c>
      <c r="BL40" t="s">
        <v>267</v>
      </c>
      <c r="BM40" t="s">
        <v>237</v>
      </c>
      <c r="BN40">
        <v>11.138</v>
      </c>
      <c r="BO40">
        <v>29296334</v>
      </c>
      <c r="BP40" s="40">
        <v>0.33100000000000002</v>
      </c>
      <c r="BS40" t="s">
        <v>267</v>
      </c>
      <c r="BT40" t="s">
        <v>237</v>
      </c>
      <c r="BU40">
        <v>11.13</v>
      </c>
      <c r="BV40">
        <v>96580554</v>
      </c>
      <c r="BW40" s="40">
        <v>1.111</v>
      </c>
      <c r="BZ40" t="s">
        <v>267</v>
      </c>
      <c r="CA40" t="s">
        <v>237</v>
      </c>
      <c r="CB40">
        <v>11.135999999999999</v>
      </c>
      <c r="CC40">
        <v>51975684</v>
      </c>
      <c r="CD40" s="40">
        <v>0.59399999999999997</v>
      </c>
    </row>
    <row r="41" spans="1:83" x14ac:dyDescent="0.2">
      <c r="A41" t="s">
        <v>268</v>
      </c>
      <c r="B41" t="s">
        <v>269</v>
      </c>
      <c r="C41">
        <v>11.614000000000001</v>
      </c>
      <c r="D41">
        <v>3450060</v>
      </c>
      <c r="E41" s="40">
        <v>3.5999999999999997E-2</v>
      </c>
      <c r="F41" t="s">
        <v>266</v>
      </c>
      <c r="H41" t="s">
        <v>268</v>
      </c>
      <c r="I41" t="s">
        <v>269</v>
      </c>
      <c r="J41">
        <v>11.615</v>
      </c>
      <c r="K41">
        <v>1875453</v>
      </c>
      <c r="L41" s="40">
        <v>1.7999999999999999E-2</v>
      </c>
      <c r="M41" t="s">
        <v>266</v>
      </c>
      <c r="O41" t="s">
        <v>268</v>
      </c>
      <c r="P41" t="s">
        <v>269</v>
      </c>
      <c r="Q41">
        <v>11.584</v>
      </c>
      <c r="R41">
        <v>8250696</v>
      </c>
      <c r="S41" s="40">
        <v>9.0999999999999998E-2</v>
      </c>
      <c r="V41" t="s">
        <v>268</v>
      </c>
      <c r="W41" t="s">
        <v>269</v>
      </c>
      <c r="X41">
        <v>11.606</v>
      </c>
      <c r="Y41">
        <v>3494171</v>
      </c>
      <c r="Z41" s="40">
        <v>3.5999999999999997E-2</v>
      </c>
      <c r="AC41" t="s">
        <v>268</v>
      </c>
      <c r="AD41" t="s">
        <v>269</v>
      </c>
      <c r="AE41">
        <v>11.561999999999999</v>
      </c>
      <c r="AF41">
        <v>16507966</v>
      </c>
      <c r="AG41" s="40">
        <v>0.185</v>
      </c>
      <c r="AJ41" t="s">
        <v>268</v>
      </c>
      <c r="AK41" t="s">
        <v>269</v>
      </c>
      <c r="AL41">
        <v>11.586</v>
      </c>
      <c r="AM41">
        <v>6750010</v>
      </c>
      <c r="AN41" s="40">
        <v>7.2999999999999995E-2</v>
      </c>
      <c r="AQ41" t="s">
        <v>268</v>
      </c>
      <c r="AR41" t="s">
        <v>269</v>
      </c>
      <c r="AS41">
        <v>11.561999999999999</v>
      </c>
      <c r="AT41">
        <v>17164851</v>
      </c>
      <c r="AU41" s="40">
        <v>0.192</v>
      </c>
      <c r="AX41" t="s">
        <v>268</v>
      </c>
      <c r="AY41" t="s">
        <v>269</v>
      </c>
      <c r="AZ41">
        <v>11.564</v>
      </c>
      <c r="BA41">
        <v>12017832</v>
      </c>
      <c r="BB41" s="40">
        <v>0.13400000000000001</v>
      </c>
      <c r="BE41" t="s">
        <v>268</v>
      </c>
      <c r="BF41" t="s">
        <v>269</v>
      </c>
      <c r="BG41">
        <v>11.541</v>
      </c>
      <c r="BH41">
        <v>51248684</v>
      </c>
      <c r="BI41" s="40">
        <v>0.58099999999999996</v>
      </c>
      <c r="BL41" t="s">
        <v>268</v>
      </c>
      <c r="BM41" t="s">
        <v>269</v>
      </c>
      <c r="BN41">
        <v>11.538</v>
      </c>
      <c r="BO41">
        <v>15688928</v>
      </c>
      <c r="BP41" s="40">
        <v>0.17499999999999999</v>
      </c>
      <c r="BS41" t="s">
        <v>268</v>
      </c>
      <c r="BT41" t="s">
        <v>269</v>
      </c>
      <c r="BU41">
        <v>11.531000000000001</v>
      </c>
      <c r="BV41">
        <v>74121318</v>
      </c>
      <c r="BW41" s="40">
        <v>0.84199999999999997</v>
      </c>
      <c r="BZ41" t="s">
        <v>268</v>
      </c>
      <c r="CA41" t="s">
        <v>269</v>
      </c>
      <c r="CB41">
        <v>11.537000000000001</v>
      </c>
      <c r="CC41">
        <v>30332150</v>
      </c>
      <c r="CD41" s="40">
        <v>0.34300000000000003</v>
      </c>
    </row>
    <row r="42" spans="1:83" x14ac:dyDescent="0.2">
      <c r="A42" t="s">
        <v>270</v>
      </c>
      <c r="B42" t="s">
        <v>239</v>
      </c>
      <c r="C42">
        <v>14.303000000000001</v>
      </c>
      <c r="D42">
        <v>6903485</v>
      </c>
      <c r="E42" s="40">
        <v>7.3999999999999996E-2</v>
      </c>
      <c r="F42" t="s">
        <v>266</v>
      </c>
      <c r="H42" t="s">
        <v>270</v>
      </c>
      <c r="I42" t="s">
        <v>239</v>
      </c>
      <c r="J42">
        <v>14.308</v>
      </c>
      <c r="K42">
        <v>8671699</v>
      </c>
      <c r="L42" s="40">
        <v>9.4E-2</v>
      </c>
      <c r="M42" t="s">
        <v>266</v>
      </c>
      <c r="O42" t="s">
        <v>270</v>
      </c>
      <c r="P42" t="s">
        <v>239</v>
      </c>
      <c r="Q42">
        <v>14.263</v>
      </c>
      <c r="R42">
        <v>8857305</v>
      </c>
      <c r="S42" s="40">
        <v>9.6000000000000002E-2</v>
      </c>
      <c r="V42" t="s">
        <v>270</v>
      </c>
      <c r="W42" t="s">
        <v>239</v>
      </c>
      <c r="X42">
        <v>14.288</v>
      </c>
      <c r="Y42">
        <v>8367177</v>
      </c>
      <c r="Z42" s="40">
        <v>9.0999999999999998E-2</v>
      </c>
      <c r="AC42" t="s">
        <v>270</v>
      </c>
      <c r="AD42" t="s">
        <v>239</v>
      </c>
      <c r="AE42">
        <v>14.24</v>
      </c>
      <c r="AF42">
        <v>10145795</v>
      </c>
      <c r="AG42" s="40">
        <v>0.111</v>
      </c>
      <c r="AJ42" t="s">
        <v>270</v>
      </c>
      <c r="AK42" t="s">
        <v>239</v>
      </c>
      <c r="AL42">
        <v>14.260999999999999</v>
      </c>
      <c r="AM42">
        <v>8863956</v>
      </c>
      <c r="AN42" s="40">
        <v>9.6000000000000002E-2</v>
      </c>
      <c r="AQ42" t="s">
        <v>270</v>
      </c>
      <c r="AR42" t="s">
        <v>239</v>
      </c>
      <c r="AS42">
        <v>14.241</v>
      </c>
      <c r="AT42">
        <v>13412784</v>
      </c>
      <c r="AU42" s="40">
        <v>0.14799999999999999</v>
      </c>
      <c r="AX42" t="s">
        <v>270</v>
      </c>
      <c r="AY42" t="s">
        <v>239</v>
      </c>
      <c r="AZ42">
        <v>14.236000000000001</v>
      </c>
      <c r="BA42">
        <v>10727024</v>
      </c>
      <c r="BB42" s="40">
        <v>0.11700000000000001</v>
      </c>
      <c r="BE42" t="s">
        <v>270</v>
      </c>
      <c r="BF42" t="s">
        <v>239</v>
      </c>
      <c r="BG42">
        <v>14.233000000000001</v>
      </c>
      <c r="BH42">
        <v>25021982</v>
      </c>
      <c r="BI42" s="40">
        <v>0.27800000000000002</v>
      </c>
      <c r="BL42" t="s">
        <v>270</v>
      </c>
      <c r="BM42" t="s">
        <v>239</v>
      </c>
      <c r="BN42">
        <v>14.215</v>
      </c>
      <c r="BO42">
        <v>14099329</v>
      </c>
      <c r="BP42" s="40">
        <v>0.155</v>
      </c>
      <c r="BS42" t="s">
        <v>270</v>
      </c>
      <c r="BT42" t="s">
        <v>239</v>
      </c>
      <c r="BU42">
        <v>14.237</v>
      </c>
      <c r="BV42">
        <v>34052626</v>
      </c>
      <c r="BW42" s="40" t="s">
        <v>342</v>
      </c>
      <c r="BZ42" t="s">
        <v>270</v>
      </c>
      <c r="CA42" t="s">
        <v>239</v>
      </c>
      <c r="CB42">
        <v>14.23</v>
      </c>
      <c r="CC42">
        <v>24651724</v>
      </c>
      <c r="CD42" s="40">
        <v>0.27400000000000002</v>
      </c>
    </row>
    <row r="43" spans="1:83" x14ac:dyDescent="0.2">
      <c r="A43" t="s">
        <v>271</v>
      </c>
      <c r="B43" t="s">
        <v>272</v>
      </c>
      <c r="C43">
        <v>14.756</v>
      </c>
      <c r="D43">
        <v>11635803</v>
      </c>
      <c r="E43" s="40">
        <v>0.115</v>
      </c>
      <c r="F43" t="s">
        <v>266</v>
      </c>
      <c r="H43" t="s">
        <v>271</v>
      </c>
      <c r="I43" t="s">
        <v>272</v>
      </c>
      <c r="J43">
        <v>14.765000000000001</v>
      </c>
      <c r="K43">
        <v>8530963</v>
      </c>
      <c r="L43" s="40">
        <v>8.1000000000000003E-2</v>
      </c>
      <c r="M43" t="s">
        <v>266</v>
      </c>
      <c r="O43" t="s">
        <v>271</v>
      </c>
      <c r="P43" t="s">
        <v>272</v>
      </c>
      <c r="Q43">
        <v>14.723000000000001</v>
      </c>
      <c r="R43">
        <v>27787826</v>
      </c>
      <c r="S43" s="40">
        <v>0.29699999999999999</v>
      </c>
      <c r="V43" t="s">
        <v>271</v>
      </c>
      <c r="W43" t="s">
        <v>272</v>
      </c>
      <c r="X43">
        <v>14.743</v>
      </c>
      <c r="Y43">
        <v>12483814</v>
      </c>
      <c r="Z43" s="40">
        <v>0.125</v>
      </c>
      <c r="AC43" t="s">
        <v>271</v>
      </c>
      <c r="AD43" t="s">
        <v>272</v>
      </c>
      <c r="AE43">
        <v>14.707000000000001</v>
      </c>
      <c r="AF43">
        <v>61331457</v>
      </c>
      <c r="AG43" s="40">
        <v>0.67400000000000004</v>
      </c>
      <c r="AJ43" t="s">
        <v>271</v>
      </c>
      <c r="AK43" t="s">
        <v>272</v>
      </c>
      <c r="AL43">
        <v>14.721</v>
      </c>
      <c r="AM43">
        <v>28577064</v>
      </c>
      <c r="AN43" s="40">
        <v>0.30599999999999999</v>
      </c>
      <c r="AQ43" t="s">
        <v>271</v>
      </c>
      <c r="AR43" t="s">
        <v>272</v>
      </c>
      <c r="AS43">
        <v>14.711</v>
      </c>
      <c r="AT43">
        <v>65808964</v>
      </c>
      <c r="AU43" s="40">
        <v>0.72499999999999998</v>
      </c>
      <c r="AX43" t="s">
        <v>271</v>
      </c>
      <c r="AY43" t="s">
        <v>272</v>
      </c>
      <c r="AZ43">
        <v>14.707000000000001</v>
      </c>
      <c r="BA43">
        <v>64906733</v>
      </c>
      <c r="BB43" s="40">
        <v>0.71499999999999997</v>
      </c>
      <c r="BE43" t="s">
        <v>271</v>
      </c>
      <c r="BF43" t="s">
        <v>272</v>
      </c>
      <c r="BG43">
        <v>14.728999999999999</v>
      </c>
      <c r="BH43">
        <v>232707696</v>
      </c>
      <c r="BI43" s="40">
        <v>2.6019999999999999</v>
      </c>
      <c r="BL43" t="s">
        <v>271</v>
      </c>
      <c r="BM43" t="s">
        <v>272</v>
      </c>
      <c r="BN43">
        <v>14.694000000000001</v>
      </c>
      <c r="BO43">
        <v>112694414</v>
      </c>
      <c r="BP43" s="40">
        <v>1.252</v>
      </c>
      <c r="BS43" t="s">
        <v>271</v>
      </c>
      <c r="BT43" t="s">
        <v>272</v>
      </c>
      <c r="BU43">
        <v>14.739000000000001</v>
      </c>
      <c r="BV43">
        <v>347285571</v>
      </c>
      <c r="BW43" s="40">
        <v>3.89</v>
      </c>
      <c r="BZ43" t="s">
        <v>271</v>
      </c>
      <c r="CA43" t="s">
        <v>272</v>
      </c>
      <c r="CB43">
        <v>14.717000000000001</v>
      </c>
      <c r="CC43">
        <v>215003461</v>
      </c>
      <c r="CD43" s="40">
        <v>2.403</v>
      </c>
    </row>
    <row r="44" spans="1:83" x14ac:dyDescent="0.2">
      <c r="A44" t="s">
        <v>273</v>
      </c>
      <c r="B44" t="s">
        <v>274</v>
      </c>
      <c r="C44">
        <v>15.749000000000001</v>
      </c>
      <c r="D44">
        <v>12140626</v>
      </c>
      <c r="E44" s="40">
        <v>0.128</v>
      </c>
      <c r="H44" t="s">
        <v>273</v>
      </c>
      <c r="I44" t="s">
        <v>274</v>
      </c>
      <c r="J44">
        <v>15.755000000000001</v>
      </c>
      <c r="K44">
        <v>7305351</v>
      </c>
      <c r="L44" s="40">
        <v>7.2999999999999995E-2</v>
      </c>
      <c r="O44" t="s">
        <v>273</v>
      </c>
      <c r="P44" t="s">
        <v>274</v>
      </c>
      <c r="Q44">
        <v>15.714</v>
      </c>
      <c r="R44">
        <v>45451013</v>
      </c>
      <c r="S44" s="40">
        <v>0.51</v>
      </c>
      <c r="V44" t="s">
        <v>273</v>
      </c>
      <c r="W44" t="s">
        <v>274</v>
      </c>
      <c r="X44">
        <v>15.734</v>
      </c>
      <c r="Y44">
        <v>20945459</v>
      </c>
      <c r="Z44" s="40">
        <v>0.22900000000000001</v>
      </c>
      <c r="AC44" t="s">
        <v>273</v>
      </c>
      <c r="AD44" t="s">
        <v>274</v>
      </c>
      <c r="AE44">
        <v>15.695</v>
      </c>
      <c r="AF44">
        <v>83893622</v>
      </c>
      <c r="AG44" s="40">
        <v>0.95099999999999996</v>
      </c>
      <c r="AJ44" t="s">
        <v>273</v>
      </c>
      <c r="AK44" t="s">
        <v>274</v>
      </c>
      <c r="AL44">
        <v>15.707000000000001</v>
      </c>
      <c r="AM44">
        <v>42694573</v>
      </c>
      <c r="AN44" s="40">
        <v>0.47899999999999998</v>
      </c>
      <c r="AQ44" t="s">
        <v>273</v>
      </c>
      <c r="AR44" t="s">
        <v>274</v>
      </c>
      <c r="AS44">
        <v>15.694000000000001</v>
      </c>
      <c r="AT44">
        <v>54532672</v>
      </c>
      <c r="AU44" s="40">
        <v>0.61399999999999999</v>
      </c>
      <c r="AX44" t="s">
        <v>273</v>
      </c>
      <c r="AY44" t="s">
        <v>274</v>
      </c>
      <c r="AZ44">
        <v>15.689</v>
      </c>
      <c r="BA44">
        <v>76401867</v>
      </c>
      <c r="BB44" s="40">
        <v>0.86499999999999999</v>
      </c>
      <c r="BE44" t="s">
        <v>273</v>
      </c>
      <c r="BF44" t="s">
        <v>274</v>
      </c>
      <c r="BG44">
        <v>15.656000000000001</v>
      </c>
      <c r="BH44">
        <v>31377456</v>
      </c>
      <c r="BI44" s="40">
        <v>0.34899999999999998</v>
      </c>
      <c r="BL44" t="s">
        <v>273</v>
      </c>
      <c r="BM44" t="s">
        <v>274</v>
      </c>
      <c r="BN44">
        <v>15.66</v>
      </c>
      <c r="BO44">
        <v>27206035</v>
      </c>
      <c r="BP44" s="40">
        <v>0.30099999999999999</v>
      </c>
      <c r="BS44" t="s">
        <v>273</v>
      </c>
      <c r="BT44" t="s">
        <v>274</v>
      </c>
      <c r="BU44">
        <v>15.634</v>
      </c>
      <c r="BV44">
        <v>39738411</v>
      </c>
      <c r="BW44" s="40">
        <v>0.44500000000000001</v>
      </c>
      <c r="BZ44" t="s">
        <v>273</v>
      </c>
      <c r="CA44" t="s">
        <v>274</v>
      </c>
      <c r="CB44">
        <v>15.651</v>
      </c>
      <c r="CC44">
        <v>44238077</v>
      </c>
      <c r="CD44" s="40">
        <v>0.496</v>
      </c>
    </row>
    <row r="45" spans="1:83" x14ac:dyDescent="0.2">
      <c r="A45" t="s">
        <v>275</v>
      </c>
      <c r="B45" t="s">
        <v>242</v>
      </c>
      <c r="C45">
        <v>0</v>
      </c>
      <c r="D45">
        <v>0</v>
      </c>
      <c r="E45" s="40" t="s">
        <v>230</v>
      </c>
      <c r="H45" t="s">
        <v>275</v>
      </c>
      <c r="I45" t="s">
        <v>242</v>
      </c>
      <c r="J45">
        <v>0</v>
      </c>
      <c r="K45">
        <v>0</v>
      </c>
      <c r="L45" s="40" t="s">
        <v>230</v>
      </c>
      <c r="O45" t="s">
        <v>275</v>
      </c>
      <c r="P45" t="s">
        <v>242</v>
      </c>
      <c r="Q45">
        <v>0</v>
      </c>
      <c r="R45">
        <v>0</v>
      </c>
      <c r="S45" s="40" t="s">
        <v>230</v>
      </c>
      <c r="V45" t="s">
        <v>275</v>
      </c>
      <c r="W45" t="s">
        <v>242</v>
      </c>
      <c r="X45">
        <v>0</v>
      </c>
      <c r="Y45">
        <v>0</v>
      </c>
      <c r="Z45" s="40" t="s">
        <v>230</v>
      </c>
      <c r="AC45" t="s">
        <v>275</v>
      </c>
      <c r="AD45" t="s">
        <v>242</v>
      </c>
      <c r="AE45">
        <v>0</v>
      </c>
      <c r="AF45">
        <v>0</v>
      </c>
      <c r="AG45" s="40" t="s">
        <v>230</v>
      </c>
      <c r="AJ45" t="s">
        <v>275</v>
      </c>
      <c r="AK45" t="s">
        <v>242</v>
      </c>
      <c r="AL45">
        <v>0</v>
      </c>
      <c r="AM45">
        <v>0</v>
      </c>
      <c r="AN45" s="40" t="s">
        <v>230</v>
      </c>
      <c r="AQ45" t="s">
        <v>275</v>
      </c>
      <c r="AR45" t="s">
        <v>242</v>
      </c>
      <c r="AS45">
        <v>0</v>
      </c>
      <c r="AT45">
        <v>0</v>
      </c>
      <c r="AU45" s="40" t="s">
        <v>230</v>
      </c>
      <c r="AX45" t="s">
        <v>275</v>
      </c>
      <c r="AY45" t="s">
        <v>242</v>
      </c>
      <c r="AZ45">
        <v>0</v>
      </c>
      <c r="BA45">
        <v>0</v>
      </c>
      <c r="BB45" s="40" t="s">
        <v>230</v>
      </c>
      <c r="BE45" t="s">
        <v>275</v>
      </c>
      <c r="BF45" t="s">
        <v>242</v>
      </c>
      <c r="BG45">
        <v>0</v>
      </c>
      <c r="BH45">
        <v>0</v>
      </c>
      <c r="BI45" s="40" t="s">
        <v>230</v>
      </c>
      <c r="BL45" t="s">
        <v>275</v>
      </c>
      <c r="BM45" t="s">
        <v>242</v>
      </c>
      <c r="BN45">
        <v>0</v>
      </c>
      <c r="BO45">
        <v>0</v>
      </c>
      <c r="BP45" s="40" t="s">
        <v>230</v>
      </c>
      <c r="BS45" t="s">
        <v>275</v>
      </c>
      <c r="BT45" t="s">
        <v>242</v>
      </c>
      <c r="BU45">
        <v>0</v>
      </c>
      <c r="BV45">
        <v>0</v>
      </c>
      <c r="BW45" s="40" t="s">
        <v>230</v>
      </c>
      <c r="BZ45" t="s">
        <v>275</v>
      </c>
      <c r="CA45" t="s">
        <v>242</v>
      </c>
      <c r="CB45">
        <v>0</v>
      </c>
      <c r="CC45">
        <v>0</v>
      </c>
      <c r="CD45" s="40" t="s">
        <v>230</v>
      </c>
    </row>
    <row r="46" spans="1:83" x14ac:dyDescent="0.2">
      <c r="A46" t="s">
        <v>276</v>
      </c>
      <c r="B46" t="s">
        <v>243</v>
      </c>
      <c r="C46">
        <v>29.05</v>
      </c>
      <c r="D46">
        <v>325663</v>
      </c>
      <c r="E46" s="40">
        <v>3.0000000000000001E-3</v>
      </c>
      <c r="F46" t="s">
        <v>266</v>
      </c>
      <c r="H46" t="s">
        <v>276</v>
      </c>
      <c r="I46" t="s">
        <v>243</v>
      </c>
      <c r="J46">
        <v>0</v>
      </c>
      <c r="K46">
        <v>0</v>
      </c>
      <c r="L46" s="40" t="s">
        <v>230</v>
      </c>
      <c r="O46" t="s">
        <v>276</v>
      </c>
      <c r="P46" t="s">
        <v>243</v>
      </c>
      <c r="Q46">
        <v>29.041</v>
      </c>
      <c r="R46">
        <v>378530</v>
      </c>
      <c r="S46" s="40">
        <v>4.0000000000000001E-3</v>
      </c>
      <c r="T46" t="s">
        <v>266</v>
      </c>
      <c r="V46" t="s">
        <v>276</v>
      </c>
      <c r="W46" t="s">
        <v>243</v>
      </c>
      <c r="X46">
        <v>0</v>
      </c>
      <c r="Y46">
        <v>0</v>
      </c>
      <c r="Z46" s="40" t="s">
        <v>230</v>
      </c>
      <c r="AC46" t="s">
        <v>276</v>
      </c>
      <c r="AD46" t="s">
        <v>243</v>
      </c>
      <c r="AE46">
        <v>29.024999999999999</v>
      </c>
      <c r="AF46">
        <v>889909</v>
      </c>
      <c r="AG46" s="40">
        <v>8.9999999999999993E-3</v>
      </c>
      <c r="AH46" t="s">
        <v>266</v>
      </c>
      <c r="AJ46" t="s">
        <v>276</v>
      </c>
      <c r="AK46" t="s">
        <v>243</v>
      </c>
      <c r="AL46">
        <v>29.033000000000001</v>
      </c>
      <c r="AM46">
        <v>320900</v>
      </c>
      <c r="AN46" s="40">
        <v>3.0000000000000001E-3</v>
      </c>
      <c r="AO46" t="s">
        <v>266</v>
      </c>
      <c r="AQ46" t="s">
        <v>276</v>
      </c>
      <c r="AR46" t="s">
        <v>243</v>
      </c>
      <c r="AS46">
        <v>29.029</v>
      </c>
      <c r="AT46">
        <v>1149737</v>
      </c>
      <c r="AU46" s="40">
        <v>1.2E-2</v>
      </c>
      <c r="AV46" t="s">
        <v>266</v>
      </c>
      <c r="AX46" t="s">
        <v>276</v>
      </c>
      <c r="AY46" t="s">
        <v>243</v>
      </c>
      <c r="AZ46">
        <v>29.041</v>
      </c>
      <c r="BA46">
        <v>692473</v>
      </c>
      <c r="BB46" s="40">
        <v>7.0000000000000001E-3</v>
      </c>
      <c r="BC46" t="s">
        <v>266</v>
      </c>
      <c r="BE46" t="s">
        <v>276</v>
      </c>
      <c r="BF46" t="s">
        <v>243</v>
      </c>
      <c r="BG46">
        <v>29.009</v>
      </c>
      <c r="BH46">
        <v>5972735</v>
      </c>
      <c r="BI46" s="40">
        <v>6.6000000000000003E-2</v>
      </c>
      <c r="BJ46" t="s">
        <v>266</v>
      </c>
      <c r="BL46" t="s">
        <v>276</v>
      </c>
      <c r="BM46" t="s">
        <v>243</v>
      </c>
      <c r="BN46">
        <v>28.972999999999999</v>
      </c>
      <c r="BO46">
        <v>3758195</v>
      </c>
      <c r="BP46" s="40">
        <v>4.2000000000000003E-2</v>
      </c>
      <c r="BQ46" t="s">
        <v>266</v>
      </c>
      <c r="BS46" t="s">
        <v>276</v>
      </c>
      <c r="BT46" t="s">
        <v>243</v>
      </c>
      <c r="BU46">
        <v>28.981000000000002</v>
      </c>
      <c r="BV46">
        <v>9105602</v>
      </c>
      <c r="BW46" s="40">
        <v>0.10100000000000001</v>
      </c>
      <c r="BZ46" t="s">
        <v>276</v>
      </c>
      <c r="CA46" t="s">
        <v>243</v>
      </c>
      <c r="CB46">
        <v>28.991</v>
      </c>
      <c r="CC46">
        <v>7083202</v>
      </c>
      <c r="CD46" s="40">
        <v>7.9000000000000001E-2</v>
      </c>
      <c r="CE46" t="s">
        <v>266</v>
      </c>
    </row>
    <row r="47" spans="1:83" x14ac:dyDescent="0.2">
      <c r="A47" t="s">
        <v>262</v>
      </c>
      <c r="H47" t="s">
        <v>262</v>
      </c>
      <c r="O47" t="s">
        <v>262</v>
      </c>
      <c r="V47" t="s">
        <v>262</v>
      </c>
      <c r="AC47" t="s">
        <v>262</v>
      </c>
      <c r="AJ47" t="s">
        <v>262</v>
      </c>
      <c r="AQ47" t="s">
        <v>262</v>
      </c>
      <c r="AX47" t="s">
        <v>262</v>
      </c>
      <c r="BE47" t="s">
        <v>262</v>
      </c>
      <c r="BL47" t="s">
        <v>262</v>
      </c>
      <c r="BS47" t="s">
        <v>262</v>
      </c>
      <c r="BZ47" t="s">
        <v>262</v>
      </c>
    </row>
    <row r="49" spans="1:78" x14ac:dyDescent="0.2">
      <c r="A49" t="s">
        <v>277</v>
      </c>
      <c r="H49" t="s">
        <v>277</v>
      </c>
      <c r="O49" t="s">
        <v>277</v>
      </c>
      <c r="V49" t="s">
        <v>277</v>
      </c>
      <c r="AC49" t="s">
        <v>277</v>
      </c>
      <c r="AJ49" t="s">
        <v>277</v>
      </c>
      <c r="AQ49" t="s">
        <v>277</v>
      </c>
      <c r="AX49" t="s">
        <v>277</v>
      </c>
      <c r="BE49" t="s">
        <v>277</v>
      </c>
      <c r="BL49" t="s">
        <v>277</v>
      </c>
      <c r="BS49" t="s">
        <v>277</v>
      </c>
      <c r="BZ49" t="s">
        <v>277</v>
      </c>
    </row>
    <row r="51" spans="1:78" x14ac:dyDescent="0.2">
      <c r="A51" t="s">
        <v>343</v>
      </c>
      <c r="H51" t="s">
        <v>344</v>
      </c>
      <c r="O51" t="s">
        <v>345</v>
      </c>
      <c r="V51" t="s">
        <v>346</v>
      </c>
      <c r="AC51" t="s">
        <v>347</v>
      </c>
      <c r="AJ51" t="s">
        <v>348</v>
      </c>
      <c r="AQ51" t="s">
        <v>349</v>
      </c>
      <c r="AX51" t="s">
        <v>350</v>
      </c>
      <c r="BE51" t="s">
        <v>351</v>
      </c>
      <c r="BL51" t="s">
        <v>352</v>
      </c>
      <c r="BS51" t="s">
        <v>353</v>
      </c>
      <c r="BZ51" t="s">
        <v>354</v>
      </c>
    </row>
    <row r="53" spans="1:78" s="48" customFormat="1" x14ac:dyDescent="0.2"/>
    <row r="55" spans="1:78" x14ac:dyDescent="0.2">
      <c r="A55" t="s">
        <v>244</v>
      </c>
      <c r="H55" t="s">
        <v>244</v>
      </c>
      <c r="O55" t="s">
        <v>244</v>
      </c>
      <c r="V55" t="s">
        <v>244</v>
      </c>
      <c r="AC55" t="s">
        <v>245</v>
      </c>
      <c r="AJ55" t="s">
        <v>247</v>
      </c>
      <c r="AQ55" t="s">
        <v>245</v>
      </c>
      <c r="AX55" t="s">
        <v>245</v>
      </c>
      <c r="BE55" t="s">
        <v>244</v>
      </c>
      <c r="BL55" t="s">
        <v>246</v>
      </c>
      <c r="BS55" t="s">
        <v>244</v>
      </c>
      <c r="BZ55" t="s">
        <v>246</v>
      </c>
    </row>
    <row r="57" spans="1:78" x14ac:dyDescent="0.2">
      <c r="A57" t="s">
        <v>248</v>
      </c>
      <c r="H57" t="s">
        <v>248</v>
      </c>
      <c r="O57" t="s">
        <v>248</v>
      </c>
      <c r="V57" t="s">
        <v>248</v>
      </c>
      <c r="AC57" t="s">
        <v>248</v>
      </c>
      <c r="AJ57" t="s">
        <v>248</v>
      </c>
      <c r="AQ57" t="s">
        <v>248</v>
      </c>
      <c r="AX57" t="s">
        <v>248</v>
      </c>
      <c r="BE57" t="s">
        <v>248</v>
      </c>
      <c r="BL57" t="s">
        <v>248</v>
      </c>
      <c r="BS57" t="s">
        <v>248</v>
      </c>
      <c r="BZ57" t="s">
        <v>248</v>
      </c>
    </row>
    <row r="58" spans="1:78" x14ac:dyDescent="0.2">
      <c r="A58" t="s">
        <v>355</v>
      </c>
      <c r="H58" t="s">
        <v>356</v>
      </c>
      <c r="O58" t="s">
        <v>357</v>
      </c>
      <c r="V58" t="s">
        <v>358</v>
      </c>
      <c r="AC58" t="s">
        <v>359</v>
      </c>
      <c r="AJ58" t="s">
        <v>360</v>
      </c>
      <c r="AQ58" t="s">
        <v>361</v>
      </c>
      <c r="AX58" t="s">
        <v>362</v>
      </c>
      <c r="BE58" t="s">
        <v>363</v>
      </c>
      <c r="BL58" t="s">
        <v>364</v>
      </c>
      <c r="BS58" t="s">
        <v>365</v>
      </c>
      <c r="BZ58" t="s">
        <v>366</v>
      </c>
    </row>
    <row r="59" spans="1:78" x14ac:dyDescent="0.2">
      <c r="A59" t="s">
        <v>249</v>
      </c>
      <c r="H59" t="s">
        <v>249</v>
      </c>
      <c r="O59" t="s">
        <v>249</v>
      </c>
      <c r="V59" t="s">
        <v>249</v>
      </c>
      <c r="AC59" t="s">
        <v>249</v>
      </c>
      <c r="AJ59" t="s">
        <v>249</v>
      </c>
      <c r="AQ59" t="s">
        <v>249</v>
      </c>
      <c r="AX59" t="s">
        <v>249</v>
      </c>
      <c r="BE59" t="s">
        <v>249</v>
      </c>
      <c r="BL59" t="s">
        <v>249</v>
      </c>
      <c r="BS59" t="s">
        <v>249</v>
      </c>
      <c r="BZ59" t="s">
        <v>249</v>
      </c>
    </row>
    <row r="60" spans="1:78" x14ac:dyDescent="0.2">
      <c r="A60" t="s">
        <v>367</v>
      </c>
      <c r="H60" t="s">
        <v>368</v>
      </c>
      <c r="O60" t="s">
        <v>369</v>
      </c>
      <c r="V60" t="s">
        <v>370</v>
      </c>
      <c r="AC60" t="s">
        <v>371</v>
      </c>
      <c r="AJ60" t="s">
        <v>372</v>
      </c>
      <c r="AQ60" t="s">
        <v>373</v>
      </c>
      <c r="AX60" t="s">
        <v>374</v>
      </c>
      <c r="BE60" t="s">
        <v>375</v>
      </c>
      <c r="BL60" t="s">
        <v>376</v>
      </c>
      <c r="BS60" t="s">
        <v>377</v>
      </c>
      <c r="BZ60" t="s">
        <v>378</v>
      </c>
    </row>
    <row r="61" spans="1:78" x14ac:dyDescent="0.2">
      <c r="A61" t="s">
        <v>250</v>
      </c>
      <c r="H61" t="s">
        <v>250</v>
      </c>
      <c r="O61" t="s">
        <v>250</v>
      </c>
      <c r="V61" t="s">
        <v>250</v>
      </c>
      <c r="AC61" t="s">
        <v>250</v>
      </c>
      <c r="AJ61" t="s">
        <v>250</v>
      </c>
      <c r="AQ61" t="s">
        <v>250</v>
      </c>
      <c r="AX61" t="s">
        <v>250</v>
      </c>
      <c r="BE61" t="s">
        <v>250</v>
      </c>
      <c r="BL61" t="s">
        <v>250</v>
      </c>
      <c r="BS61" t="s">
        <v>250</v>
      </c>
      <c r="BZ61" t="s">
        <v>250</v>
      </c>
    </row>
    <row r="62" spans="1:78" s="49" customFormat="1" ht="29" x14ac:dyDescent="0.35">
      <c r="A62" s="49" t="s">
        <v>379</v>
      </c>
      <c r="H62" s="49" t="s">
        <v>380</v>
      </c>
      <c r="O62" s="49" t="s">
        <v>381</v>
      </c>
      <c r="V62" s="49" t="s">
        <v>382</v>
      </c>
      <c r="AC62" s="49" t="s">
        <v>383</v>
      </c>
      <c r="AJ62" s="49" t="s">
        <v>384</v>
      </c>
      <c r="AQ62" s="49" t="s">
        <v>385</v>
      </c>
      <c r="AX62" s="49" t="s">
        <v>386</v>
      </c>
      <c r="BE62" s="49" t="s">
        <v>387</v>
      </c>
      <c r="BL62" s="49" t="s">
        <v>388</v>
      </c>
      <c r="BS62" s="49" t="s">
        <v>389</v>
      </c>
      <c r="BZ62" s="49" t="s">
        <v>390</v>
      </c>
    </row>
    <row r="63" spans="1:78" x14ac:dyDescent="0.2">
      <c r="A63" t="s">
        <v>251</v>
      </c>
      <c r="H63" t="s">
        <v>251</v>
      </c>
      <c r="O63" t="s">
        <v>251</v>
      </c>
      <c r="V63" t="s">
        <v>251</v>
      </c>
      <c r="AC63" t="s">
        <v>251</v>
      </c>
      <c r="AJ63" t="s">
        <v>251</v>
      </c>
      <c r="AQ63" t="s">
        <v>251</v>
      </c>
      <c r="AX63" t="s">
        <v>251</v>
      </c>
      <c r="BE63" t="s">
        <v>251</v>
      </c>
      <c r="BL63" t="s">
        <v>251</v>
      </c>
      <c r="BS63" t="s">
        <v>251</v>
      </c>
      <c r="BZ63" t="s">
        <v>251</v>
      </c>
    </row>
    <row r="64" spans="1:78" x14ac:dyDescent="0.2">
      <c r="A64" t="s">
        <v>391</v>
      </c>
      <c r="H64" t="s">
        <v>392</v>
      </c>
      <c r="O64" t="s">
        <v>393</v>
      </c>
      <c r="V64" t="s">
        <v>394</v>
      </c>
      <c r="AC64" t="s">
        <v>395</v>
      </c>
      <c r="AJ64" t="s">
        <v>396</v>
      </c>
      <c r="AQ64" t="s">
        <v>397</v>
      </c>
      <c r="AX64" t="s">
        <v>398</v>
      </c>
      <c r="BE64" t="s">
        <v>399</v>
      </c>
      <c r="BL64" t="s">
        <v>400</v>
      </c>
      <c r="BS64" t="s">
        <v>401</v>
      </c>
      <c r="BZ64" t="s">
        <v>402</v>
      </c>
    </row>
    <row r="66" spans="1:78" x14ac:dyDescent="0.2">
      <c r="A66" t="s">
        <v>252</v>
      </c>
      <c r="H66" t="s">
        <v>252</v>
      </c>
      <c r="O66" t="s">
        <v>252</v>
      </c>
      <c r="V66" t="s">
        <v>252</v>
      </c>
      <c r="AC66" t="s">
        <v>252</v>
      </c>
      <c r="AJ66" t="s">
        <v>252</v>
      </c>
      <c r="AQ66" t="s">
        <v>252</v>
      </c>
      <c r="AX66" t="s">
        <v>252</v>
      </c>
      <c r="BE66" t="s">
        <v>252</v>
      </c>
      <c r="BL66" t="s">
        <v>252</v>
      </c>
      <c r="BS66" t="s">
        <v>252</v>
      </c>
      <c r="BZ66" t="s">
        <v>252</v>
      </c>
    </row>
    <row r="67" spans="1:78" x14ac:dyDescent="0.2">
      <c r="A67" t="s">
        <v>403</v>
      </c>
      <c r="H67" t="s">
        <v>404</v>
      </c>
      <c r="O67" t="s">
        <v>405</v>
      </c>
      <c r="V67" t="s">
        <v>406</v>
      </c>
      <c r="AC67" t="s">
        <v>407</v>
      </c>
      <c r="AJ67" t="s">
        <v>408</v>
      </c>
      <c r="AQ67" t="s">
        <v>409</v>
      </c>
      <c r="AX67" t="s">
        <v>410</v>
      </c>
      <c r="BE67" t="s">
        <v>411</v>
      </c>
      <c r="BL67" t="s">
        <v>412</v>
      </c>
      <c r="BS67" t="s">
        <v>413</v>
      </c>
      <c r="BZ67" t="s">
        <v>414</v>
      </c>
    </row>
    <row r="68" spans="1:78" x14ac:dyDescent="0.2">
      <c r="A68" t="s">
        <v>253</v>
      </c>
      <c r="H68" t="s">
        <v>253</v>
      </c>
      <c r="O68" t="s">
        <v>253</v>
      </c>
      <c r="V68" t="s">
        <v>253</v>
      </c>
      <c r="AC68" t="s">
        <v>253</v>
      </c>
      <c r="AJ68" t="s">
        <v>253</v>
      </c>
      <c r="AQ68" t="s">
        <v>253</v>
      </c>
      <c r="AX68" t="s">
        <v>253</v>
      </c>
      <c r="BE68" t="s">
        <v>253</v>
      </c>
      <c r="BL68" t="s">
        <v>253</v>
      </c>
      <c r="BS68" t="s">
        <v>253</v>
      </c>
      <c r="BZ68" t="s">
        <v>253</v>
      </c>
    </row>
    <row r="69" spans="1:78" x14ac:dyDescent="0.2">
      <c r="A69" t="s">
        <v>254</v>
      </c>
      <c r="H69" t="s">
        <v>254</v>
      </c>
      <c r="O69" t="s">
        <v>254</v>
      </c>
      <c r="V69" t="s">
        <v>254</v>
      </c>
      <c r="AC69" t="s">
        <v>254</v>
      </c>
      <c r="AJ69" t="s">
        <v>254</v>
      </c>
      <c r="AQ69" t="s">
        <v>254</v>
      </c>
      <c r="AX69" t="s">
        <v>254</v>
      </c>
      <c r="BE69" t="s">
        <v>254</v>
      </c>
      <c r="BL69" t="s">
        <v>254</v>
      </c>
      <c r="BS69" t="s">
        <v>254</v>
      </c>
      <c r="BZ69" t="s">
        <v>254</v>
      </c>
    </row>
    <row r="70" spans="1:78" x14ac:dyDescent="0.2">
      <c r="A70" t="s">
        <v>255</v>
      </c>
      <c r="H70" t="s">
        <v>255</v>
      </c>
      <c r="O70" t="s">
        <v>255</v>
      </c>
      <c r="V70" t="s">
        <v>255</v>
      </c>
      <c r="AC70" t="s">
        <v>255</v>
      </c>
      <c r="AJ70" t="s">
        <v>255</v>
      </c>
      <c r="AQ70" t="s">
        <v>255</v>
      </c>
      <c r="AX70" t="s">
        <v>255</v>
      </c>
      <c r="BE70" t="s">
        <v>255</v>
      </c>
      <c r="BL70" t="s">
        <v>255</v>
      </c>
      <c r="BS70" t="s">
        <v>255</v>
      </c>
      <c r="BZ70" t="s">
        <v>255</v>
      </c>
    </row>
    <row r="71" spans="1:78" x14ac:dyDescent="0.2">
      <c r="A71" t="s">
        <v>256</v>
      </c>
      <c r="H71" t="s">
        <v>256</v>
      </c>
      <c r="O71" t="s">
        <v>256</v>
      </c>
      <c r="V71" t="s">
        <v>256</v>
      </c>
      <c r="AC71" t="s">
        <v>256</v>
      </c>
      <c r="AJ71" t="s">
        <v>256</v>
      </c>
      <c r="AQ71" t="s">
        <v>256</v>
      </c>
      <c r="AX71" t="s">
        <v>256</v>
      </c>
      <c r="BE71" t="s">
        <v>256</v>
      </c>
      <c r="BL71" t="s">
        <v>256</v>
      </c>
      <c r="BS71" t="s">
        <v>256</v>
      </c>
      <c r="BZ71" t="s">
        <v>256</v>
      </c>
    </row>
    <row r="72" spans="1:78" x14ac:dyDescent="0.2">
      <c r="A72" t="s">
        <v>257</v>
      </c>
      <c r="H72" t="s">
        <v>257</v>
      </c>
      <c r="O72" t="s">
        <v>257</v>
      </c>
      <c r="V72" t="s">
        <v>257</v>
      </c>
      <c r="AC72" t="s">
        <v>257</v>
      </c>
      <c r="AJ72" t="s">
        <v>257</v>
      </c>
      <c r="AQ72" t="s">
        <v>257</v>
      </c>
      <c r="AX72" t="s">
        <v>257</v>
      </c>
      <c r="BE72" t="s">
        <v>257</v>
      </c>
      <c r="BL72" t="s">
        <v>257</v>
      </c>
      <c r="BS72" t="s">
        <v>257</v>
      </c>
      <c r="BZ72" t="s">
        <v>257</v>
      </c>
    </row>
    <row r="74" spans="1:78" x14ac:dyDescent="0.2">
      <c r="A74" t="s">
        <v>258</v>
      </c>
      <c r="H74" t="s">
        <v>258</v>
      </c>
      <c r="O74" t="s">
        <v>258</v>
      </c>
      <c r="V74" t="s">
        <v>258</v>
      </c>
      <c r="AC74" t="s">
        <v>258</v>
      </c>
      <c r="AJ74" t="s">
        <v>258</v>
      </c>
      <c r="AQ74" t="s">
        <v>258</v>
      </c>
      <c r="AX74" t="s">
        <v>258</v>
      </c>
      <c r="BE74" t="s">
        <v>258</v>
      </c>
      <c r="BL74" t="s">
        <v>258</v>
      </c>
      <c r="BS74" t="s">
        <v>258</v>
      </c>
      <c r="BZ74" t="s">
        <v>258</v>
      </c>
    </row>
    <row r="75" spans="1:78" x14ac:dyDescent="0.2">
      <c r="A75" t="s">
        <v>259</v>
      </c>
      <c r="H75" t="s">
        <v>259</v>
      </c>
      <c r="O75" t="s">
        <v>259</v>
      </c>
      <c r="V75" t="s">
        <v>259</v>
      </c>
      <c r="AC75" t="s">
        <v>259</v>
      </c>
      <c r="AJ75" t="s">
        <v>259</v>
      </c>
      <c r="AQ75" t="s">
        <v>259</v>
      </c>
      <c r="AX75" t="s">
        <v>259</v>
      </c>
      <c r="BE75" t="s">
        <v>259</v>
      </c>
      <c r="BL75" t="s">
        <v>259</v>
      </c>
      <c r="BS75" t="s">
        <v>259</v>
      </c>
      <c r="BZ75" t="s">
        <v>259</v>
      </c>
    </row>
    <row r="76" spans="1:78" x14ac:dyDescent="0.2">
      <c r="A76" t="s">
        <v>260</v>
      </c>
      <c r="H76" t="s">
        <v>260</v>
      </c>
      <c r="O76" t="s">
        <v>260</v>
      </c>
      <c r="V76" t="s">
        <v>260</v>
      </c>
      <c r="AC76" t="s">
        <v>260</v>
      </c>
      <c r="AJ76" t="s">
        <v>260</v>
      </c>
      <c r="AQ76" t="s">
        <v>260</v>
      </c>
      <c r="AX76" t="s">
        <v>260</v>
      </c>
      <c r="BE76" t="s">
        <v>260</v>
      </c>
      <c r="BL76" t="s">
        <v>260</v>
      </c>
      <c r="BS76" t="s">
        <v>260</v>
      </c>
      <c r="BZ76" t="s">
        <v>260</v>
      </c>
    </row>
    <row r="78" spans="1:78" x14ac:dyDescent="0.2">
      <c r="A78" t="s">
        <v>261</v>
      </c>
      <c r="H78" t="s">
        <v>261</v>
      </c>
      <c r="O78" t="s">
        <v>261</v>
      </c>
      <c r="V78" t="s">
        <v>261</v>
      </c>
      <c r="AC78" t="s">
        <v>261</v>
      </c>
      <c r="AJ78" t="s">
        <v>261</v>
      </c>
      <c r="AQ78" t="s">
        <v>261</v>
      </c>
      <c r="AX78" t="s">
        <v>261</v>
      </c>
      <c r="BE78" t="s">
        <v>261</v>
      </c>
      <c r="BL78" t="s">
        <v>261</v>
      </c>
      <c r="BS78" t="s">
        <v>261</v>
      </c>
      <c r="BZ78" t="s">
        <v>261</v>
      </c>
    </row>
    <row r="79" spans="1:78" x14ac:dyDescent="0.2">
      <c r="A79" t="s">
        <v>262</v>
      </c>
      <c r="H79" t="s">
        <v>262</v>
      </c>
      <c r="O79" t="s">
        <v>262</v>
      </c>
      <c r="V79" t="s">
        <v>262</v>
      </c>
      <c r="AC79" t="s">
        <v>262</v>
      </c>
      <c r="AJ79" t="s">
        <v>262</v>
      </c>
      <c r="AQ79" t="s">
        <v>262</v>
      </c>
      <c r="AX79" t="s">
        <v>262</v>
      </c>
      <c r="BE79" t="s">
        <v>262</v>
      </c>
      <c r="BL79" t="s">
        <v>262</v>
      </c>
      <c r="BS79" t="s">
        <v>262</v>
      </c>
      <c r="BZ79" t="s">
        <v>262</v>
      </c>
    </row>
    <row r="81" spans="1:83" x14ac:dyDescent="0.2">
      <c r="A81" t="s">
        <v>263</v>
      </c>
      <c r="E81" s="40" t="s">
        <v>229</v>
      </c>
      <c r="H81" t="s">
        <v>263</v>
      </c>
      <c r="L81" s="40" t="s">
        <v>229</v>
      </c>
      <c r="O81" t="s">
        <v>263</v>
      </c>
      <c r="S81" s="40" t="s">
        <v>229</v>
      </c>
      <c r="V81" t="s">
        <v>263</v>
      </c>
      <c r="Z81" s="40" t="s">
        <v>229</v>
      </c>
      <c r="AC81" t="s">
        <v>263</v>
      </c>
      <c r="AG81" s="40" t="s">
        <v>229</v>
      </c>
      <c r="AJ81" t="s">
        <v>263</v>
      </c>
      <c r="AN81" s="40" t="s">
        <v>229</v>
      </c>
      <c r="AQ81" t="s">
        <v>263</v>
      </c>
      <c r="AU81" s="40" t="s">
        <v>229</v>
      </c>
      <c r="AX81" t="s">
        <v>263</v>
      </c>
      <c r="BB81" s="40" t="s">
        <v>229</v>
      </c>
      <c r="BE81" t="s">
        <v>263</v>
      </c>
      <c r="BI81" s="40" t="s">
        <v>229</v>
      </c>
      <c r="BL81" t="s">
        <v>263</v>
      </c>
      <c r="BP81" s="40" t="s">
        <v>229</v>
      </c>
      <c r="BS81" t="s">
        <v>263</v>
      </c>
      <c r="BW81" s="40" t="s">
        <v>229</v>
      </c>
      <c r="BZ81" t="s">
        <v>263</v>
      </c>
      <c r="CD81" s="40" t="s">
        <v>229</v>
      </c>
    </row>
    <row r="82" spans="1:83" x14ac:dyDescent="0.2">
      <c r="A82" t="s">
        <v>264</v>
      </c>
      <c r="B82" t="s">
        <v>235</v>
      </c>
      <c r="C82">
        <v>7.9359999999999999</v>
      </c>
      <c r="D82">
        <v>79137824</v>
      </c>
      <c r="E82" s="40">
        <v>0.91800000000000004</v>
      </c>
      <c r="H82" t="s">
        <v>264</v>
      </c>
      <c r="I82" t="s">
        <v>235</v>
      </c>
      <c r="J82">
        <v>7.9329999999999998</v>
      </c>
      <c r="K82">
        <v>96068828</v>
      </c>
      <c r="L82" s="40">
        <v>1.119</v>
      </c>
      <c r="O82" t="s">
        <v>264</v>
      </c>
      <c r="P82" t="s">
        <v>235</v>
      </c>
      <c r="Q82">
        <v>7.9329999999999998</v>
      </c>
      <c r="R82">
        <v>81725076</v>
      </c>
      <c r="S82" s="40">
        <v>0.94899999999999995</v>
      </c>
      <c r="V82" t="s">
        <v>264</v>
      </c>
      <c r="W82" t="s">
        <v>235</v>
      </c>
      <c r="X82">
        <v>7.9359999999999999</v>
      </c>
      <c r="Y82">
        <v>68706241</v>
      </c>
      <c r="Z82" s="40">
        <v>0.79500000000000004</v>
      </c>
      <c r="AC82" t="s">
        <v>264</v>
      </c>
      <c r="AD82" t="s">
        <v>235</v>
      </c>
      <c r="AE82">
        <v>7.9340000000000002</v>
      </c>
      <c r="AF82">
        <v>77572157</v>
      </c>
      <c r="AG82" s="40">
        <v>0.9</v>
      </c>
      <c r="AJ82" t="s">
        <v>264</v>
      </c>
      <c r="AK82" t="s">
        <v>235</v>
      </c>
      <c r="AL82">
        <v>7.93</v>
      </c>
      <c r="AM82">
        <v>86107405</v>
      </c>
      <c r="AN82" s="40">
        <v>1.0009999999999999</v>
      </c>
      <c r="AQ82" t="s">
        <v>264</v>
      </c>
      <c r="AR82" t="s">
        <v>235</v>
      </c>
      <c r="AS82">
        <v>7.9320000000000004</v>
      </c>
      <c r="AT82">
        <v>85144963</v>
      </c>
      <c r="AU82" s="40">
        <v>0.98899999999999999</v>
      </c>
      <c r="AX82" t="s">
        <v>264</v>
      </c>
      <c r="AY82" t="s">
        <v>235</v>
      </c>
      <c r="AZ82">
        <v>7.9320000000000004</v>
      </c>
      <c r="BA82">
        <v>80417154</v>
      </c>
      <c r="BB82" s="40">
        <v>0.93300000000000005</v>
      </c>
      <c r="BE82" t="s">
        <v>264</v>
      </c>
      <c r="BF82" t="s">
        <v>235</v>
      </c>
      <c r="BG82">
        <v>7.9320000000000004</v>
      </c>
      <c r="BH82">
        <v>79379810</v>
      </c>
      <c r="BI82" s="40">
        <v>0.92100000000000004</v>
      </c>
      <c r="BL82" t="s">
        <v>264</v>
      </c>
      <c r="BM82" t="s">
        <v>235</v>
      </c>
      <c r="BN82">
        <v>7.931</v>
      </c>
      <c r="BO82">
        <v>80075962</v>
      </c>
      <c r="BP82" s="40">
        <v>0.92900000000000005</v>
      </c>
      <c r="BS82" t="s">
        <v>264</v>
      </c>
      <c r="BT82" t="s">
        <v>235</v>
      </c>
      <c r="BU82">
        <v>7.9290000000000003</v>
      </c>
      <c r="BV82">
        <v>77717539</v>
      </c>
      <c r="BW82" s="41">
        <v>0.90100000000000002</v>
      </c>
      <c r="BZ82" t="s">
        <v>264</v>
      </c>
      <c r="CA82" t="s">
        <v>235</v>
      </c>
      <c r="CB82">
        <v>7.9269999999999996</v>
      </c>
      <c r="CC82">
        <v>78583235</v>
      </c>
      <c r="CD82" s="40">
        <v>0.91200000000000003</v>
      </c>
    </row>
    <row r="83" spans="1:83" x14ac:dyDescent="0.2">
      <c r="A83" t="s">
        <v>265</v>
      </c>
      <c r="B83" t="s">
        <v>236</v>
      </c>
      <c r="C83">
        <v>0</v>
      </c>
      <c r="D83">
        <v>0</v>
      </c>
      <c r="E83" s="40" t="s">
        <v>230</v>
      </c>
      <c r="F83" t="s">
        <v>340</v>
      </c>
      <c r="H83" t="s">
        <v>265</v>
      </c>
      <c r="I83" t="s">
        <v>236</v>
      </c>
      <c r="J83">
        <v>0</v>
      </c>
      <c r="K83">
        <v>0</v>
      </c>
      <c r="L83" s="40" t="s">
        <v>230</v>
      </c>
      <c r="M83" t="s">
        <v>340</v>
      </c>
      <c r="O83" t="s">
        <v>265</v>
      </c>
      <c r="P83" t="s">
        <v>236</v>
      </c>
      <c r="Q83">
        <v>0</v>
      </c>
      <c r="R83">
        <v>0</v>
      </c>
      <c r="S83" s="40" t="s">
        <v>230</v>
      </c>
      <c r="T83" t="s">
        <v>340</v>
      </c>
      <c r="V83" t="s">
        <v>265</v>
      </c>
      <c r="W83" t="s">
        <v>236</v>
      </c>
      <c r="X83">
        <v>0</v>
      </c>
      <c r="Y83">
        <v>0</v>
      </c>
      <c r="Z83" s="40" t="s">
        <v>230</v>
      </c>
      <c r="AA83" t="s">
        <v>340</v>
      </c>
      <c r="AC83" t="s">
        <v>265</v>
      </c>
      <c r="AD83" t="s">
        <v>236</v>
      </c>
      <c r="AE83">
        <v>0</v>
      </c>
      <c r="AF83">
        <v>0</v>
      </c>
      <c r="AG83" s="40" t="s">
        <v>230</v>
      </c>
      <c r="AH83" t="s">
        <v>340</v>
      </c>
      <c r="AJ83" t="s">
        <v>265</v>
      </c>
      <c r="AK83" t="s">
        <v>236</v>
      </c>
      <c r="AL83">
        <v>0</v>
      </c>
      <c r="AM83">
        <v>0</v>
      </c>
      <c r="AN83" s="40" t="s">
        <v>415</v>
      </c>
      <c r="AQ83" t="s">
        <v>265</v>
      </c>
      <c r="AR83" t="s">
        <v>236</v>
      </c>
      <c r="AS83">
        <v>0</v>
      </c>
      <c r="AT83">
        <v>0</v>
      </c>
      <c r="AU83" s="40" t="s">
        <v>230</v>
      </c>
      <c r="AV83" t="s">
        <v>340</v>
      </c>
      <c r="AX83" t="s">
        <v>265</v>
      </c>
      <c r="AY83" t="s">
        <v>236</v>
      </c>
      <c r="AZ83">
        <v>0</v>
      </c>
      <c r="BA83">
        <v>0</v>
      </c>
      <c r="BB83" s="40" t="s">
        <v>415</v>
      </c>
      <c r="BE83" t="s">
        <v>265</v>
      </c>
      <c r="BF83" t="s">
        <v>236</v>
      </c>
      <c r="BG83">
        <v>0</v>
      </c>
      <c r="BH83">
        <v>0</v>
      </c>
      <c r="BI83" s="40" t="s">
        <v>230</v>
      </c>
      <c r="BJ83" t="s">
        <v>340</v>
      </c>
      <c r="BL83" t="s">
        <v>265</v>
      </c>
      <c r="BM83" t="s">
        <v>236</v>
      </c>
      <c r="BN83">
        <v>0</v>
      </c>
      <c r="BO83">
        <v>0</v>
      </c>
      <c r="BP83" s="40" t="s">
        <v>230</v>
      </c>
      <c r="BQ83" t="s">
        <v>340</v>
      </c>
      <c r="BS83" t="s">
        <v>265</v>
      </c>
      <c r="BT83" t="s">
        <v>236</v>
      </c>
      <c r="BU83">
        <v>0</v>
      </c>
      <c r="BV83">
        <v>0</v>
      </c>
      <c r="BW83" s="41" t="s">
        <v>230</v>
      </c>
      <c r="BX83" t="s">
        <v>340</v>
      </c>
      <c r="BZ83" t="s">
        <v>265</v>
      </c>
      <c r="CA83" t="s">
        <v>236</v>
      </c>
      <c r="CB83">
        <v>0</v>
      </c>
      <c r="CC83">
        <v>0</v>
      </c>
      <c r="CD83" s="40" t="s">
        <v>230</v>
      </c>
      <c r="CE83" t="s">
        <v>340</v>
      </c>
    </row>
    <row r="84" spans="1:83" x14ac:dyDescent="0.2">
      <c r="A84" t="s">
        <v>267</v>
      </c>
      <c r="B84" t="s">
        <v>237</v>
      </c>
      <c r="C84">
        <v>11.13</v>
      </c>
      <c r="D84">
        <v>97478550</v>
      </c>
      <c r="E84" s="40">
        <v>1.1220000000000001</v>
      </c>
      <c r="H84" t="s">
        <v>267</v>
      </c>
      <c r="I84" t="s">
        <v>237</v>
      </c>
      <c r="J84">
        <v>11.138999999999999</v>
      </c>
      <c r="K84">
        <v>52761672</v>
      </c>
      <c r="L84" s="40">
        <v>0.60299999999999998</v>
      </c>
      <c r="O84" t="s">
        <v>267</v>
      </c>
      <c r="P84" t="s">
        <v>237</v>
      </c>
      <c r="Q84">
        <v>11.128</v>
      </c>
      <c r="R84">
        <v>77927771</v>
      </c>
      <c r="S84" s="40">
        <v>0.89500000000000002</v>
      </c>
      <c r="V84" t="s">
        <v>267</v>
      </c>
      <c r="W84" t="s">
        <v>237</v>
      </c>
      <c r="X84">
        <v>11.134</v>
      </c>
      <c r="Y84">
        <v>61762033</v>
      </c>
      <c r="Z84" s="40">
        <v>0.70699999999999996</v>
      </c>
      <c r="AC84" t="s">
        <v>267</v>
      </c>
      <c r="AD84" t="s">
        <v>237</v>
      </c>
      <c r="AE84">
        <v>11.124000000000001</v>
      </c>
      <c r="AF84">
        <v>83333977</v>
      </c>
      <c r="AG84" s="40">
        <v>0.95799999999999996</v>
      </c>
      <c r="AJ84" t="s">
        <v>267</v>
      </c>
      <c r="AK84" t="s">
        <v>237</v>
      </c>
      <c r="AL84">
        <v>11.129</v>
      </c>
      <c r="AM84">
        <v>70889795</v>
      </c>
      <c r="AN84" s="40">
        <v>0.81299999999999994</v>
      </c>
      <c r="AQ84" t="s">
        <v>267</v>
      </c>
      <c r="AR84" t="s">
        <v>237</v>
      </c>
      <c r="AS84">
        <v>11.124000000000001</v>
      </c>
      <c r="AT84">
        <v>65155598</v>
      </c>
      <c r="AU84" s="40">
        <v>0.747</v>
      </c>
      <c r="AX84" t="s">
        <v>267</v>
      </c>
      <c r="AY84" t="s">
        <v>237</v>
      </c>
      <c r="AZ84">
        <v>11.128</v>
      </c>
      <c r="BA84">
        <v>70061322</v>
      </c>
      <c r="BB84" s="40">
        <v>0.80400000000000005</v>
      </c>
      <c r="BE84" t="s">
        <v>267</v>
      </c>
      <c r="BF84" t="s">
        <v>237</v>
      </c>
      <c r="BG84">
        <v>11.119</v>
      </c>
      <c r="BH84">
        <v>73068365</v>
      </c>
      <c r="BI84" s="40">
        <v>0.83899999999999997</v>
      </c>
      <c r="BL84" t="s">
        <v>267</v>
      </c>
      <c r="BM84" t="s">
        <v>237</v>
      </c>
      <c r="BN84">
        <v>11.132999999999999</v>
      </c>
      <c r="BO84">
        <v>53509476</v>
      </c>
      <c r="BP84" s="40">
        <v>0.61199999999999999</v>
      </c>
      <c r="BS84" t="s">
        <v>267</v>
      </c>
      <c r="BT84" t="s">
        <v>237</v>
      </c>
      <c r="BU84">
        <v>11.124000000000001</v>
      </c>
      <c r="BV84">
        <v>53649775</v>
      </c>
      <c r="BW84" s="41">
        <v>0.61299999999999999</v>
      </c>
      <c r="BZ84" t="s">
        <v>267</v>
      </c>
      <c r="CA84" t="s">
        <v>237</v>
      </c>
      <c r="CB84">
        <v>11.129</v>
      </c>
      <c r="CC84">
        <v>51429186</v>
      </c>
      <c r="CD84" s="40">
        <v>0.58699999999999997</v>
      </c>
      <c r="CE84" t="s">
        <v>266</v>
      </c>
    </row>
    <row r="85" spans="1:83" x14ac:dyDescent="0.2">
      <c r="A85" t="s">
        <v>268</v>
      </c>
      <c r="B85" t="s">
        <v>269</v>
      </c>
      <c r="C85">
        <v>11.531000000000001</v>
      </c>
      <c r="D85">
        <v>76130431</v>
      </c>
      <c r="E85" s="40">
        <v>0.86499999999999999</v>
      </c>
      <c r="H85" t="s">
        <v>268</v>
      </c>
      <c r="I85" t="s">
        <v>269</v>
      </c>
      <c r="J85">
        <v>11.539</v>
      </c>
      <c r="K85">
        <v>28753990</v>
      </c>
      <c r="L85" s="40">
        <v>0.32500000000000001</v>
      </c>
      <c r="O85" t="s">
        <v>268</v>
      </c>
      <c r="P85" t="s">
        <v>269</v>
      </c>
      <c r="Q85">
        <v>11.531000000000001</v>
      </c>
      <c r="R85">
        <v>70480961</v>
      </c>
      <c r="S85" s="40">
        <v>0.80100000000000005</v>
      </c>
      <c r="V85" t="s">
        <v>268</v>
      </c>
      <c r="W85" t="s">
        <v>269</v>
      </c>
      <c r="X85">
        <v>11.534000000000001</v>
      </c>
      <c r="Y85">
        <v>36599811</v>
      </c>
      <c r="Z85" s="40">
        <v>0.41399999999999998</v>
      </c>
      <c r="AC85" t="s">
        <v>268</v>
      </c>
      <c r="AD85" t="s">
        <v>269</v>
      </c>
      <c r="AE85">
        <v>11.529</v>
      </c>
      <c r="AF85">
        <v>79475041</v>
      </c>
      <c r="AG85" s="40">
        <v>0.90300000000000002</v>
      </c>
      <c r="AJ85" t="s">
        <v>268</v>
      </c>
      <c r="AK85" t="s">
        <v>269</v>
      </c>
      <c r="AL85">
        <v>11.526999999999999</v>
      </c>
      <c r="AM85">
        <v>41585773</v>
      </c>
      <c r="AN85" s="40">
        <v>0.47099999999999997</v>
      </c>
      <c r="AQ85" t="s">
        <v>268</v>
      </c>
      <c r="AR85" t="s">
        <v>269</v>
      </c>
      <c r="AS85">
        <v>11.528</v>
      </c>
      <c r="AT85">
        <v>64435977</v>
      </c>
      <c r="AU85" s="40">
        <v>0.73199999999999998</v>
      </c>
      <c r="AX85" t="s">
        <v>268</v>
      </c>
      <c r="AY85" t="s">
        <v>269</v>
      </c>
      <c r="AZ85">
        <v>11.526</v>
      </c>
      <c r="BA85">
        <v>43430950</v>
      </c>
      <c r="BB85" s="40">
        <v>0.49199999999999999</v>
      </c>
      <c r="BE85" t="s">
        <v>268</v>
      </c>
      <c r="BF85" t="s">
        <v>269</v>
      </c>
      <c r="BG85">
        <v>11.525</v>
      </c>
      <c r="BH85">
        <v>78539431</v>
      </c>
      <c r="BI85" s="40">
        <v>0.89300000000000002</v>
      </c>
      <c r="BL85" t="s">
        <v>268</v>
      </c>
      <c r="BM85" t="s">
        <v>269</v>
      </c>
      <c r="BN85">
        <v>11.532</v>
      </c>
      <c r="BO85">
        <v>31457956</v>
      </c>
      <c r="BP85" s="40">
        <v>0.35499999999999998</v>
      </c>
      <c r="BS85" t="s">
        <v>268</v>
      </c>
      <c r="BT85" t="s">
        <v>269</v>
      </c>
      <c r="BU85">
        <v>11.526999999999999</v>
      </c>
      <c r="BV85">
        <v>57875897</v>
      </c>
      <c r="BW85" s="41">
        <v>0.65700000000000003</v>
      </c>
      <c r="BZ85" t="s">
        <v>268</v>
      </c>
      <c r="CA85" t="s">
        <v>269</v>
      </c>
      <c r="CB85">
        <v>11.529</v>
      </c>
      <c r="CC85">
        <v>31807781</v>
      </c>
      <c r="CD85" s="40">
        <v>0.35899999999999999</v>
      </c>
    </row>
    <row r="86" spans="1:83" x14ac:dyDescent="0.2">
      <c r="A86" t="s">
        <v>270</v>
      </c>
      <c r="B86" t="s">
        <v>239</v>
      </c>
      <c r="C86">
        <v>14.226000000000001</v>
      </c>
      <c r="D86">
        <v>17940232</v>
      </c>
      <c r="E86" s="40">
        <v>0.19900000000000001</v>
      </c>
      <c r="F86" t="s">
        <v>266</v>
      </c>
      <c r="H86" t="s">
        <v>270</v>
      </c>
      <c r="I86" t="s">
        <v>239</v>
      </c>
      <c r="J86">
        <v>14.222</v>
      </c>
      <c r="K86">
        <v>25747674</v>
      </c>
      <c r="L86" s="40">
        <v>0.28699999999999998</v>
      </c>
      <c r="O86" t="s">
        <v>270</v>
      </c>
      <c r="P86" t="s">
        <v>239</v>
      </c>
      <c r="Q86">
        <v>14.228</v>
      </c>
      <c r="R86">
        <v>21201401</v>
      </c>
      <c r="S86" s="40">
        <v>0.23499999999999999</v>
      </c>
      <c r="T86" t="s">
        <v>266</v>
      </c>
      <c r="V86" t="s">
        <v>270</v>
      </c>
      <c r="W86" t="s">
        <v>239</v>
      </c>
      <c r="X86">
        <v>14.238</v>
      </c>
      <c r="Y86">
        <v>28946721</v>
      </c>
      <c r="Z86" s="40">
        <v>0.32300000000000001</v>
      </c>
      <c r="AC86" t="s">
        <v>270</v>
      </c>
      <c r="AD86" t="s">
        <v>239</v>
      </c>
      <c r="AE86">
        <v>14.215</v>
      </c>
      <c r="AF86">
        <v>17457765</v>
      </c>
      <c r="AG86" s="40">
        <v>0.193</v>
      </c>
      <c r="AH86" t="s">
        <v>266</v>
      </c>
      <c r="AJ86" t="s">
        <v>270</v>
      </c>
      <c r="AK86" t="s">
        <v>239</v>
      </c>
      <c r="AL86">
        <v>14.231</v>
      </c>
      <c r="AM86">
        <v>33771126</v>
      </c>
      <c r="AN86" s="40">
        <v>0.377</v>
      </c>
      <c r="AQ86" t="s">
        <v>270</v>
      </c>
      <c r="AR86" t="s">
        <v>239</v>
      </c>
      <c r="AS86">
        <v>14.222</v>
      </c>
      <c r="AT86">
        <v>29727086</v>
      </c>
      <c r="AU86" s="40">
        <v>0.33100000000000002</v>
      </c>
      <c r="AX86" t="s">
        <v>270</v>
      </c>
      <c r="AY86" t="s">
        <v>239</v>
      </c>
      <c r="AZ86">
        <v>14.225</v>
      </c>
      <c r="BA86">
        <v>34051359</v>
      </c>
      <c r="BB86" s="40">
        <v>0.38</v>
      </c>
      <c r="BE86" t="s">
        <v>270</v>
      </c>
      <c r="BF86" t="s">
        <v>239</v>
      </c>
      <c r="BG86">
        <v>14.21</v>
      </c>
      <c r="BH86">
        <v>32020848</v>
      </c>
      <c r="BI86" s="40">
        <v>0.35699999999999998</v>
      </c>
      <c r="BL86" t="s">
        <v>270</v>
      </c>
      <c r="BM86" t="s">
        <v>239</v>
      </c>
      <c r="BN86">
        <v>14.217000000000001</v>
      </c>
      <c r="BO86">
        <v>27492844</v>
      </c>
      <c r="BP86" s="40">
        <v>0.30599999999999999</v>
      </c>
      <c r="BS86" t="s">
        <v>270</v>
      </c>
      <c r="BT86" t="s">
        <v>239</v>
      </c>
      <c r="BU86">
        <v>14.228</v>
      </c>
      <c r="BV86">
        <v>25658372</v>
      </c>
      <c r="BW86" s="41">
        <v>0.28599999999999998</v>
      </c>
      <c r="BZ86" t="s">
        <v>270</v>
      </c>
      <c r="CA86" t="s">
        <v>239</v>
      </c>
      <c r="CB86">
        <v>14.218</v>
      </c>
      <c r="CC86">
        <v>28349869</v>
      </c>
      <c r="CD86" s="40">
        <v>0.316</v>
      </c>
    </row>
    <row r="87" spans="1:83" x14ac:dyDescent="0.2">
      <c r="A87" t="s">
        <v>271</v>
      </c>
      <c r="B87" t="s">
        <v>272</v>
      </c>
      <c r="C87">
        <v>14.747</v>
      </c>
      <c r="D87">
        <v>369476603</v>
      </c>
      <c r="E87" s="40">
        <v>4.1399999999999997</v>
      </c>
      <c r="H87" t="s">
        <v>271</v>
      </c>
      <c r="I87" t="s">
        <v>272</v>
      </c>
      <c r="J87">
        <v>14.712999999999999</v>
      </c>
      <c r="K87">
        <v>191877658</v>
      </c>
      <c r="L87" s="40">
        <v>2.1429999999999998</v>
      </c>
      <c r="O87" t="s">
        <v>271</v>
      </c>
      <c r="P87" t="s">
        <v>272</v>
      </c>
      <c r="Q87">
        <v>14.731999999999999</v>
      </c>
      <c r="R87">
        <v>325149575</v>
      </c>
      <c r="S87" s="40">
        <v>3.641</v>
      </c>
      <c r="V87" t="s">
        <v>271</v>
      </c>
      <c r="W87" t="s">
        <v>272</v>
      </c>
      <c r="X87">
        <v>14.717000000000001</v>
      </c>
      <c r="Y87">
        <v>229693775</v>
      </c>
      <c r="Z87" s="40">
        <v>2.5680000000000001</v>
      </c>
      <c r="AC87" t="s">
        <v>271</v>
      </c>
      <c r="AD87" t="s">
        <v>272</v>
      </c>
      <c r="AE87">
        <v>14.736000000000001</v>
      </c>
      <c r="AF87">
        <v>363144551</v>
      </c>
      <c r="AG87" s="40">
        <v>4.069</v>
      </c>
      <c r="AJ87" t="s">
        <v>271</v>
      </c>
      <c r="AK87" t="s">
        <v>272</v>
      </c>
      <c r="AL87">
        <v>14.715999999999999</v>
      </c>
      <c r="AM87">
        <v>264118079</v>
      </c>
      <c r="AN87" s="40">
        <v>2.9550000000000001</v>
      </c>
      <c r="AQ87" t="s">
        <v>271</v>
      </c>
      <c r="AR87" t="s">
        <v>272</v>
      </c>
      <c r="AS87">
        <v>14.721</v>
      </c>
      <c r="AT87">
        <v>300297022</v>
      </c>
      <c r="AU87" s="40">
        <v>3.3620000000000001</v>
      </c>
      <c r="AX87" t="s">
        <v>271</v>
      </c>
      <c r="AY87" t="s">
        <v>272</v>
      </c>
      <c r="AZ87">
        <v>14.715</v>
      </c>
      <c r="BA87">
        <v>276051704</v>
      </c>
      <c r="BB87" s="40">
        <v>3.089</v>
      </c>
      <c r="BE87" t="s">
        <v>271</v>
      </c>
      <c r="BF87" t="s">
        <v>272</v>
      </c>
      <c r="BG87">
        <v>14.728</v>
      </c>
      <c r="BH87">
        <v>359952813</v>
      </c>
      <c r="BI87" s="40">
        <v>4.0330000000000004</v>
      </c>
      <c r="BL87" t="s">
        <v>271</v>
      </c>
      <c r="BM87" t="s">
        <v>272</v>
      </c>
      <c r="BN87">
        <v>14.7</v>
      </c>
      <c r="BO87">
        <v>200171943</v>
      </c>
      <c r="BP87" s="40">
        <v>2.2360000000000002</v>
      </c>
      <c r="BS87" t="s">
        <v>271</v>
      </c>
      <c r="BT87" t="s">
        <v>272</v>
      </c>
      <c r="BU87">
        <v>14.712999999999999</v>
      </c>
      <c r="BV87">
        <v>274281190</v>
      </c>
      <c r="BW87" s="41">
        <v>3.069</v>
      </c>
      <c r="BZ87" t="s">
        <v>271</v>
      </c>
      <c r="CA87" t="s">
        <v>272</v>
      </c>
      <c r="CB87">
        <v>14.7</v>
      </c>
      <c r="CC87">
        <v>214083463</v>
      </c>
      <c r="CD87" s="40">
        <v>2.3919999999999999</v>
      </c>
    </row>
    <row r="88" spans="1:83" x14ac:dyDescent="0.2">
      <c r="A88" t="s">
        <v>273</v>
      </c>
      <c r="B88" t="s">
        <v>274</v>
      </c>
      <c r="C88">
        <v>15.632999999999999</v>
      </c>
      <c r="D88">
        <v>38487462</v>
      </c>
      <c r="E88" s="40">
        <v>0.43</v>
      </c>
      <c r="H88" t="s">
        <v>273</v>
      </c>
      <c r="I88" t="s">
        <v>274</v>
      </c>
      <c r="J88">
        <v>15.654999999999999</v>
      </c>
      <c r="K88">
        <v>35972781</v>
      </c>
      <c r="L88" s="40">
        <v>0.40100000000000002</v>
      </c>
      <c r="O88" t="s">
        <v>273</v>
      </c>
      <c r="P88" t="s">
        <v>274</v>
      </c>
      <c r="Q88">
        <v>15.631</v>
      </c>
      <c r="R88">
        <v>26304257</v>
      </c>
      <c r="S88" s="40">
        <v>0.28999999999999998</v>
      </c>
      <c r="V88" t="s">
        <v>273</v>
      </c>
      <c r="W88" t="s">
        <v>274</v>
      </c>
      <c r="X88">
        <v>15.638999999999999</v>
      </c>
      <c r="Y88">
        <v>38042056</v>
      </c>
      <c r="Z88" s="40">
        <v>0.42499999999999999</v>
      </c>
      <c r="AC88" t="s">
        <v>273</v>
      </c>
      <c r="AD88" t="s">
        <v>274</v>
      </c>
      <c r="AE88">
        <v>15.627000000000001</v>
      </c>
      <c r="AF88">
        <v>29234385</v>
      </c>
      <c r="AG88" s="40">
        <v>0.32400000000000001</v>
      </c>
      <c r="AJ88" t="s">
        <v>273</v>
      </c>
      <c r="AK88" t="s">
        <v>274</v>
      </c>
      <c r="AL88">
        <v>15.637</v>
      </c>
      <c r="AM88">
        <v>42377891</v>
      </c>
      <c r="AN88" s="40">
        <v>0.47499999999999998</v>
      </c>
      <c r="AQ88" t="s">
        <v>273</v>
      </c>
      <c r="AR88" t="s">
        <v>274</v>
      </c>
      <c r="AS88">
        <v>15.628</v>
      </c>
      <c r="AT88">
        <v>23210874</v>
      </c>
      <c r="AU88" s="40">
        <v>0.255</v>
      </c>
      <c r="AX88" t="s">
        <v>273</v>
      </c>
      <c r="AY88" t="s">
        <v>274</v>
      </c>
      <c r="AZ88">
        <v>15.629</v>
      </c>
      <c r="BA88">
        <v>42825263</v>
      </c>
      <c r="BB88" s="40">
        <v>0.48</v>
      </c>
      <c r="BE88" t="s">
        <v>273</v>
      </c>
      <c r="BF88" t="s">
        <v>274</v>
      </c>
      <c r="BG88">
        <v>15.617000000000001</v>
      </c>
      <c r="BH88">
        <v>27769349</v>
      </c>
      <c r="BI88" s="40">
        <v>0.307</v>
      </c>
      <c r="BL88" t="s">
        <v>273</v>
      </c>
      <c r="BM88" t="s">
        <v>274</v>
      </c>
      <c r="BN88">
        <v>15.643000000000001</v>
      </c>
      <c r="BO88">
        <v>30691646</v>
      </c>
      <c r="BP88" s="40">
        <v>0.34100000000000003</v>
      </c>
      <c r="BS88" t="s">
        <v>273</v>
      </c>
      <c r="BT88" t="s">
        <v>274</v>
      </c>
      <c r="BU88">
        <v>15.63</v>
      </c>
      <c r="BV88">
        <v>20703864</v>
      </c>
      <c r="BW88" s="41">
        <v>0.22600000000000001</v>
      </c>
      <c r="BX88" t="s">
        <v>266</v>
      </c>
      <c r="BZ88" t="s">
        <v>273</v>
      </c>
      <c r="CA88" t="s">
        <v>274</v>
      </c>
      <c r="CB88">
        <v>15.63</v>
      </c>
      <c r="CC88">
        <v>33122906</v>
      </c>
      <c r="CD88" s="40">
        <v>0.36899999999999999</v>
      </c>
    </row>
    <row r="89" spans="1:83" x14ac:dyDescent="0.2">
      <c r="A89" t="s">
        <v>275</v>
      </c>
      <c r="B89" t="s">
        <v>242</v>
      </c>
      <c r="C89">
        <v>0</v>
      </c>
      <c r="D89">
        <v>0</v>
      </c>
      <c r="E89" s="40" t="s">
        <v>230</v>
      </c>
      <c r="H89" t="s">
        <v>275</v>
      </c>
      <c r="I89" t="s">
        <v>242</v>
      </c>
      <c r="J89">
        <v>0</v>
      </c>
      <c r="K89">
        <v>0</v>
      </c>
      <c r="L89" s="40" t="s">
        <v>230</v>
      </c>
      <c r="O89" t="s">
        <v>275</v>
      </c>
      <c r="P89" t="s">
        <v>242</v>
      </c>
      <c r="Q89">
        <v>0</v>
      </c>
      <c r="R89">
        <v>0</v>
      </c>
      <c r="S89" s="40" t="s">
        <v>230</v>
      </c>
      <c r="V89" t="s">
        <v>275</v>
      </c>
      <c r="W89" t="s">
        <v>242</v>
      </c>
      <c r="X89">
        <v>0</v>
      </c>
      <c r="Y89">
        <v>0</v>
      </c>
      <c r="Z89" s="40" t="s">
        <v>230</v>
      </c>
      <c r="AC89" t="s">
        <v>275</v>
      </c>
      <c r="AD89" t="s">
        <v>242</v>
      </c>
      <c r="AE89">
        <v>0</v>
      </c>
      <c r="AF89">
        <v>0</v>
      </c>
      <c r="AG89" s="40" t="s">
        <v>230</v>
      </c>
      <c r="AJ89" t="s">
        <v>275</v>
      </c>
      <c r="AK89" t="s">
        <v>242</v>
      </c>
      <c r="AL89">
        <v>0</v>
      </c>
      <c r="AM89">
        <v>0</v>
      </c>
      <c r="AN89" s="40" t="s">
        <v>230</v>
      </c>
      <c r="AQ89" t="s">
        <v>275</v>
      </c>
      <c r="AR89" t="s">
        <v>242</v>
      </c>
      <c r="AS89">
        <v>0</v>
      </c>
      <c r="AT89">
        <v>0</v>
      </c>
      <c r="AU89" s="40" t="s">
        <v>230</v>
      </c>
      <c r="AX89" t="s">
        <v>275</v>
      </c>
      <c r="AY89" t="s">
        <v>242</v>
      </c>
      <c r="AZ89">
        <v>0</v>
      </c>
      <c r="BA89">
        <v>0</v>
      </c>
      <c r="BB89" s="40" t="s">
        <v>230</v>
      </c>
      <c r="BE89" t="s">
        <v>275</v>
      </c>
      <c r="BF89" t="s">
        <v>242</v>
      </c>
      <c r="BG89">
        <v>0</v>
      </c>
      <c r="BH89">
        <v>0</v>
      </c>
      <c r="BI89" s="40" t="s">
        <v>230</v>
      </c>
      <c r="BL89" t="s">
        <v>275</v>
      </c>
      <c r="BM89" t="s">
        <v>242</v>
      </c>
      <c r="BN89">
        <v>0</v>
      </c>
      <c r="BO89">
        <v>0</v>
      </c>
      <c r="BP89" s="40" t="s">
        <v>230</v>
      </c>
      <c r="BS89" t="s">
        <v>275</v>
      </c>
      <c r="BT89" t="s">
        <v>242</v>
      </c>
      <c r="BU89">
        <v>0</v>
      </c>
      <c r="BV89">
        <v>0</v>
      </c>
      <c r="BW89" s="41" t="s">
        <v>230</v>
      </c>
      <c r="BZ89" t="s">
        <v>275</v>
      </c>
      <c r="CA89" t="s">
        <v>242</v>
      </c>
      <c r="CB89">
        <v>0</v>
      </c>
      <c r="CC89">
        <v>0</v>
      </c>
      <c r="CD89" s="40" t="s">
        <v>230</v>
      </c>
    </row>
    <row r="90" spans="1:83" x14ac:dyDescent="0.2">
      <c r="A90" t="s">
        <v>276</v>
      </c>
      <c r="B90" t="s">
        <v>243</v>
      </c>
      <c r="C90">
        <v>28.986999999999998</v>
      </c>
      <c r="D90">
        <v>9580145</v>
      </c>
      <c r="E90" s="40">
        <v>0.107</v>
      </c>
      <c r="H90" t="s">
        <v>276</v>
      </c>
      <c r="I90" t="s">
        <v>243</v>
      </c>
      <c r="J90">
        <v>28.998999999999999</v>
      </c>
      <c r="K90">
        <v>6607259</v>
      </c>
      <c r="L90" s="40">
        <v>7.2999999999999995E-2</v>
      </c>
      <c r="M90" t="s">
        <v>266</v>
      </c>
      <c r="O90" t="s">
        <v>276</v>
      </c>
      <c r="P90" t="s">
        <v>243</v>
      </c>
      <c r="Q90">
        <v>28.992000000000001</v>
      </c>
      <c r="R90">
        <v>6836504</v>
      </c>
      <c r="S90" s="40">
        <v>7.5999999999999998E-2</v>
      </c>
      <c r="T90" t="s">
        <v>266</v>
      </c>
      <c r="V90" t="s">
        <v>276</v>
      </c>
      <c r="W90" t="s">
        <v>243</v>
      </c>
      <c r="X90">
        <v>28.995000000000001</v>
      </c>
      <c r="Y90">
        <v>7506159</v>
      </c>
      <c r="Z90" s="40">
        <v>8.3000000000000004E-2</v>
      </c>
      <c r="AA90" t="s">
        <v>266</v>
      </c>
      <c r="AC90" t="s">
        <v>276</v>
      </c>
      <c r="AD90" t="s">
        <v>243</v>
      </c>
      <c r="AE90">
        <v>28.997</v>
      </c>
      <c r="AF90">
        <v>6956873</v>
      </c>
      <c r="AG90" s="40">
        <v>7.6999999999999999E-2</v>
      </c>
      <c r="AH90" t="s">
        <v>266</v>
      </c>
      <c r="AJ90" t="s">
        <v>276</v>
      </c>
      <c r="AK90" t="s">
        <v>243</v>
      </c>
      <c r="AL90">
        <v>28.981999999999999</v>
      </c>
      <c r="AM90">
        <v>8797959</v>
      </c>
      <c r="AN90" s="40">
        <v>9.8000000000000004E-2</v>
      </c>
      <c r="AQ90" t="s">
        <v>276</v>
      </c>
      <c r="AR90" t="s">
        <v>243</v>
      </c>
      <c r="AS90">
        <v>29.004999999999999</v>
      </c>
      <c r="AT90">
        <v>5070725</v>
      </c>
      <c r="AU90" s="40">
        <v>5.6000000000000001E-2</v>
      </c>
      <c r="AV90" t="s">
        <v>266</v>
      </c>
      <c r="AX90" t="s">
        <v>276</v>
      </c>
      <c r="AY90" t="s">
        <v>243</v>
      </c>
      <c r="AZ90">
        <v>28.992000000000001</v>
      </c>
      <c r="BA90">
        <v>8307195</v>
      </c>
      <c r="BB90" s="40">
        <v>9.1999999999999998E-2</v>
      </c>
      <c r="BE90" t="s">
        <v>276</v>
      </c>
      <c r="BF90" t="s">
        <v>243</v>
      </c>
      <c r="BG90">
        <v>29</v>
      </c>
      <c r="BH90">
        <v>4571682</v>
      </c>
      <c r="BI90" s="40">
        <v>5.0999999999999997E-2</v>
      </c>
      <c r="BJ90" t="s">
        <v>266</v>
      </c>
      <c r="BL90" t="s">
        <v>276</v>
      </c>
      <c r="BM90" t="s">
        <v>243</v>
      </c>
      <c r="BN90">
        <v>28.995999999999999</v>
      </c>
      <c r="BO90">
        <v>4798713</v>
      </c>
      <c r="BP90" s="40">
        <v>5.2999999999999999E-2</v>
      </c>
      <c r="BQ90" t="s">
        <v>266</v>
      </c>
      <c r="BS90" t="s">
        <v>276</v>
      </c>
      <c r="BT90" t="s">
        <v>243</v>
      </c>
      <c r="BU90">
        <v>29.021999999999998</v>
      </c>
      <c r="BV90">
        <v>2991589</v>
      </c>
      <c r="BW90" s="41">
        <v>3.3000000000000002E-2</v>
      </c>
      <c r="BX90" t="s">
        <v>266</v>
      </c>
      <c r="BZ90" t="s">
        <v>276</v>
      </c>
      <c r="CA90" t="s">
        <v>243</v>
      </c>
      <c r="CB90">
        <v>29.012</v>
      </c>
      <c r="CC90">
        <v>3214794</v>
      </c>
      <c r="CD90" s="40">
        <v>3.5000000000000003E-2</v>
      </c>
      <c r="CE90" t="s">
        <v>266</v>
      </c>
    </row>
    <row r="91" spans="1:83" x14ac:dyDescent="0.2">
      <c r="A91" t="s">
        <v>262</v>
      </c>
      <c r="H91" t="s">
        <v>262</v>
      </c>
      <c r="O91" t="s">
        <v>262</v>
      </c>
      <c r="V91" t="s">
        <v>262</v>
      </c>
      <c r="AC91" t="s">
        <v>262</v>
      </c>
      <c r="AJ91" t="s">
        <v>262</v>
      </c>
      <c r="AQ91" t="s">
        <v>262</v>
      </c>
      <c r="AX91" t="s">
        <v>262</v>
      </c>
      <c r="BE91" t="s">
        <v>262</v>
      </c>
      <c r="BL91" t="s">
        <v>262</v>
      </c>
      <c r="BS91" t="s">
        <v>262</v>
      </c>
      <c r="BZ91" t="s">
        <v>262</v>
      </c>
    </row>
    <row r="93" spans="1:83" x14ac:dyDescent="0.2">
      <c r="A93" t="s">
        <v>277</v>
      </c>
      <c r="H93" t="s">
        <v>277</v>
      </c>
      <c r="O93" t="s">
        <v>277</v>
      </c>
      <c r="V93" t="s">
        <v>277</v>
      </c>
      <c r="AC93" t="s">
        <v>277</v>
      </c>
      <c r="AJ93" t="s">
        <v>277</v>
      </c>
      <c r="AQ93" t="s">
        <v>277</v>
      </c>
      <c r="AX93" t="s">
        <v>277</v>
      </c>
      <c r="BE93" t="s">
        <v>277</v>
      </c>
      <c r="BL93" t="s">
        <v>277</v>
      </c>
      <c r="BS93" t="s">
        <v>277</v>
      </c>
      <c r="BZ93" t="s">
        <v>277</v>
      </c>
    </row>
    <row r="95" spans="1:83" x14ac:dyDescent="0.2">
      <c r="A95" t="s">
        <v>416</v>
      </c>
      <c r="H95" t="s">
        <v>417</v>
      </c>
      <c r="O95" t="s">
        <v>418</v>
      </c>
      <c r="V95" t="s">
        <v>419</v>
      </c>
      <c r="AC95" t="s">
        <v>420</v>
      </c>
      <c r="AJ95" t="s">
        <v>421</v>
      </c>
      <c r="AQ95" t="s">
        <v>422</v>
      </c>
      <c r="AX95" t="s">
        <v>423</v>
      </c>
      <c r="BE95" t="s">
        <v>424</v>
      </c>
      <c r="BL95" t="s">
        <v>425</v>
      </c>
      <c r="BS95" t="s">
        <v>426</v>
      </c>
      <c r="BZ95" t="s">
        <v>427</v>
      </c>
    </row>
    <row r="103" spans="4:28" x14ac:dyDescent="0.2">
      <c r="E103">
        <v>1</v>
      </c>
      <c r="F103">
        <v>2</v>
      </c>
      <c r="G103">
        <v>3</v>
      </c>
      <c r="H103">
        <v>4</v>
      </c>
      <c r="I103">
        <v>5</v>
      </c>
      <c r="J103">
        <v>6</v>
      </c>
      <c r="K103">
        <v>7</v>
      </c>
      <c r="L103">
        <v>8</v>
      </c>
      <c r="M103">
        <v>9</v>
      </c>
      <c r="N103">
        <v>10</v>
      </c>
      <c r="O103">
        <v>11</v>
      </c>
      <c r="P103">
        <v>12</v>
      </c>
      <c r="Q103">
        <v>13</v>
      </c>
      <c r="R103">
        <v>14</v>
      </c>
      <c r="S103">
        <v>15</v>
      </c>
      <c r="T103">
        <v>16</v>
      </c>
      <c r="U103">
        <v>17</v>
      </c>
      <c r="V103">
        <v>18</v>
      </c>
      <c r="W103">
        <v>19</v>
      </c>
      <c r="X103">
        <v>20</v>
      </c>
      <c r="Y103">
        <v>21</v>
      </c>
      <c r="Z103">
        <v>22</v>
      </c>
      <c r="AA103">
        <v>23</v>
      </c>
      <c r="AB103">
        <v>24</v>
      </c>
    </row>
    <row r="104" spans="4:28" x14ac:dyDescent="0.2">
      <c r="E104" s="40" t="s">
        <v>229</v>
      </c>
      <c r="F104" s="40" t="s">
        <v>229</v>
      </c>
      <c r="G104" s="40" t="s">
        <v>229</v>
      </c>
      <c r="H104" s="40" t="s">
        <v>229</v>
      </c>
      <c r="I104" s="40" t="s">
        <v>229</v>
      </c>
      <c r="J104" s="40" t="s">
        <v>229</v>
      </c>
      <c r="K104" s="40" t="s">
        <v>229</v>
      </c>
      <c r="L104" s="40" t="s">
        <v>229</v>
      </c>
      <c r="M104" s="40" t="s">
        <v>229</v>
      </c>
      <c r="N104" s="40" t="s">
        <v>229</v>
      </c>
      <c r="O104" s="40" t="s">
        <v>229</v>
      </c>
      <c r="P104" s="40" t="s">
        <v>229</v>
      </c>
      <c r="Q104" s="40" t="s">
        <v>229</v>
      </c>
      <c r="R104" s="40" t="s">
        <v>229</v>
      </c>
      <c r="S104" s="40" t="s">
        <v>229</v>
      </c>
      <c r="T104" s="40" t="s">
        <v>229</v>
      </c>
      <c r="U104" s="40" t="s">
        <v>229</v>
      </c>
      <c r="V104" s="40" t="s">
        <v>229</v>
      </c>
      <c r="W104" s="40" t="s">
        <v>229</v>
      </c>
      <c r="X104" s="40" t="s">
        <v>229</v>
      </c>
      <c r="Y104" s="40" t="s">
        <v>229</v>
      </c>
      <c r="Z104" s="40" t="s">
        <v>229</v>
      </c>
      <c r="AA104" s="40" t="s">
        <v>229</v>
      </c>
      <c r="AB104" s="40" t="s">
        <v>229</v>
      </c>
    </row>
    <row r="105" spans="4:28" x14ac:dyDescent="0.2">
      <c r="D105" t="s">
        <v>235</v>
      </c>
      <c r="E105" s="40">
        <v>0.84799999999999998</v>
      </c>
      <c r="F105" s="40">
        <v>0.95199999999999996</v>
      </c>
      <c r="G105" s="40">
        <v>0.91800000000000004</v>
      </c>
      <c r="H105" s="40">
        <v>0.85699999999999998</v>
      </c>
      <c r="I105" s="40">
        <v>0.99099999999999999</v>
      </c>
      <c r="J105" s="40">
        <v>1.012</v>
      </c>
      <c r="K105" s="40">
        <v>1.1870000000000001</v>
      </c>
      <c r="L105" s="40">
        <v>0.89100000000000001</v>
      </c>
      <c r="M105" s="40">
        <v>0.83</v>
      </c>
      <c r="N105" s="40">
        <v>0.73</v>
      </c>
      <c r="O105" s="40">
        <v>0.95899999999999996</v>
      </c>
      <c r="P105" s="40">
        <v>0.96</v>
      </c>
      <c r="Q105" s="40">
        <v>0.91800000000000004</v>
      </c>
      <c r="R105" s="40">
        <v>1.119</v>
      </c>
      <c r="S105" s="40">
        <v>0.94899999999999995</v>
      </c>
      <c r="T105" s="40">
        <v>0.79500000000000004</v>
      </c>
      <c r="U105" s="40">
        <v>0.9</v>
      </c>
      <c r="V105" s="40">
        <v>1.0009999999999999</v>
      </c>
      <c r="W105" s="40">
        <v>0.98899999999999999</v>
      </c>
      <c r="X105" s="40">
        <v>0.93300000000000005</v>
      </c>
      <c r="Y105" s="40">
        <v>0.92100000000000004</v>
      </c>
      <c r="Z105" s="40">
        <v>0.92900000000000005</v>
      </c>
      <c r="AA105" s="41">
        <v>0.90100000000000002</v>
      </c>
      <c r="AB105" s="40">
        <v>0.91200000000000003</v>
      </c>
    </row>
    <row r="106" spans="4:28" x14ac:dyDescent="0.2">
      <c r="D106" t="s">
        <v>236</v>
      </c>
      <c r="E106" s="40" t="s">
        <v>230</v>
      </c>
      <c r="F106" s="40" t="s">
        <v>230</v>
      </c>
      <c r="G106" s="40" t="s">
        <v>230</v>
      </c>
      <c r="H106" s="40" t="s">
        <v>341</v>
      </c>
      <c r="I106" s="40" t="s">
        <v>230</v>
      </c>
      <c r="J106" s="40" t="s">
        <v>230</v>
      </c>
      <c r="K106" s="40" t="s">
        <v>230</v>
      </c>
      <c r="L106" s="40" t="s">
        <v>230</v>
      </c>
      <c r="M106" s="40" t="s">
        <v>230</v>
      </c>
      <c r="N106" s="40" t="s">
        <v>230</v>
      </c>
      <c r="O106" s="40" t="s">
        <v>230</v>
      </c>
      <c r="P106" s="40" t="s">
        <v>230</v>
      </c>
      <c r="Q106" s="40" t="s">
        <v>230</v>
      </c>
      <c r="R106" s="40" t="s">
        <v>230</v>
      </c>
      <c r="S106" s="40" t="s">
        <v>230</v>
      </c>
      <c r="T106" s="40" t="s">
        <v>230</v>
      </c>
      <c r="U106" s="40" t="s">
        <v>230</v>
      </c>
      <c r="V106" s="40" t="s">
        <v>230</v>
      </c>
      <c r="W106" s="40" t="s">
        <v>230</v>
      </c>
      <c r="X106" s="40" t="s">
        <v>230</v>
      </c>
      <c r="Y106" s="40" t="s">
        <v>230</v>
      </c>
      <c r="Z106" s="40" t="s">
        <v>230</v>
      </c>
      <c r="AA106" s="41" t="s">
        <v>230</v>
      </c>
      <c r="AB106" s="40" t="s">
        <v>230</v>
      </c>
    </row>
    <row r="107" spans="4:28" x14ac:dyDescent="0.2">
      <c r="D107" t="s">
        <v>237</v>
      </c>
      <c r="E107" s="40">
        <v>0.127</v>
      </c>
      <c r="F107" s="40">
        <v>0.14000000000000001</v>
      </c>
      <c r="G107" s="40">
        <v>0.23899999999999999</v>
      </c>
      <c r="H107" s="40">
        <v>0.17299999999999999</v>
      </c>
      <c r="I107" s="40">
        <v>0.38900000000000001</v>
      </c>
      <c r="J107" s="40">
        <v>0.22800000000000001</v>
      </c>
      <c r="K107" s="40">
        <v>0.42699999999999999</v>
      </c>
      <c r="L107" s="40">
        <v>0.34499999999999997</v>
      </c>
      <c r="M107" s="40">
        <v>0.82599999999999996</v>
      </c>
      <c r="N107" s="40">
        <v>0.33100000000000002</v>
      </c>
      <c r="O107" s="40">
        <v>1.111</v>
      </c>
      <c r="P107" s="40">
        <v>0.59399999999999997</v>
      </c>
      <c r="Q107" s="40">
        <v>1.1220000000000001</v>
      </c>
      <c r="R107" s="40">
        <v>0.60299999999999998</v>
      </c>
      <c r="S107" s="40">
        <v>0.89500000000000002</v>
      </c>
      <c r="T107" s="40">
        <v>0.70699999999999996</v>
      </c>
      <c r="U107" s="40">
        <v>0.95799999999999996</v>
      </c>
      <c r="V107" s="40">
        <v>0.81299999999999994</v>
      </c>
      <c r="W107" s="40">
        <v>0.747</v>
      </c>
      <c r="X107" s="40">
        <v>0.80400000000000005</v>
      </c>
      <c r="Y107" s="40">
        <v>0.83899999999999997</v>
      </c>
      <c r="Z107" s="40">
        <v>0.61199999999999999</v>
      </c>
      <c r="AA107" s="41">
        <v>0.61299999999999999</v>
      </c>
      <c r="AB107" s="40">
        <v>0.58699999999999997</v>
      </c>
    </row>
    <row r="108" spans="4:28" x14ac:dyDescent="0.2">
      <c r="D108" t="s">
        <v>269</v>
      </c>
      <c r="E108" s="40">
        <v>3.5999999999999997E-2</v>
      </c>
      <c r="F108" s="40">
        <v>1.7999999999999999E-2</v>
      </c>
      <c r="G108" s="40">
        <v>9.0999999999999998E-2</v>
      </c>
      <c r="H108" s="40">
        <v>3.5999999999999997E-2</v>
      </c>
      <c r="I108" s="40">
        <v>0.185</v>
      </c>
      <c r="J108" s="40">
        <v>7.2999999999999995E-2</v>
      </c>
      <c r="K108" s="40">
        <v>0.192</v>
      </c>
      <c r="L108" s="40">
        <v>0.13400000000000001</v>
      </c>
      <c r="M108" s="40">
        <v>0.58099999999999996</v>
      </c>
      <c r="N108" s="40">
        <v>0.17499999999999999</v>
      </c>
      <c r="O108" s="40">
        <v>0.84199999999999997</v>
      </c>
      <c r="P108" s="40">
        <v>0.34300000000000003</v>
      </c>
      <c r="Q108" s="40">
        <v>0.86499999999999999</v>
      </c>
      <c r="R108" s="40">
        <v>0.32500000000000001</v>
      </c>
      <c r="S108" s="40">
        <v>0.80100000000000005</v>
      </c>
      <c r="T108" s="40">
        <v>0.41399999999999998</v>
      </c>
      <c r="U108" s="40">
        <v>0.90300000000000002</v>
      </c>
      <c r="V108" s="40">
        <v>0.47099999999999997</v>
      </c>
      <c r="W108" s="40">
        <v>0.73199999999999998</v>
      </c>
      <c r="X108" s="40">
        <v>0.49199999999999999</v>
      </c>
      <c r="Y108" s="40">
        <v>0.89300000000000002</v>
      </c>
      <c r="Z108" s="40">
        <v>0.35499999999999998</v>
      </c>
      <c r="AA108" s="41">
        <v>0.65700000000000003</v>
      </c>
      <c r="AB108" s="40">
        <v>0.35899999999999999</v>
      </c>
    </row>
    <row r="109" spans="4:28" x14ac:dyDescent="0.2">
      <c r="D109" t="s">
        <v>239</v>
      </c>
      <c r="E109" s="40">
        <v>7.3999999999999996E-2</v>
      </c>
      <c r="F109" s="40">
        <v>9.4E-2</v>
      </c>
      <c r="G109" s="40">
        <v>9.6000000000000002E-2</v>
      </c>
      <c r="H109" s="40">
        <v>9.0999999999999998E-2</v>
      </c>
      <c r="I109" s="40">
        <v>0.111</v>
      </c>
      <c r="J109" s="40">
        <v>9.6000000000000002E-2</v>
      </c>
      <c r="K109" s="40">
        <v>0.14799999999999999</v>
      </c>
      <c r="L109" s="40">
        <v>0.11700000000000001</v>
      </c>
      <c r="M109" s="40">
        <v>0.27800000000000002</v>
      </c>
      <c r="N109" s="40">
        <v>0.155</v>
      </c>
      <c r="O109" s="40">
        <v>0.38</v>
      </c>
      <c r="P109" s="40">
        <v>0.27400000000000002</v>
      </c>
      <c r="Q109" s="40">
        <v>0.19900000000000001</v>
      </c>
      <c r="R109" s="40">
        <v>0.28699999999999998</v>
      </c>
      <c r="S109" s="40">
        <v>0.23499999999999999</v>
      </c>
      <c r="T109" s="40">
        <v>0.32300000000000001</v>
      </c>
      <c r="U109" s="40">
        <v>0.193</v>
      </c>
      <c r="V109" s="40">
        <v>0.377</v>
      </c>
      <c r="W109" s="40">
        <v>0.33100000000000002</v>
      </c>
      <c r="X109" s="40">
        <v>0.38</v>
      </c>
      <c r="Y109" s="40">
        <v>0.35699999999999998</v>
      </c>
      <c r="Z109" s="40">
        <v>0.30599999999999999</v>
      </c>
      <c r="AA109" s="41">
        <v>0.28599999999999998</v>
      </c>
      <c r="AB109" s="40">
        <v>0.316</v>
      </c>
    </row>
    <row r="110" spans="4:28" x14ac:dyDescent="0.2">
      <c r="D110" t="s">
        <v>272</v>
      </c>
      <c r="E110" s="40">
        <v>0.115</v>
      </c>
      <c r="F110" s="40">
        <v>8.1000000000000003E-2</v>
      </c>
      <c r="G110" s="40">
        <v>0.29699999999999999</v>
      </c>
      <c r="H110" s="40">
        <v>0.125</v>
      </c>
      <c r="I110" s="40">
        <v>0.67400000000000004</v>
      </c>
      <c r="J110" s="40">
        <v>0.30599999999999999</v>
      </c>
      <c r="K110" s="40">
        <v>0.72499999999999998</v>
      </c>
      <c r="L110" s="40">
        <v>0.71499999999999997</v>
      </c>
      <c r="M110" s="40">
        <v>2.6019999999999999</v>
      </c>
      <c r="N110" s="40">
        <v>1.252</v>
      </c>
      <c r="O110" s="40">
        <v>3.89</v>
      </c>
      <c r="P110" s="40">
        <v>2.403</v>
      </c>
      <c r="Q110" s="40">
        <v>4.1399999999999997</v>
      </c>
      <c r="R110" s="40">
        <v>2.1429999999999998</v>
      </c>
      <c r="S110" s="40">
        <v>3.641</v>
      </c>
      <c r="T110" s="40">
        <v>2.5680000000000001</v>
      </c>
      <c r="U110" s="40">
        <v>4.069</v>
      </c>
      <c r="V110" s="40">
        <v>2.9550000000000001</v>
      </c>
      <c r="W110" s="40">
        <v>3.3620000000000001</v>
      </c>
      <c r="X110" s="40">
        <v>3.089</v>
      </c>
      <c r="Y110" s="40">
        <v>4.0330000000000004</v>
      </c>
      <c r="Z110" s="40">
        <v>2.2360000000000002</v>
      </c>
      <c r="AA110" s="41">
        <v>3.069</v>
      </c>
      <c r="AB110" s="40">
        <v>2.3919999999999999</v>
      </c>
    </row>
    <row r="111" spans="4:28" x14ac:dyDescent="0.2">
      <c r="D111" t="s">
        <v>274</v>
      </c>
      <c r="E111" s="40">
        <v>0.128</v>
      </c>
      <c r="F111" s="40">
        <v>7.2999999999999995E-2</v>
      </c>
      <c r="G111" s="40">
        <v>0.51</v>
      </c>
      <c r="H111" s="40">
        <v>0.22900000000000001</v>
      </c>
      <c r="I111" s="40">
        <v>0.95099999999999996</v>
      </c>
      <c r="J111" s="40">
        <v>0.47899999999999998</v>
      </c>
      <c r="K111" s="40">
        <v>0.61399999999999999</v>
      </c>
      <c r="L111" s="40">
        <v>0.86499999999999999</v>
      </c>
      <c r="M111" s="40">
        <v>0.34899999999999998</v>
      </c>
      <c r="N111" s="40">
        <v>0.30099999999999999</v>
      </c>
      <c r="O111" s="40">
        <v>0.44500000000000001</v>
      </c>
      <c r="P111" s="40">
        <v>0.496</v>
      </c>
      <c r="Q111" s="40">
        <v>0.43</v>
      </c>
      <c r="R111" s="40">
        <v>0.40100000000000002</v>
      </c>
      <c r="S111" s="40">
        <v>0.28999999999999998</v>
      </c>
      <c r="T111" s="40">
        <v>0.42499999999999999</v>
      </c>
      <c r="U111" s="40">
        <v>0.32400000000000001</v>
      </c>
      <c r="V111" s="40">
        <v>0.47499999999999998</v>
      </c>
      <c r="W111" s="40">
        <v>0.255</v>
      </c>
      <c r="X111" s="40">
        <v>0.48</v>
      </c>
      <c r="Y111" s="40">
        <v>0.307</v>
      </c>
      <c r="Z111" s="40">
        <v>0.34100000000000003</v>
      </c>
      <c r="AA111" s="41">
        <v>0.22600000000000001</v>
      </c>
      <c r="AB111" s="40">
        <v>0.36899999999999999</v>
      </c>
    </row>
    <row r="112" spans="4:28" x14ac:dyDescent="0.2">
      <c r="D112" t="s">
        <v>242</v>
      </c>
      <c r="E112" s="40" t="s">
        <v>230</v>
      </c>
      <c r="F112" s="40" t="s">
        <v>230</v>
      </c>
      <c r="G112" s="40" t="s">
        <v>230</v>
      </c>
      <c r="H112" s="40" t="s">
        <v>230</v>
      </c>
      <c r="I112" s="40" t="s">
        <v>230</v>
      </c>
      <c r="J112" s="40" t="s">
        <v>230</v>
      </c>
      <c r="K112" s="40" t="s">
        <v>230</v>
      </c>
      <c r="L112" s="40" t="s">
        <v>230</v>
      </c>
      <c r="M112" s="40" t="s">
        <v>230</v>
      </c>
      <c r="N112" s="40" t="s">
        <v>230</v>
      </c>
      <c r="O112" s="40" t="s">
        <v>230</v>
      </c>
      <c r="P112" s="40" t="s">
        <v>230</v>
      </c>
      <c r="Q112" s="40" t="s">
        <v>230</v>
      </c>
      <c r="R112" s="40" t="s">
        <v>230</v>
      </c>
      <c r="S112" s="40" t="s">
        <v>230</v>
      </c>
      <c r="T112" s="40" t="s">
        <v>230</v>
      </c>
      <c r="U112" s="40" t="s">
        <v>230</v>
      </c>
      <c r="V112" s="40" t="s">
        <v>230</v>
      </c>
      <c r="W112" s="40" t="s">
        <v>230</v>
      </c>
      <c r="X112" s="40" t="s">
        <v>230</v>
      </c>
      <c r="Y112" s="40" t="s">
        <v>230</v>
      </c>
      <c r="Z112" s="40" t="s">
        <v>230</v>
      </c>
      <c r="AA112" s="41" t="s">
        <v>230</v>
      </c>
      <c r="AB112" s="40" t="s">
        <v>230</v>
      </c>
    </row>
    <row r="113" spans="3:28" x14ac:dyDescent="0.2">
      <c r="D113" t="s">
        <v>243</v>
      </c>
      <c r="E113" s="40">
        <v>3.0000000000000001E-3</v>
      </c>
      <c r="F113" s="40" t="s">
        <v>230</v>
      </c>
      <c r="G113" s="40">
        <v>4.0000000000000001E-3</v>
      </c>
      <c r="H113" s="40" t="s">
        <v>230</v>
      </c>
      <c r="I113" s="40">
        <v>8.9999999999999993E-3</v>
      </c>
      <c r="J113" s="40">
        <v>3.0000000000000001E-3</v>
      </c>
      <c r="K113" s="40">
        <v>1.2E-2</v>
      </c>
      <c r="L113" s="40">
        <v>7.0000000000000001E-3</v>
      </c>
      <c r="M113" s="40">
        <v>6.6000000000000003E-2</v>
      </c>
      <c r="N113" s="40">
        <v>4.2000000000000003E-2</v>
      </c>
      <c r="O113" s="40">
        <v>0.10100000000000001</v>
      </c>
      <c r="P113" s="40">
        <v>7.9000000000000001E-2</v>
      </c>
      <c r="Q113" s="40">
        <v>0.107</v>
      </c>
      <c r="R113" s="40">
        <v>7.2999999999999995E-2</v>
      </c>
      <c r="S113" s="40">
        <v>7.5999999999999998E-2</v>
      </c>
      <c r="T113" s="40">
        <v>8.3000000000000004E-2</v>
      </c>
      <c r="U113" s="40">
        <v>7.6999999999999999E-2</v>
      </c>
      <c r="V113" s="40">
        <v>9.8000000000000004E-2</v>
      </c>
      <c r="W113" s="40">
        <v>5.6000000000000001E-2</v>
      </c>
      <c r="X113" s="40">
        <v>9.1999999999999998E-2</v>
      </c>
      <c r="Y113" s="40">
        <v>5.0999999999999997E-2</v>
      </c>
      <c r="Z113" s="40">
        <v>5.2999999999999999E-2</v>
      </c>
      <c r="AA113" s="41">
        <v>3.3000000000000002E-2</v>
      </c>
      <c r="AB113" s="40">
        <v>3.5000000000000003E-2</v>
      </c>
    </row>
    <row r="116" spans="3:28" x14ac:dyDescent="0.2">
      <c r="P116" t="s">
        <v>430</v>
      </c>
    </row>
    <row r="117" spans="3:28" x14ac:dyDescent="0.2">
      <c r="E117" t="s">
        <v>235</v>
      </c>
      <c r="F117" t="s">
        <v>236</v>
      </c>
      <c r="G117" t="s">
        <v>237</v>
      </c>
      <c r="H117" t="s">
        <v>269</v>
      </c>
      <c r="I117" t="s">
        <v>239</v>
      </c>
      <c r="J117" t="s">
        <v>272</v>
      </c>
      <c r="K117" t="s">
        <v>274</v>
      </c>
      <c r="L117" t="s">
        <v>242</v>
      </c>
      <c r="M117" t="s">
        <v>243</v>
      </c>
      <c r="O117" t="s">
        <v>428</v>
      </c>
      <c r="P117" t="s">
        <v>429</v>
      </c>
    </row>
    <row r="118" spans="3:28" x14ac:dyDescent="0.2">
      <c r="C118">
        <v>1</v>
      </c>
      <c r="D118" s="40" t="s">
        <v>229</v>
      </c>
      <c r="E118" s="40">
        <v>0.84799999999999998</v>
      </c>
      <c r="F118" s="40" t="s">
        <v>230</v>
      </c>
      <c r="G118" s="40">
        <v>0.127</v>
      </c>
      <c r="H118" s="40">
        <v>3.5999999999999997E-2</v>
      </c>
      <c r="I118" s="40">
        <v>7.3999999999999996E-2</v>
      </c>
      <c r="J118" s="40">
        <v>0.115</v>
      </c>
      <c r="K118" s="40">
        <v>0.128</v>
      </c>
      <c r="L118" s="40" t="s">
        <v>230</v>
      </c>
      <c r="M118" s="40">
        <v>3.0000000000000001E-3</v>
      </c>
      <c r="O118">
        <f>SUM(F118:M118)</f>
        <v>0.48299999999999998</v>
      </c>
      <c r="P118">
        <f>O118*0.5</f>
        <v>0.24149999999999999</v>
      </c>
    </row>
    <row r="119" spans="3:28" x14ac:dyDescent="0.2">
      <c r="C119">
        <v>2</v>
      </c>
      <c r="D119" s="40" t="s">
        <v>229</v>
      </c>
      <c r="E119" s="40">
        <v>0.95199999999999996</v>
      </c>
      <c r="F119" s="40" t="s">
        <v>230</v>
      </c>
      <c r="G119" s="40">
        <v>0.14000000000000001</v>
      </c>
      <c r="H119" s="40">
        <v>1.7999999999999999E-2</v>
      </c>
      <c r="I119" s="40">
        <v>9.4E-2</v>
      </c>
      <c r="J119" s="40">
        <v>8.1000000000000003E-2</v>
      </c>
      <c r="K119" s="40">
        <v>7.2999999999999995E-2</v>
      </c>
      <c r="L119" s="40" t="s">
        <v>230</v>
      </c>
      <c r="M119" s="40" t="s">
        <v>230</v>
      </c>
      <c r="O119">
        <f t="shared" ref="O119:O141" si="0">SUM(F119:M119)</f>
        <v>0.40600000000000003</v>
      </c>
      <c r="P119">
        <f t="shared" ref="P119:P141" si="1">O119*0.5</f>
        <v>0.20300000000000001</v>
      </c>
    </row>
    <row r="120" spans="3:28" x14ac:dyDescent="0.2">
      <c r="C120">
        <v>3</v>
      </c>
      <c r="D120" s="40" t="s">
        <v>229</v>
      </c>
      <c r="E120" s="40">
        <v>0.91800000000000004</v>
      </c>
      <c r="F120" s="40" t="s">
        <v>230</v>
      </c>
      <c r="G120" s="40">
        <v>0.23899999999999999</v>
      </c>
      <c r="H120" s="40">
        <v>9.0999999999999998E-2</v>
      </c>
      <c r="I120" s="40">
        <v>9.6000000000000002E-2</v>
      </c>
      <c r="J120" s="40">
        <v>0.29699999999999999</v>
      </c>
      <c r="K120" s="40">
        <v>0.51</v>
      </c>
      <c r="L120" s="40" t="s">
        <v>230</v>
      </c>
      <c r="M120" s="40">
        <v>4.0000000000000001E-3</v>
      </c>
      <c r="O120">
        <f t="shared" si="0"/>
        <v>1.2369999999999999</v>
      </c>
      <c r="P120">
        <f t="shared" si="1"/>
        <v>0.61849999999999994</v>
      </c>
    </row>
    <row r="121" spans="3:28" x14ac:dyDescent="0.2">
      <c r="C121">
        <v>4</v>
      </c>
      <c r="D121" s="40" t="s">
        <v>229</v>
      </c>
      <c r="E121" s="40">
        <v>0.85699999999999998</v>
      </c>
      <c r="F121" s="40" t="s">
        <v>341</v>
      </c>
      <c r="G121" s="40">
        <v>0.17299999999999999</v>
      </c>
      <c r="H121" s="40">
        <v>3.5999999999999997E-2</v>
      </c>
      <c r="I121" s="40">
        <v>9.0999999999999998E-2</v>
      </c>
      <c r="J121" s="40">
        <v>0.125</v>
      </c>
      <c r="K121" s="40">
        <v>0.22900000000000001</v>
      </c>
      <c r="L121" s="40" t="s">
        <v>230</v>
      </c>
      <c r="M121" s="40" t="s">
        <v>230</v>
      </c>
      <c r="O121">
        <f t="shared" si="0"/>
        <v>0.65400000000000003</v>
      </c>
      <c r="P121">
        <f t="shared" si="1"/>
        <v>0.32700000000000001</v>
      </c>
    </row>
    <row r="122" spans="3:28" x14ac:dyDescent="0.2">
      <c r="C122">
        <v>5</v>
      </c>
      <c r="D122" s="40" t="s">
        <v>229</v>
      </c>
      <c r="E122" s="40">
        <v>0.99099999999999999</v>
      </c>
      <c r="F122" s="40" t="s">
        <v>230</v>
      </c>
      <c r="G122" s="40">
        <v>0.38900000000000001</v>
      </c>
      <c r="H122" s="40">
        <v>0.185</v>
      </c>
      <c r="I122" s="40">
        <v>0.111</v>
      </c>
      <c r="J122" s="40">
        <v>0.67400000000000004</v>
      </c>
      <c r="K122" s="40">
        <v>0.95099999999999996</v>
      </c>
      <c r="L122" s="40" t="s">
        <v>230</v>
      </c>
      <c r="M122" s="40">
        <v>8.9999999999999993E-3</v>
      </c>
      <c r="O122">
        <f t="shared" si="0"/>
        <v>2.319</v>
      </c>
      <c r="P122">
        <f t="shared" si="1"/>
        <v>1.1595</v>
      </c>
    </row>
    <row r="123" spans="3:28" x14ac:dyDescent="0.2">
      <c r="C123">
        <v>6</v>
      </c>
      <c r="D123" s="40" t="s">
        <v>229</v>
      </c>
      <c r="E123" s="40">
        <v>1.012</v>
      </c>
      <c r="F123" s="40" t="s">
        <v>230</v>
      </c>
      <c r="G123" s="40">
        <v>0.22800000000000001</v>
      </c>
      <c r="H123" s="40">
        <v>7.2999999999999995E-2</v>
      </c>
      <c r="I123" s="40">
        <v>9.6000000000000002E-2</v>
      </c>
      <c r="J123" s="40">
        <v>0.30599999999999999</v>
      </c>
      <c r="K123" s="40">
        <v>0.47899999999999998</v>
      </c>
      <c r="L123" s="40" t="s">
        <v>230</v>
      </c>
      <c r="M123" s="40">
        <v>3.0000000000000001E-3</v>
      </c>
      <c r="O123">
        <f t="shared" si="0"/>
        <v>1.1849999999999998</v>
      </c>
      <c r="P123">
        <f t="shared" si="1"/>
        <v>0.59249999999999992</v>
      </c>
    </row>
    <row r="124" spans="3:28" x14ac:dyDescent="0.2">
      <c r="C124">
        <v>7</v>
      </c>
      <c r="D124" s="40" t="s">
        <v>229</v>
      </c>
      <c r="E124" s="40">
        <v>1.1870000000000001</v>
      </c>
      <c r="F124" s="40" t="s">
        <v>230</v>
      </c>
      <c r="G124" s="40">
        <v>0.42699999999999999</v>
      </c>
      <c r="H124" s="40">
        <v>0.192</v>
      </c>
      <c r="I124" s="40">
        <v>0.14799999999999999</v>
      </c>
      <c r="J124" s="40">
        <v>0.72499999999999998</v>
      </c>
      <c r="K124" s="40">
        <v>0.61399999999999999</v>
      </c>
      <c r="L124" s="40" t="s">
        <v>230</v>
      </c>
      <c r="M124" s="40">
        <v>1.2E-2</v>
      </c>
      <c r="O124">
        <f t="shared" si="0"/>
        <v>2.1179999999999999</v>
      </c>
      <c r="P124">
        <f t="shared" si="1"/>
        <v>1.0589999999999999</v>
      </c>
    </row>
    <row r="125" spans="3:28" x14ac:dyDescent="0.2">
      <c r="C125">
        <v>8</v>
      </c>
      <c r="D125" s="40" t="s">
        <v>229</v>
      </c>
      <c r="E125" s="40">
        <v>0.89100000000000001</v>
      </c>
      <c r="F125" s="40" t="s">
        <v>230</v>
      </c>
      <c r="G125" s="40">
        <v>0.34499999999999997</v>
      </c>
      <c r="H125" s="40">
        <v>0.13400000000000001</v>
      </c>
      <c r="I125" s="40">
        <v>0.11700000000000001</v>
      </c>
      <c r="J125" s="40">
        <v>0.71499999999999997</v>
      </c>
      <c r="K125" s="40">
        <v>0.86499999999999999</v>
      </c>
      <c r="L125" s="40" t="s">
        <v>230</v>
      </c>
      <c r="M125" s="40">
        <v>7.0000000000000001E-3</v>
      </c>
      <c r="O125">
        <f t="shared" si="0"/>
        <v>2.1830000000000003</v>
      </c>
      <c r="P125">
        <f t="shared" si="1"/>
        <v>1.0915000000000001</v>
      </c>
    </row>
    <row r="126" spans="3:28" x14ac:dyDescent="0.2">
      <c r="C126">
        <v>9</v>
      </c>
      <c r="D126" s="40" t="s">
        <v>229</v>
      </c>
      <c r="E126" s="40">
        <v>0.83</v>
      </c>
      <c r="F126" s="40" t="s">
        <v>230</v>
      </c>
      <c r="G126" s="40">
        <v>0.82599999999999996</v>
      </c>
      <c r="H126" s="40">
        <v>0.58099999999999996</v>
      </c>
      <c r="I126" s="40">
        <v>0.27800000000000002</v>
      </c>
      <c r="J126" s="40">
        <v>2.6019999999999999</v>
      </c>
      <c r="K126" s="40">
        <v>0.34899999999999998</v>
      </c>
      <c r="L126" s="40" t="s">
        <v>230</v>
      </c>
      <c r="M126" s="40">
        <v>6.6000000000000003E-2</v>
      </c>
      <c r="O126">
        <f t="shared" si="0"/>
        <v>4.702</v>
      </c>
      <c r="P126">
        <f t="shared" si="1"/>
        <v>2.351</v>
      </c>
    </row>
    <row r="127" spans="3:28" x14ac:dyDescent="0.2">
      <c r="C127">
        <v>10</v>
      </c>
      <c r="D127" s="40" t="s">
        <v>229</v>
      </c>
      <c r="E127" s="40">
        <v>0.73</v>
      </c>
      <c r="F127" s="40" t="s">
        <v>230</v>
      </c>
      <c r="G127" s="40">
        <v>0.33100000000000002</v>
      </c>
      <c r="H127" s="40">
        <v>0.17499999999999999</v>
      </c>
      <c r="I127" s="40">
        <v>0.155</v>
      </c>
      <c r="J127" s="40">
        <v>1.252</v>
      </c>
      <c r="K127" s="40">
        <v>0.30099999999999999</v>
      </c>
      <c r="L127" s="40" t="s">
        <v>230</v>
      </c>
      <c r="M127" s="40">
        <v>4.2000000000000003E-2</v>
      </c>
      <c r="O127">
        <f t="shared" si="0"/>
        <v>2.2559999999999998</v>
      </c>
      <c r="P127">
        <f t="shared" si="1"/>
        <v>1.1279999999999999</v>
      </c>
    </row>
    <row r="128" spans="3:28" x14ac:dyDescent="0.2">
      <c r="C128">
        <v>11</v>
      </c>
      <c r="D128" s="40" t="s">
        <v>229</v>
      </c>
      <c r="E128" s="40">
        <v>0.95899999999999996</v>
      </c>
      <c r="F128" s="40" t="s">
        <v>230</v>
      </c>
      <c r="G128" s="40">
        <v>1.111</v>
      </c>
      <c r="H128" s="40">
        <v>0.84199999999999997</v>
      </c>
      <c r="I128" s="40">
        <v>0.38</v>
      </c>
      <c r="J128" s="40">
        <v>3.89</v>
      </c>
      <c r="K128" s="40">
        <v>0.44500000000000001</v>
      </c>
      <c r="L128" s="40" t="s">
        <v>230</v>
      </c>
      <c r="M128" s="40">
        <v>0.10100000000000001</v>
      </c>
      <c r="O128">
        <f t="shared" si="0"/>
        <v>6.7690000000000001</v>
      </c>
      <c r="P128">
        <f t="shared" si="1"/>
        <v>3.3845000000000001</v>
      </c>
    </row>
    <row r="129" spans="3:16" x14ac:dyDescent="0.2">
      <c r="C129">
        <v>12</v>
      </c>
      <c r="D129" s="40" t="s">
        <v>229</v>
      </c>
      <c r="E129" s="40">
        <v>0.96</v>
      </c>
      <c r="F129" s="40" t="s">
        <v>230</v>
      </c>
      <c r="G129" s="40">
        <v>0.59399999999999997</v>
      </c>
      <c r="H129" s="40">
        <v>0.34300000000000003</v>
      </c>
      <c r="I129" s="40">
        <v>0.27400000000000002</v>
      </c>
      <c r="J129" s="40">
        <v>2.403</v>
      </c>
      <c r="K129" s="40">
        <v>0.496</v>
      </c>
      <c r="L129" s="40" t="s">
        <v>230</v>
      </c>
      <c r="M129" s="40">
        <v>7.9000000000000001E-2</v>
      </c>
      <c r="O129">
        <f t="shared" si="0"/>
        <v>4.1889999999999992</v>
      </c>
      <c r="P129">
        <f t="shared" si="1"/>
        <v>2.0944999999999996</v>
      </c>
    </row>
    <row r="130" spans="3:16" x14ac:dyDescent="0.2">
      <c r="C130">
        <v>13</v>
      </c>
      <c r="D130" s="40" t="s">
        <v>229</v>
      </c>
      <c r="E130" s="40">
        <v>0.91800000000000004</v>
      </c>
      <c r="F130" s="40" t="s">
        <v>230</v>
      </c>
      <c r="G130" s="40">
        <v>1.1220000000000001</v>
      </c>
      <c r="H130" s="40">
        <v>0.86499999999999999</v>
      </c>
      <c r="I130" s="40">
        <v>0.19900000000000001</v>
      </c>
      <c r="J130" s="40">
        <v>4.1399999999999997</v>
      </c>
      <c r="K130" s="40">
        <v>0.43</v>
      </c>
      <c r="L130" s="40" t="s">
        <v>230</v>
      </c>
      <c r="M130" s="40">
        <v>0.107</v>
      </c>
      <c r="O130">
        <f t="shared" si="0"/>
        <v>6.8629999999999995</v>
      </c>
      <c r="P130">
        <f t="shared" si="1"/>
        <v>3.4314999999999998</v>
      </c>
    </row>
    <row r="131" spans="3:16" x14ac:dyDescent="0.2">
      <c r="C131">
        <v>14</v>
      </c>
      <c r="D131" s="40" t="s">
        <v>229</v>
      </c>
      <c r="E131" s="40">
        <v>1.119</v>
      </c>
      <c r="F131" s="40" t="s">
        <v>230</v>
      </c>
      <c r="G131" s="40">
        <v>0.60299999999999998</v>
      </c>
      <c r="H131" s="40">
        <v>0.32500000000000001</v>
      </c>
      <c r="I131" s="40">
        <v>0.28699999999999998</v>
      </c>
      <c r="J131" s="40">
        <v>2.1429999999999998</v>
      </c>
      <c r="K131" s="40">
        <v>0.40100000000000002</v>
      </c>
      <c r="L131" s="40" t="s">
        <v>230</v>
      </c>
      <c r="M131" s="40">
        <v>7.2999999999999995E-2</v>
      </c>
      <c r="O131">
        <f t="shared" si="0"/>
        <v>3.8319999999999994</v>
      </c>
      <c r="P131">
        <f t="shared" si="1"/>
        <v>1.9159999999999997</v>
      </c>
    </row>
    <row r="132" spans="3:16" x14ac:dyDescent="0.2">
      <c r="C132">
        <v>15</v>
      </c>
      <c r="D132" s="40" t="s">
        <v>229</v>
      </c>
      <c r="E132" s="40">
        <v>0.94899999999999995</v>
      </c>
      <c r="F132" s="40" t="s">
        <v>230</v>
      </c>
      <c r="G132" s="40">
        <v>0.89500000000000002</v>
      </c>
      <c r="H132" s="40">
        <v>0.80100000000000005</v>
      </c>
      <c r="I132" s="40">
        <v>0.23499999999999999</v>
      </c>
      <c r="J132" s="40">
        <v>3.641</v>
      </c>
      <c r="K132" s="40">
        <v>0.28999999999999998</v>
      </c>
      <c r="L132" s="40" t="s">
        <v>230</v>
      </c>
      <c r="M132" s="40">
        <v>7.5999999999999998E-2</v>
      </c>
      <c r="O132">
        <f t="shared" si="0"/>
        <v>5.9379999999999997</v>
      </c>
      <c r="P132">
        <f t="shared" si="1"/>
        <v>2.9689999999999999</v>
      </c>
    </row>
    <row r="133" spans="3:16" x14ac:dyDescent="0.2">
      <c r="C133">
        <v>16</v>
      </c>
      <c r="D133" s="40" t="s">
        <v>229</v>
      </c>
      <c r="E133" s="40">
        <v>0.79500000000000004</v>
      </c>
      <c r="F133" s="40" t="s">
        <v>230</v>
      </c>
      <c r="G133" s="40">
        <v>0.70699999999999996</v>
      </c>
      <c r="H133" s="40">
        <v>0.41399999999999998</v>
      </c>
      <c r="I133" s="40">
        <v>0.32300000000000001</v>
      </c>
      <c r="J133" s="40">
        <v>2.5680000000000001</v>
      </c>
      <c r="K133" s="40">
        <v>0.42499999999999999</v>
      </c>
      <c r="L133" s="40" t="s">
        <v>230</v>
      </c>
      <c r="M133" s="40">
        <v>8.3000000000000004E-2</v>
      </c>
      <c r="O133">
        <f t="shared" si="0"/>
        <v>4.5200000000000005</v>
      </c>
      <c r="P133">
        <f t="shared" si="1"/>
        <v>2.2600000000000002</v>
      </c>
    </row>
    <row r="134" spans="3:16" x14ac:dyDescent="0.2">
      <c r="C134">
        <v>17</v>
      </c>
      <c r="D134" s="40" t="s">
        <v>229</v>
      </c>
      <c r="E134" s="40">
        <v>0.9</v>
      </c>
      <c r="F134" s="40" t="s">
        <v>230</v>
      </c>
      <c r="G134" s="40">
        <v>0.95799999999999996</v>
      </c>
      <c r="H134" s="40">
        <v>0.90300000000000002</v>
      </c>
      <c r="I134" s="40">
        <v>0.193</v>
      </c>
      <c r="J134" s="40">
        <v>4.069</v>
      </c>
      <c r="K134" s="40">
        <v>0.32400000000000001</v>
      </c>
      <c r="L134" s="40" t="s">
        <v>230</v>
      </c>
      <c r="M134" s="40">
        <v>7.6999999999999999E-2</v>
      </c>
      <c r="O134">
        <f t="shared" si="0"/>
        <v>6.5239999999999991</v>
      </c>
      <c r="P134">
        <f t="shared" si="1"/>
        <v>3.2619999999999996</v>
      </c>
    </row>
    <row r="135" spans="3:16" x14ac:dyDescent="0.2">
      <c r="C135">
        <v>18</v>
      </c>
      <c r="D135" s="40" t="s">
        <v>229</v>
      </c>
      <c r="E135" s="40">
        <v>1.0009999999999999</v>
      </c>
      <c r="F135" s="40" t="s">
        <v>230</v>
      </c>
      <c r="G135" s="40">
        <v>0.81299999999999994</v>
      </c>
      <c r="H135" s="40">
        <v>0.47099999999999997</v>
      </c>
      <c r="I135" s="40">
        <v>0.377</v>
      </c>
      <c r="J135" s="40">
        <v>2.9550000000000001</v>
      </c>
      <c r="K135" s="40">
        <v>0.47499999999999998</v>
      </c>
      <c r="L135" s="40" t="s">
        <v>230</v>
      </c>
      <c r="M135" s="40">
        <v>9.8000000000000004E-2</v>
      </c>
      <c r="O135">
        <f t="shared" si="0"/>
        <v>5.1889999999999992</v>
      </c>
      <c r="P135">
        <f t="shared" si="1"/>
        <v>2.5944999999999996</v>
      </c>
    </row>
    <row r="136" spans="3:16" x14ac:dyDescent="0.2">
      <c r="C136">
        <v>19</v>
      </c>
      <c r="D136" s="40" t="s">
        <v>229</v>
      </c>
      <c r="E136" s="40">
        <v>0.98899999999999999</v>
      </c>
      <c r="F136" s="40" t="s">
        <v>230</v>
      </c>
      <c r="G136" s="40">
        <v>0.747</v>
      </c>
      <c r="H136" s="40">
        <v>0.73199999999999998</v>
      </c>
      <c r="I136" s="40">
        <v>0.33100000000000002</v>
      </c>
      <c r="J136" s="40">
        <v>3.3620000000000001</v>
      </c>
      <c r="K136" s="40">
        <v>0.255</v>
      </c>
      <c r="L136" s="40" t="s">
        <v>230</v>
      </c>
      <c r="M136" s="40">
        <v>5.6000000000000001E-2</v>
      </c>
      <c r="O136">
        <f t="shared" si="0"/>
        <v>5.4830000000000005</v>
      </c>
      <c r="P136">
        <f t="shared" si="1"/>
        <v>2.7415000000000003</v>
      </c>
    </row>
    <row r="137" spans="3:16" x14ac:dyDescent="0.2">
      <c r="C137">
        <v>20</v>
      </c>
      <c r="D137" s="40" t="s">
        <v>229</v>
      </c>
      <c r="E137" s="40">
        <v>0.93300000000000005</v>
      </c>
      <c r="F137" s="40" t="s">
        <v>230</v>
      </c>
      <c r="G137" s="40">
        <v>0.80400000000000005</v>
      </c>
      <c r="H137" s="40">
        <v>0.49199999999999999</v>
      </c>
      <c r="I137" s="40">
        <v>0.38</v>
      </c>
      <c r="J137" s="40">
        <v>3.089</v>
      </c>
      <c r="K137" s="40">
        <v>0.48</v>
      </c>
      <c r="L137" s="40" t="s">
        <v>230</v>
      </c>
      <c r="M137" s="40">
        <v>9.1999999999999998E-2</v>
      </c>
      <c r="O137">
        <f t="shared" si="0"/>
        <v>5.3370000000000006</v>
      </c>
      <c r="P137">
        <f t="shared" si="1"/>
        <v>2.6685000000000003</v>
      </c>
    </row>
    <row r="138" spans="3:16" x14ac:dyDescent="0.2">
      <c r="C138">
        <v>21</v>
      </c>
      <c r="D138" s="40" t="s">
        <v>229</v>
      </c>
      <c r="E138" s="40">
        <v>0.92100000000000004</v>
      </c>
      <c r="F138" s="40" t="s">
        <v>230</v>
      </c>
      <c r="G138" s="40">
        <v>0.83899999999999997</v>
      </c>
      <c r="H138" s="40">
        <v>0.89300000000000002</v>
      </c>
      <c r="I138" s="40">
        <v>0.35699999999999998</v>
      </c>
      <c r="J138" s="40">
        <v>4.0330000000000004</v>
      </c>
      <c r="K138" s="40">
        <v>0.307</v>
      </c>
      <c r="L138" s="40" t="s">
        <v>230</v>
      </c>
      <c r="M138" s="40">
        <v>5.0999999999999997E-2</v>
      </c>
      <c r="O138">
        <f t="shared" si="0"/>
        <v>6.48</v>
      </c>
      <c r="P138">
        <f t="shared" si="1"/>
        <v>3.24</v>
      </c>
    </row>
    <row r="139" spans="3:16" x14ac:dyDescent="0.2">
      <c r="C139">
        <v>22</v>
      </c>
      <c r="D139" s="40" t="s">
        <v>229</v>
      </c>
      <c r="E139" s="40">
        <v>0.92900000000000005</v>
      </c>
      <c r="F139" s="40" t="s">
        <v>230</v>
      </c>
      <c r="G139" s="40">
        <v>0.61199999999999999</v>
      </c>
      <c r="H139" s="40">
        <v>0.35499999999999998</v>
      </c>
      <c r="I139" s="40">
        <v>0.30599999999999999</v>
      </c>
      <c r="J139" s="40">
        <v>2.2360000000000002</v>
      </c>
      <c r="K139" s="40">
        <v>0.34100000000000003</v>
      </c>
      <c r="L139" s="40" t="s">
        <v>230</v>
      </c>
      <c r="M139" s="40">
        <v>5.2999999999999999E-2</v>
      </c>
      <c r="O139">
        <f t="shared" si="0"/>
        <v>3.9030000000000005</v>
      </c>
      <c r="P139">
        <f t="shared" si="1"/>
        <v>1.9515000000000002</v>
      </c>
    </row>
    <row r="140" spans="3:16" x14ac:dyDescent="0.2">
      <c r="C140">
        <v>23</v>
      </c>
      <c r="D140" s="40" t="s">
        <v>229</v>
      </c>
      <c r="E140" s="41">
        <v>0.90100000000000002</v>
      </c>
      <c r="F140" s="41" t="s">
        <v>230</v>
      </c>
      <c r="G140" s="41">
        <v>0.61299999999999999</v>
      </c>
      <c r="H140" s="41">
        <v>0.65700000000000003</v>
      </c>
      <c r="I140" s="41">
        <v>0.28599999999999998</v>
      </c>
      <c r="J140" s="41">
        <v>3.069</v>
      </c>
      <c r="K140" s="41">
        <v>0.22600000000000001</v>
      </c>
      <c r="L140" s="41" t="s">
        <v>230</v>
      </c>
      <c r="M140" s="41">
        <v>3.3000000000000002E-2</v>
      </c>
      <c r="O140">
        <f t="shared" si="0"/>
        <v>4.8840000000000003</v>
      </c>
      <c r="P140">
        <f t="shared" si="1"/>
        <v>2.4420000000000002</v>
      </c>
    </row>
    <row r="141" spans="3:16" x14ac:dyDescent="0.2">
      <c r="C141">
        <v>24</v>
      </c>
      <c r="D141" s="40" t="s">
        <v>229</v>
      </c>
      <c r="E141" s="40">
        <v>0.91200000000000003</v>
      </c>
      <c r="F141" s="40" t="s">
        <v>230</v>
      </c>
      <c r="G141" s="40">
        <v>0.58699999999999997</v>
      </c>
      <c r="H141" s="40">
        <v>0.35899999999999999</v>
      </c>
      <c r="I141" s="40">
        <v>0.316</v>
      </c>
      <c r="J141" s="40">
        <v>2.3919999999999999</v>
      </c>
      <c r="K141" s="40">
        <v>0.36899999999999999</v>
      </c>
      <c r="L141" s="40" t="s">
        <v>230</v>
      </c>
      <c r="M141" s="40">
        <v>3.5000000000000003E-2</v>
      </c>
      <c r="O141">
        <f t="shared" si="0"/>
        <v>4.0579999999999998</v>
      </c>
      <c r="P141">
        <f t="shared" si="1"/>
        <v>2.0289999999999999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2024-11-11T16:44:56Z</dcterms:modified>
</cp:coreProperties>
</file>