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1/"/>
    </mc:Choice>
  </mc:AlternateContent>
  <xr:revisionPtr revIDLastSave="129" documentId="11_61A531ABD300576F01D4BC325D5ED87656CD1315" xr6:coauthVersionLast="47" xr6:coauthVersionMax="47" xr10:uidLastSave="{43963386-7569-194D-AF0F-64C8267C943E}"/>
  <bookViews>
    <workbookView xWindow="0" yWindow="0" windowWidth="38400" windowHeight="216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2" i="1"/>
  <c r="I51" i="1"/>
  <c r="I50" i="1"/>
  <c r="I49" i="1"/>
  <c r="I48" i="1"/>
  <c r="I47" i="1"/>
  <c r="I46" i="1"/>
  <c r="H53" i="1"/>
  <c r="H52" i="1"/>
  <c r="H51" i="1"/>
  <c r="H50" i="1"/>
  <c r="H49" i="1"/>
  <c r="H48" i="1"/>
  <c r="Z26" i="1"/>
  <c r="Z27" i="1"/>
  <c r="Z28" i="1"/>
  <c r="Z29" i="1"/>
  <c r="Z30" i="1"/>
  <c r="Z31" i="1"/>
  <c r="Z32" i="1"/>
  <c r="Z25" i="1"/>
  <c r="Z37" i="1"/>
  <c r="Z38" i="1"/>
  <c r="Z39" i="1"/>
  <c r="Z40" i="1"/>
  <c r="Z41" i="1"/>
  <c r="Z42" i="1"/>
  <c r="Z43" i="1"/>
  <c r="Z36" i="1"/>
  <c r="Y37" i="1"/>
  <c r="Y38" i="1"/>
  <c r="Y39" i="1"/>
  <c r="Y40" i="1"/>
  <c r="Y41" i="1"/>
  <c r="Y42" i="1"/>
  <c r="Y43" i="1"/>
  <c r="Y36" i="1"/>
  <c r="Y26" i="1"/>
  <c r="Y27" i="1"/>
  <c r="Y25" i="1"/>
  <c r="H46" i="1" s="1"/>
  <c r="Z43" i="2"/>
  <c r="I53" i="2" s="1"/>
  <c r="Y43" i="2"/>
  <c r="H53" i="2" s="1"/>
  <c r="Z42" i="2"/>
  <c r="I52" i="2" s="1"/>
  <c r="Y42" i="2"/>
  <c r="H52" i="2" s="1"/>
  <c r="Z41" i="2"/>
  <c r="I51" i="2" s="1"/>
  <c r="Y41" i="2"/>
  <c r="H51" i="2" s="1"/>
  <c r="Z40" i="2"/>
  <c r="I50" i="2" s="1"/>
  <c r="Y40" i="2"/>
  <c r="H50" i="2" s="1"/>
  <c r="Z39" i="2"/>
  <c r="I49" i="2" s="1"/>
  <c r="Y39" i="2"/>
  <c r="H49" i="2" s="1"/>
  <c r="Z38" i="2"/>
  <c r="Y38" i="2"/>
  <c r="Z37" i="2"/>
  <c r="Y37" i="2"/>
  <c r="Z36" i="2"/>
  <c r="Y36" i="2"/>
  <c r="Z32" i="2"/>
  <c r="Y32" i="2"/>
  <c r="Z31" i="2"/>
  <c r="Y31" i="2"/>
  <c r="Z30" i="2"/>
  <c r="Y30" i="2"/>
  <c r="Z29" i="2"/>
  <c r="Y29" i="2"/>
  <c r="Z28" i="2"/>
  <c r="Y28" i="2"/>
  <c r="Z27" i="2"/>
  <c r="I48" i="2" s="1"/>
  <c r="Y27" i="2"/>
  <c r="H48" i="2" s="1"/>
  <c r="Z26" i="2"/>
  <c r="I47" i="2" s="1"/>
  <c r="Y26" i="2"/>
  <c r="H47" i="2" s="1"/>
  <c r="Z25" i="2"/>
  <c r="I46" i="2" s="1"/>
  <c r="Y25" i="2"/>
  <c r="H46" i="2" s="1"/>
  <c r="Y32" i="1"/>
  <c r="Y31" i="1"/>
  <c r="Y30" i="1"/>
  <c r="Y29" i="1"/>
  <c r="Y28" i="1"/>
  <c r="H47" i="1"/>
</calcChain>
</file>

<file path=xl/sharedStrings.xml><?xml version="1.0" encoding="utf-8"?>
<sst xmlns="http://schemas.openxmlformats.org/spreadsheetml/2006/main" count="330" uniqueCount="34">
  <si>
    <t>Dir_3</t>
  </si>
  <si>
    <t>Dir_2</t>
  </si>
  <si>
    <t>Dir_1</t>
  </si>
  <si>
    <t>Total Cells</t>
  </si>
  <si>
    <t>Total Specific Cells</t>
  </si>
  <si>
    <t>Total Area</t>
  </si>
  <si>
    <t>Average Area</t>
  </si>
  <si>
    <t>Average Aspect Ratio</t>
  </si>
  <si>
    <t>Total Cells.1</t>
  </si>
  <si>
    <t>Total Specific Cells.1</t>
  </si>
  <si>
    <t>Total Area.1</t>
  </si>
  <si>
    <t>Average Area.1</t>
  </si>
  <si>
    <t>Average Aspect Ratio.1</t>
  </si>
  <si>
    <t>mean</t>
  </si>
  <si>
    <t>std</t>
  </si>
  <si>
    <t>Biostat2L_22</t>
  </si>
  <si>
    <t>Biostat22_microscope</t>
  </si>
  <si>
    <t>seed</t>
  </si>
  <si>
    <t>R01</t>
  </si>
  <si>
    <t>2024_1031</t>
  </si>
  <si>
    <t>1245pm</t>
  </si>
  <si>
    <t>6pm</t>
  </si>
  <si>
    <t>845am</t>
  </si>
  <si>
    <t>2024_1101</t>
  </si>
  <si>
    <t>345pm</t>
  </si>
  <si>
    <t>730am</t>
  </si>
  <si>
    <t>2024_1102</t>
  </si>
  <si>
    <t>515pm</t>
  </si>
  <si>
    <t>745am</t>
  </si>
  <si>
    <t>2024_1103</t>
  </si>
  <si>
    <t>1230pm_daylightSavings</t>
  </si>
  <si>
    <t>R02</t>
  </si>
  <si>
    <t>h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</si>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</sst>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1" fillId="0" borderId="6" xfId="0" applyFont="1" applyBorder="1" applyAlignment="1">
      <alignment horizontal="center" vertical="top"/>
    </xf>
    <xf numFmtId="9" fontId="0" fillId="0" borderId="0" xfId="1" applyFont="1"/>
    <xf numFmtId="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Sheet1!$E$46:$E$53</c:f>
              <c:numCache>
                <c:formatCode>0</c:formatCode>
                <c:ptCount val="8"/>
                <c:pt idx="0">
                  <c:v>92.714285714285708</c:v>
                </c:pt>
                <c:pt idx="1">
                  <c:v>62</c:v>
                </c:pt>
                <c:pt idx="2">
                  <c:v>77.666666666666671</c:v>
                </c:pt>
                <c:pt idx="3">
                  <c:v>60.375</c:v>
                </c:pt>
                <c:pt idx="4">
                  <c:v>20.714285714285719</c:v>
                </c:pt>
                <c:pt idx="5">
                  <c:v>25.428571428571431</c:v>
                </c:pt>
                <c:pt idx="6">
                  <c:v>36.833333333333343</c:v>
                </c:pt>
                <c:pt idx="7">
                  <c:v>23.142857142857139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9-C84B-BC3E-CDEEA5067F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Sheet1!$F$46:$F$53</c:f>
              <c:numCache>
                <c:formatCode>0</c:formatCode>
                <c:ptCount val="8"/>
                <c:pt idx="0">
                  <c:v>9.5555555555555554</c:v>
                </c:pt>
                <c:pt idx="1">
                  <c:v>11.857142857142859</c:v>
                </c:pt>
                <c:pt idx="2">
                  <c:v>66.166666666666671</c:v>
                </c:pt>
                <c:pt idx="3">
                  <c:v>20</c:v>
                </c:pt>
                <c:pt idx="4">
                  <c:v>22.166666666666671</c:v>
                </c:pt>
                <c:pt idx="5">
                  <c:v>13.71428571428571</c:v>
                </c:pt>
                <c:pt idx="6">
                  <c:v>12</c:v>
                </c:pt>
                <c:pt idx="7">
                  <c:v>15.428571428571431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9-C84B-BC3E-CDEEA506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440959"/>
        <c:axId val="2039442671"/>
      </c:barChart>
      <c:catAx>
        <c:axId val="203944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42671"/>
        <c:crosses val="autoZero"/>
        <c:auto val="1"/>
        <c:lblAlgn val="ctr"/>
        <c:lblOffset val="100"/>
        <c:noMultiLvlLbl val="0"/>
      </c:catAx>
      <c:valAx>
        <c:axId val="203944267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4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3321229415376"/>
          <c:y val="5.1661163415316923E-2"/>
          <c:w val="0.83617863274054882"/>
          <c:h val="0.75697176090607099"/>
        </c:manualLayout>
      </c:layout>
      <c:barChart>
        <c:barDir val="col"/>
        <c:grouping val="clustered"/>
        <c:varyColors val="0"/>
        <c:ser>
          <c:idx val="0"/>
          <c:order val="0"/>
          <c:tx>
            <c:v>"Control"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Sheet1!$H$46:$H$53</c:f>
              <c:numCache>
                <c:formatCode>0%</c:formatCode>
                <c:ptCount val="8"/>
                <c:pt idx="0">
                  <c:v>0.35310119695321118</c:v>
                </c:pt>
                <c:pt idx="1">
                  <c:v>0.22120285423037739</c:v>
                </c:pt>
                <c:pt idx="2">
                  <c:v>0.11696787148594384</c:v>
                </c:pt>
                <c:pt idx="3">
                  <c:v>0.11925925925925926</c:v>
                </c:pt>
                <c:pt idx="4">
                  <c:v>0.3236607142857148</c:v>
                </c:pt>
                <c:pt idx="5">
                  <c:v>0.14424635332252908</c:v>
                </c:pt>
                <c:pt idx="6">
                  <c:v>0.24285714285714344</c:v>
                </c:pt>
                <c:pt idx="7">
                  <c:v>0.22720897615708277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6-E64C-BF26-769FB4ED57E0}"/>
            </c:ext>
          </c:extLst>
        </c:ser>
        <c:ser>
          <c:idx val="1"/>
          <c:order val="1"/>
          <c:tx>
            <c:v>"Oscillations"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Sheet1!$I$46:$I$53</c:f>
              <c:numCache>
                <c:formatCode>0%</c:formatCode>
                <c:ptCount val="8"/>
                <c:pt idx="0">
                  <c:v>0.14878892733564028</c:v>
                </c:pt>
                <c:pt idx="1">
                  <c:v>2.022417153996103E-2</c:v>
                </c:pt>
                <c:pt idx="2">
                  <c:v>7.2551169590643311E-2</c:v>
                </c:pt>
                <c:pt idx="3">
                  <c:v>2.0266357845975698E-2</c:v>
                </c:pt>
                <c:pt idx="4">
                  <c:v>4.3097861309138105E-2</c:v>
                </c:pt>
                <c:pt idx="5">
                  <c:v>3.9800995024875711E-2</c:v>
                </c:pt>
                <c:pt idx="6">
                  <c:v>2.2291021671826637E-2</c:v>
                </c:pt>
                <c:pt idx="7">
                  <c:v>4.4280442804428048E-2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6-E64C-BF26-769FB4ED5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620640"/>
        <c:axId val="1952908735"/>
      </c:barChart>
      <c:catAx>
        <c:axId val="86062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Sample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2908735"/>
        <c:crosses val="autoZero"/>
        <c:auto val="1"/>
        <c:lblAlgn val="ctr"/>
        <c:lblOffset val="100"/>
        <c:noMultiLvlLbl val="0"/>
      </c:catAx>
      <c:valAx>
        <c:axId val="1952908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Hyphae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cell percentage</a:t>
                </a:r>
                <a:endParaRPr lang="en-US" sz="14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06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415138025304002"/>
          <c:y val="2.3766723776227655E-2"/>
          <c:w val="0.34524943187372387"/>
          <c:h val="0.19661935559262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Sheet1!$E$46:$E$53</c:f>
              <c:numCache>
                <c:formatCode>0</c:formatCode>
                <c:ptCount val="8"/>
                <c:pt idx="0">
                  <c:v>92.714285714285708</c:v>
                </c:pt>
                <c:pt idx="1">
                  <c:v>62</c:v>
                </c:pt>
                <c:pt idx="2">
                  <c:v>77.666666666666671</c:v>
                </c:pt>
                <c:pt idx="3">
                  <c:v>60.375</c:v>
                </c:pt>
                <c:pt idx="4">
                  <c:v>20.714285714285719</c:v>
                </c:pt>
                <c:pt idx="5">
                  <c:v>25.428571428571431</c:v>
                </c:pt>
                <c:pt idx="6">
                  <c:v>36.833333333333343</c:v>
                </c:pt>
                <c:pt idx="7">
                  <c:v>23.142857142857139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6-904D-86D2-73484925CC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Sheet1!$F$46:$F$53</c:f>
              <c:numCache>
                <c:formatCode>0</c:formatCode>
                <c:ptCount val="8"/>
                <c:pt idx="0">
                  <c:v>9.5555555555555554</c:v>
                </c:pt>
                <c:pt idx="1">
                  <c:v>11.857142857142859</c:v>
                </c:pt>
                <c:pt idx="2">
                  <c:v>66.166666666666671</c:v>
                </c:pt>
                <c:pt idx="3">
                  <c:v>20</c:v>
                </c:pt>
                <c:pt idx="4">
                  <c:v>22.166666666666671</c:v>
                </c:pt>
                <c:pt idx="5">
                  <c:v>13.71428571428571</c:v>
                </c:pt>
                <c:pt idx="6">
                  <c:v>12</c:v>
                </c:pt>
                <c:pt idx="7">
                  <c:v>15.428571428571431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6-904D-86D2-73484925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440959"/>
        <c:axId val="2039442671"/>
      </c:barChart>
      <c:catAx>
        <c:axId val="203944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42671"/>
        <c:crosses val="autoZero"/>
        <c:auto val="1"/>
        <c:lblAlgn val="ctr"/>
        <c:lblOffset val="100"/>
        <c:noMultiLvlLbl val="0"/>
      </c:catAx>
      <c:valAx>
        <c:axId val="203944267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44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Sheet1!$H$46:$H$53</c:f>
              <c:numCache>
                <c:formatCode>0%</c:formatCode>
                <c:ptCount val="8"/>
                <c:pt idx="0">
                  <c:v>0.35310119695321118</c:v>
                </c:pt>
                <c:pt idx="1">
                  <c:v>0.22120285423037739</c:v>
                </c:pt>
                <c:pt idx="2">
                  <c:v>0.11696787148594384</c:v>
                </c:pt>
                <c:pt idx="3">
                  <c:v>0.11925925925925926</c:v>
                </c:pt>
                <c:pt idx="4">
                  <c:v>0.3236607142857148</c:v>
                </c:pt>
                <c:pt idx="5">
                  <c:v>0.14424635332252908</c:v>
                </c:pt>
                <c:pt idx="6">
                  <c:v>0.24285714285714344</c:v>
                </c:pt>
                <c:pt idx="7">
                  <c:v>0.22720897615708277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2-E546-B9EA-AB3BDCA60F2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Sheet1!$I$46:$I$53</c:f>
              <c:numCache>
                <c:formatCode>0%</c:formatCode>
                <c:ptCount val="8"/>
                <c:pt idx="0">
                  <c:v>0.14878892733564028</c:v>
                </c:pt>
                <c:pt idx="1">
                  <c:v>2.022417153996103E-2</c:v>
                </c:pt>
                <c:pt idx="2">
                  <c:v>7.2551169590643311E-2</c:v>
                </c:pt>
                <c:pt idx="3">
                  <c:v>2.0266357845975698E-2</c:v>
                </c:pt>
                <c:pt idx="4">
                  <c:v>4.3097861309138105E-2</c:v>
                </c:pt>
                <c:pt idx="5">
                  <c:v>3.9800995024875711E-2</c:v>
                </c:pt>
                <c:pt idx="6">
                  <c:v>2.2291021671826637E-2</c:v>
                </c:pt>
                <c:pt idx="7">
                  <c:v>4.4280442804428048E-2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2-E546-B9EA-AB3BDCA6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620640"/>
        <c:axId val="1952908735"/>
      </c:barChart>
      <c:catAx>
        <c:axId val="86062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08735"/>
        <c:crosses val="autoZero"/>
        <c:auto val="1"/>
        <c:lblAlgn val="ctr"/>
        <c:lblOffset val="100"/>
        <c:noMultiLvlLbl val="0"/>
      </c:catAx>
      <c:valAx>
        <c:axId val="19529087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6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595725</xdr:colOff>
      <xdr:row>50</xdr:row>
      <xdr:rowOff>134291</xdr:rowOff>
    </xdr:from>
    <xdr:to>
      <xdr:col>16</xdr:col>
      <xdr:colOff>456024</xdr:colOff>
      <xdr:row>65</xdr:row>
      <xdr:rowOff>7761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F796F-03F4-9CB4-73A8-C4C8C31FF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210020</xdr:colOff>
      <xdr:row>41</xdr:row>
      <xdr:rowOff>30340</xdr:rowOff>
    </xdr:from>
    <xdr:to>
      <xdr:col>23</xdr:col>
      <xdr:colOff>70321</xdr:colOff>
      <xdr:row>55</xdr:row>
      <xdr:rowOff>53388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101199-542F-6629-5202-FC7B2764E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184150</xdr:colOff>
      <xdr:row>44</xdr:row>
      <xdr:rowOff>146050</xdr:rowOff>
    </xdr:from>
    <xdr:to>
      <xdr:col>19</xdr:col>
      <xdr:colOff>44450</xdr:colOff>
      <xdr:row>58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8A30A-EE2E-6745-8FA9-77FC66CB8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210020</xdr:colOff>
      <xdr:row>41</xdr:row>
      <xdr:rowOff>30340</xdr:rowOff>
    </xdr:from>
    <xdr:to>
      <xdr:col>23</xdr:col>
      <xdr:colOff>70321</xdr:colOff>
      <xdr:row>55</xdr:row>
      <xdr:rowOff>53388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E7261-B24B-1A44-B527-B90ED5966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topLeftCell="A16" zoomScale="108" workbookViewId="0">
      <selection activeCell="I49" sqref="I49:I53"/>
    </sheetView>
  </sheetViews>
  <sheetFormatPr baseColWidth="10" defaultColWidth="8.83203125" defaultRowHeight="15" x14ac:dyDescent="0.2"/>
  <cols>
    <col min="3" max="3" width="16" customWidth="1"/>
    <col min="5" max="5" width="11.33203125" customWidth="1"/>
  </cols>
  <sheetData>
    <row r="1" spans="1:24" x14ac:dyDescent="0.2">
      <c r="A1" s="1"/>
      <c r="B1" s="1" t="s">
        <v>0</v>
      </c>
      <c r="C1" s="1" t="s">
        <v>1</v>
      </c>
      <c r="D1" s="1" t="s">
        <v>2</v>
      </c>
      <c r="E1" s="10" t="s">
        <v>3</v>
      </c>
      <c r="F1" s="10"/>
      <c r="G1" s="10" t="s">
        <v>4</v>
      </c>
      <c r="H1" s="10"/>
      <c r="I1" s="10" t="s">
        <v>5</v>
      </c>
      <c r="J1" s="10"/>
      <c r="K1" s="10" t="s">
        <v>6</v>
      </c>
      <c r="L1" s="10"/>
      <c r="M1" s="10" t="s">
        <v>7</v>
      </c>
      <c r="N1" s="10"/>
      <c r="O1" s="10" t="s">
        <v>8</v>
      </c>
      <c r="P1" s="10"/>
      <c r="Q1" s="10" t="s">
        <v>9</v>
      </c>
      <c r="R1" s="10"/>
      <c r="S1" s="10" t="s">
        <v>10</v>
      </c>
      <c r="T1" s="10"/>
      <c r="U1" s="10" t="s">
        <v>11</v>
      </c>
      <c r="V1" s="10"/>
      <c r="W1" s="10" t="s">
        <v>12</v>
      </c>
      <c r="X1" s="10"/>
    </row>
    <row r="2" spans="1:24" x14ac:dyDescent="0.2">
      <c r="A2" s="1"/>
      <c r="B2" s="1"/>
      <c r="C2" s="1"/>
      <c r="D2" s="1"/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</row>
    <row r="4" spans="1:24" x14ac:dyDescent="0.2">
      <c r="A4" s="1">
        <v>0</v>
      </c>
      <c r="B4" t="s">
        <v>15</v>
      </c>
      <c r="C4" t="s">
        <v>16</v>
      </c>
      <c r="D4" t="s">
        <v>17</v>
      </c>
      <c r="E4" s="2">
        <v>120</v>
      </c>
      <c r="F4" s="2">
        <v>42.027202075390591</v>
      </c>
      <c r="G4" s="2">
        <v>32.625</v>
      </c>
      <c r="H4" s="2">
        <v>18.615949382950401</v>
      </c>
      <c r="I4" s="2">
        <v>19260.5</v>
      </c>
      <c r="J4" s="2">
        <v>11882.267231948141</v>
      </c>
      <c r="K4" s="2">
        <v>601.33854359364807</v>
      </c>
      <c r="L4" s="2">
        <v>129.43349932322911</v>
      </c>
      <c r="M4" s="2">
        <v>10.04945726617512</v>
      </c>
      <c r="N4" s="2">
        <v>3.0719223133736531</v>
      </c>
      <c r="O4" s="2">
        <v>214.25</v>
      </c>
      <c r="P4" s="2">
        <v>157.65038172216029</v>
      </c>
      <c r="Q4" s="2">
        <v>9.125</v>
      </c>
      <c r="R4" s="2">
        <v>5.4625347334626362</v>
      </c>
      <c r="S4" s="2">
        <v>7954.375</v>
      </c>
      <c r="T4" s="2">
        <v>9709.7462367531971</v>
      </c>
      <c r="U4" s="2">
        <v>793.13601190476197</v>
      </c>
      <c r="V4" s="2">
        <v>718.0885805512014</v>
      </c>
      <c r="W4" s="2">
        <v>18.113412109431739</v>
      </c>
      <c r="X4" s="2">
        <v>15.180317224394321</v>
      </c>
    </row>
    <row r="5" spans="1:24" x14ac:dyDescent="0.2">
      <c r="A5" s="1">
        <v>1</v>
      </c>
      <c r="B5" t="s">
        <v>18</v>
      </c>
      <c r="C5" t="s">
        <v>19</v>
      </c>
      <c r="D5" t="s">
        <v>20</v>
      </c>
      <c r="E5" s="2">
        <v>119.8571428571429</v>
      </c>
      <c r="F5" s="2">
        <v>56.200321978403203</v>
      </c>
      <c r="G5" s="2">
        <v>62</v>
      </c>
      <c r="H5" s="2">
        <v>27.061657993059729</v>
      </c>
      <c r="I5" s="2">
        <v>15331.571428571429</v>
      </c>
      <c r="J5" s="2">
        <v>7162.2707492606196</v>
      </c>
      <c r="K5" s="2">
        <v>238.15936405740391</v>
      </c>
      <c r="L5" s="2">
        <v>36.167231214673123</v>
      </c>
      <c r="M5" s="2">
        <v>9.3488283196963966</v>
      </c>
      <c r="N5" s="2">
        <v>2.950343648422491</v>
      </c>
      <c r="O5" s="2">
        <v>434.57142857142861</v>
      </c>
      <c r="P5" s="2">
        <v>128.11564716153549</v>
      </c>
      <c r="Q5" s="2">
        <v>78.571428571428569</v>
      </c>
      <c r="R5" s="2">
        <v>22.142396308568639</v>
      </c>
      <c r="S5" s="2">
        <v>41501.857142857138</v>
      </c>
      <c r="T5" s="2">
        <v>13932.455687214309</v>
      </c>
      <c r="U5" s="2">
        <v>528.9989914301625</v>
      </c>
      <c r="V5" s="2">
        <v>129.11225314110561</v>
      </c>
      <c r="W5" s="2">
        <v>7.5828208323471697</v>
      </c>
      <c r="X5" s="2">
        <v>0.49582423350868632</v>
      </c>
    </row>
    <row r="6" spans="1:24" x14ac:dyDescent="0.2">
      <c r="A6" s="1">
        <v>2</v>
      </c>
      <c r="B6" t="s">
        <v>18</v>
      </c>
      <c r="C6" t="s">
        <v>19</v>
      </c>
      <c r="D6" t="s">
        <v>21</v>
      </c>
      <c r="E6" s="2">
        <v>349</v>
      </c>
      <c r="F6" s="2">
        <v>84.779714554839117</v>
      </c>
      <c r="G6" s="2">
        <v>77.666666666666671</v>
      </c>
      <c r="H6" s="2">
        <v>31.60801586095949</v>
      </c>
      <c r="I6" s="2">
        <v>20296.166666666672</v>
      </c>
      <c r="J6" s="2">
        <v>10543.768537229311</v>
      </c>
      <c r="K6" s="2">
        <v>252.90866942500091</v>
      </c>
      <c r="L6" s="2">
        <v>27.863909716549571</v>
      </c>
      <c r="M6" s="2">
        <v>6.9644990602096044</v>
      </c>
      <c r="N6" s="2">
        <v>0.31943615788179469</v>
      </c>
      <c r="O6" s="2">
        <v>1003.333333333333</v>
      </c>
      <c r="P6" s="2">
        <v>233.8389759357209</v>
      </c>
      <c r="Q6" s="2">
        <v>39.5</v>
      </c>
      <c r="R6" s="2">
        <v>9.710818709048171</v>
      </c>
      <c r="S6" s="2">
        <v>34565.166666666657</v>
      </c>
      <c r="T6" s="2">
        <v>14684.04766291184</v>
      </c>
      <c r="U6" s="2">
        <v>876.21014727826241</v>
      </c>
      <c r="V6" s="2">
        <v>363.8466649062475</v>
      </c>
      <c r="W6" s="2">
        <v>6.4564055706104639</v>
      </c>
      <c r="X6" s="2">
        <v>0.29858194483992212</v>
      </c>
    </row>
    <row r="7" spans="1:24" x14ac:dyDescent="0.2">
      <c r="A7" s="1">
        <v>3</v>
      </c>
      <c r="B7" t="s">
        <v>18</v>
      </c>
      <c r="C7" t="s">
        <v>19</v>
      </c>
      <c r="D7" t="s">
        <v>22</v>
      </c>
      <c r="E7" s="2">
        <v>483</v>
      </c>
      <c r="F7" s="2">
        <v>120.32456108376211</v>
      </c>
      <c r="G7" s="2">
        <v>92.714285714285708</v>
      </c>
      <c r="H7" s="2">
        <v>47.612023291441439</v>
      </c>
      <c r="I7" s="2">
        <v>30101.71428571429</v>
      </c>
      <c r="J7" s="2">
        <v>14809.722524007509</v>
      </c>
      <c r="K7" s="2">
        <v>328.76105183469429</v>
      </c>
      <c r="L7" s="2">
        <v>88.302052618618575</v>
      </c>
      <c r="M7" s="2">
        <v>6.5819665109903456</v>
      </c>
      <c r="N7" s="2">
        <v>0.26579747937427278</v>
      </c>
      <c r="O7" s="2">
        <v>221</v>
      </c>
      <c r="P7" s="2">
        <v>122.8725627089574</v>
      </c>
      <c r="Q7" s="2">
        <v>8</v>
      </c>
      <c r="R7" s="2">
        <v>6.3770421565696642</v>
      </c>
      <c r="S7" s="2">
        <v>5812</v>
      </c>
      <c r="T7" s="2">
        <v>5186.1277783461264</v>
      </c>
      <c r="U7" s="2">
        <v>695.17077515216613</v>
      </c>
      <c r="V7" s="2">
        <v>225.21155120857651</v>
      </c>
      <c r="W7" s="2">
        <v>18.95551193113695</v>
      </c>
      <c r="X7" s="2">
        <v>16.306883074565881</v>
      </c>
    </row>
    <row r="8" spans="1:24" x14ac:dyDescent="0.2">
      <c r="A8" s="1">
        <v>4</v>
      </c>
      <c r="B8" t="s">
        <v>18</v>
      </c>
      <c r="C8" t="s">
        <v>23</v>
      </c>
      <c r="D8" t="s">
        <v>24</v>
      </c>
      <c r="E8" s="2">
        <v>4</v>
      </c>
      <c r="F8" s="2">
        <v>2.0816659994661331</v>
      </c>
      <c r="G8" s="2">
        <v>1.428571428571429</v>
      </c>
      <c r="H8" s="2">
        <v>1.1338934190276819</v>
      </c>
      <c r="I8" s="2">
        <v>600.42857142857144</v>
      </c>
      <c r="J8" s="2">
        <v>202.21099305993661</v>
      </c>
      <c r="K8" s="2">
        <v>486.96428571428572</v>
      </c>
      <c r="L8" s="2">
        <v>97.987289627642156</v>
      </c>
      <c r="M8" s="2">
        <v>49.484629208068313</v>
      </c>
      <c r="N8" s="2">
        <v>12.861627535456851</v>
      </c>
      <c r="O8" s="2">
        <v>88.142857142857139</v>
      </c>
      <c r="P8" s="2">
        <v>36.929791819200993</v>
      </c>
      <c r="Q8" s="2">
        <v>20.714285714285719</v>
      </c>
      <c r="R8" s="2">
        <v>11.42678557475498</v>
      </c>
      <c r="S8" s="2">
        <v>4727</v>
      </c>
      <c r="T8" s="2">
        <v>3213.3121541487371</v>
      </c>
      <c r="U8" s="2">
        <v>223.6123308064484</v>
      </c>
      <c r="V8" s="2">
        <v>55.689415489595241</v>
      </c>
      <c r="W8" s="2">
        <v>9.5973320947365615</v>
      </c>
      <c r="X8" s="2">
        <v>1.9749397913427731</v>
      </c>
    </row>
    <row r="9" spans="1:24" x14ac:dyDescent="0.2">
      <c r="A9" s="1">
        <v>5</v>
      </c>
      <c r="B9" t="s">
        <v>18</v>
      </c>
      <c r="C9" t="s">
        <v>23</v>
      </c>
      <c r="D9" t="s">
        <v>25</v>
      </c>
      <c r="E9" s="2">
        <v>78.25</v>
      </c>
      <c r="F9" s="2">
        <v>20.817231873069549</v>
      </c>
      <c r="G9" s="2">
        <v>13.25</v>
      </c>
      <c r="H9" s="2">
        <v>4.4320263021395911</v>
      </c>
      <c r="I9" s="2">
        <v>3075.875</v>
      </c>
      <c r="J9" s="2">
        <v>1009.6991684230931</v>
      </c>
      <c r="K9" s="2">
        <v>234.4922791185852</v>
      </c>
      <c r="L9" s="2">
        <v>29.689758250581001</v>
      </c>
      <c r="M9" s="2">
        <v>10.62402581955681</v>
      </c>
      <c r="N9" s="2">
        <v>1.7303280976041779</v>
      </c>
      <c r="O9" s="2">
        <v>571.375</v>
      </c>
      <c r="P9" s="2">
        <v>96.494170808396518</v>
      </c>
      <c r="Q9" s="2">
        <v>60.375</v>
      </c>
      <c r="R9" s="2">
        <v>8.6178800840379033</v>
      </c>
      <c r="S9" s="2">
        <v>25149.75</v>
      </c>
      <c r="T9" s="2">
        <v>4937.0472016609874</v>
      </c>
      <c r="U9" s="2">
        <v>424.46657127582301</v>
      </c>
      <c r="V9" s="2">
        <v>113.4417097845773</v>
      </c>
      <c r="W9" s="2">
        <v>6.4147517750547536</v>
      </c>
      <c r="X9" s="2">
        <v>0.2061104306263237</v>
      </c>
    </row>
    <row r="10" spans="1:24" x14ac:dyDescent="0.2">
      <c r="A10" s="1">
        <v>6</v>
      </c>
      <c r="B10" t="s">
        <v>18</v>
      </c>
      <c r="C10" t="s">
        <v>26</v>
      </c>
      <c r="D10" t="s">
        <v>27</v>
      </c>
      <c r="E10" s="2">
        <v>14.16666666666667</v>
      </c>
      <c r="F10" s="2">
        <v>6.5548963887056724</v>
      </c>
      <c r="G10" s="2">
        <v>5.5</v>
      </c>
      <c r="H10" s="2">
        <v>2.5099800796022271</v>
      </c>
      <c r="I10" s="2">
        <v>1240.5</v>
      </c>
      <c r="J10" s="2">
        <v>505.79590745675267</v>
      </c>
      <c r="K10" s="2">
        <v>237.22222222222231</v>
      </c>
      <c r="L10" s="2">
        <v>45.42667066170938</v>
      </c>
      <c r="M10" s="2">
        <v>18.17133082644958</v>
      </c>
      <c r="N10" s="2">
        <v>7.2326171424202652</v>
      </c>
      <c r="O10" s="2">
        <v>185.66666666666671</v>
      </c>
      <c r="P10" s="2">
        <v>61.649547173249097</v>
      </c>
      <c r="Q10" s="2">
        <v>36.833333333333343</v>
      </c>
      <c r="R10" s="2">
        <v>13.991664185030549</v>
      </c>
      <c r="S10" s="2">
        <v>12224.16666666667</v>
      </c>
      <c r="T10" s="2">
        <v>2668.1671174547268</v>
      </c>
      <c r="U10" s="2">
        <v>357.74931489076232</v>
      </c>
      <c r="V10" s="2">
        <v>93.792300997162002</v>
      </c>
      <c r="W10" s="2">
        <v>8.1362352042607728</v>
      </c>
      <c r="X10" s="2">
        <v>1.2649475385378279</v>
      </c>
    </row>
    <row r="11" spans="1:24" x14ac:dyDescent="0.2">
      <c r="A11" s="1">
        <v>7</v>
      </c>
      <c r="B11" t="s">
        <v>18</v>
      </c>
      <c r="C11" t="s">
        <v>26</v>
      </c>
      <c r="D11" t="s">
        <v>28</v>
      </c>
      <c r="E11" s="2">
        <v>28.857142857142861</v>
      </c>
      <c r="F11" s="2">
        <v>13.158375931050809</v>
      </c>
      <c r="G11" s="2">
        <v>9.4285714285714288</v>
      </c>
      <c r="H11" s="2">
        <v>4.5039665058384131</v>
      </c>
      <c r="I11" s="2">
        <v>2041.8571428571429</v>
      </c>
      <c r="J11" s="2">
        <v>1194.5686011515379</v>
      </c>
      <c r="K11" s="2">
        <v>214.55196920873621</v>
      </c>
      <c r="L11" s="2">
        <v>36.311230889561919</v>
      </c>
      <c r="M11" s="2">
        <v>12.409117452509481</v>
      </c>
      <c r="N11" s="2">
        <v>2.3832427398138538</v>
      </c>
      <c r="O11" s="2">
        <v>173.28571428571431</v>
      </c>
      <c r="P11" s="2">
        <v>24.621902754216521</v>
      </c>
      <c r="Q11" s="2">
        <v>25.428571428571431</v>
      </c>
      <c r="R11" s="2">
        <v>10.097147168996839</v>
      </c>
      <c r="S11" s="2">
        <v>11310.28571428571</v>
      </c>
      <c r="T11" s="2">
        <v>5683.1130176540191</v>
      </c>
      <c r="U11" s="2">
        <v>451.35980782881808</v>
      </c>
      <c r="V11" s="2">
        <v>110.2665663468087</v>
      </c>
      <c r="W11" s="2">
        <v>8.8761754885392676</v>
      </c>
      <c r="X11" s="2">
        <v>1.1746129305363029</v>
      </c>
    </row>
    <row r="12" spans="1:24" x14ac:dyDescent="0.2">
      <c r="A12" s="1">
        <v>8</v>
      </c>
      <c r="B12" t="s">
        <v>18</v>
      </c>
      <c r="C12" t="s">
        <v>29</v>
      </c>
      <c r="D12" t="s">
        <v>30</v>
      </c>
      <c r="E12" s="2">
        <v>15.857142857142859</v>
      </c>
      <c r="F12" s="2">
        <v>9.2453334432128766</v>
      </c>
      <c r="G12" s="2">
        <v>7.1428571428571432</v>
      </c>
      <c r="H12" s="2">
        <v>5.3363086938623097</v>
      </c>
      <c r="I12" s="2">
        <v>1434</v>
      </c>
      <c r="J12" s="2">
        <v>918.12163319101319</v>
      </c>
      <c r="K12" s="2">
        <v>215.74166666666659</v>
      </c>
      <c r="L12" s="2">
        <v>33.618334049432718</v>
      </c>
      <c r="M12" s="2">
        <v>16.373185351642238</v>
      </c>
      <c r="N12" s="2">
        <v>4.79776036573901</v>
      </c>
      <c r="O12" s="2">
        <v>121.8571428571429</v>
      </c>
      <c r="P12" s="2">
        <v>31.88222373794197</v>
      </c>
      <c r="Q12" s="2">
        <v>23.142857142857139</v>
      </c>
      <c r="R12" s="2">
        <v>8.802056036869482</v>
      </c>
      <c r="S12" s="2">
        <v>7121.2857142857147</v>
      </c>
      <c r="T12" s="2">
        <v>2067.808317541846</v>
      </c>
      <c r="U12" s="2">
        <v>330.52409741674438</v>
      </c>
      <c r="V12" s="2">
        <v>96.342784142906325</v>
      </c>
      <c r="W12" s="2">
        <v>8.8742778422230355</v>
      </c>
      <c r="X12" s="2">
        <v>1.3063793915330799</v>
      </c>
    </row>
    <row r="13" spans="1:24" x14ac:dyDescent="0.2">
      <c r="A13" s="1">
        <v>9</v>
      </c>
      <c r="B13" t="s">
        <v>31</v>
      </c>
      <c r="C13" t="s">
        <v>19</v>
      </c>
      <c r="D13">
        <v>845</v>
      </c>
      <c r="E13" s="2">
        <v>88.666666666666671</v>
      </c>
      <c r="F13" s="2">
        <v>19.448650338776719</v>
      </c>
      <c r="G13" s="2">
        <v>9.5555555555555554</v>
      </c>
      <c r="H13" s="2">
        <v>2.2422706745122851</v>
      </c>
      <c r="I13" s="2">
        <v>4694.1111111111113</v>
      </c>
      <c r="J13" s="2">
        <v>1498.4488183154981</v>
      </c>
      <c r="K13" s="2">
        <v>495.39990102490111</v>
      </c>
      <c r="L13" s="2">
        <v>129.56290771039991</v>
      </c>
      <c r="M13" s="2">
        <v>10.92341958249088</v>
      </c>
      <c r="N13" s="2">
        <v>1.303317669125573</v>
      </c>
      <c r="O13" s="2">
        <v>18.111111111111111</v>
      </c>
      <c r="P13" s="2">
        <v>4.6755867130351794</v>
      </c>
      <c r="Q13" s="2">
        <v>1.666666666666667</v>
      </c>
      <c r="R13" s="2">
        <v>1.1180339887498949</v>
      </c>
      <c r="S13" s="2">
        <v>1173.8888888888889</v>
      </c>
      <c r="T13" s="2">
        <v>1651.980360389043</v>
      </c>
      <c r="U13" s="2">
        <v>586.7037037037037</v>
      </c>
      <c r="V13" s="2">
        <v>306.79237434589231</v>
      </c>
      <c r="W13" s="2">
        <v>43.881084312283669</v>
      </c>
      <c r="X13" s="2">
        <v>15.94692194746823</v>
      </c>
    </row>
    <row r="14" spans="1:24" x14ac:dyDescent="0.2">
      <c r="A14" s="1">
        <v>10</v>
      </c>
      <c r="B14" t="s">
        <v>31</v>
      </c>
      <c r="C14" t="s">
        <v>19</v>
      </c>
      <c r="D14">
        <v>1245</v>
      </c>
      <c r="E14" s="2">
        <v>32.285714285714278</v>
      </c>
      <c r="F14" s="2">
        <v>14.372592966177971</v>
      </c>
      <c r="G14" s="2">
        <v>11.857142857142859</v>
      </c>
      <c r="H14" s="2">
        <v>4.8452234702013977</v>
      </c>
      <c r="I14" s="2">
        <v>3771.1428571428569</v>
      </c>
      <c r="J14" s="2">
        <v>1045.4270943130421</v>
      </c>
      <c r="K14" s="2">
        <v>342.85736961451249</v>
      </c>
      <c r="L14" s="2">
        <v>106.496580606534</v>
      </c>
      <c r="M14" s="2">
        <v>12.80632472073281</v>
      </c>
      <c r="N14" s="2">
        <v>3.0952476336034258</v>
      </c>
      <c r="O14" s="2">
        <v>453.71428571428572</v>
      </c>
      <c r="P14" s="2">
        <v>66.208544981531105</v>
      </c>
      <c r="Q14" s="2">
        <v>69.285714285714292</v>
      </c>
      <c r="R14" s="2">
        <v>17.660825629193049</v>
      </c>
      <c r="S14" s="2">
        <v>31812.142857142859</v>
      </c>
      <c r="T14" s="2">
        <v>9273.0344445345272</v>
      </c>
      <c r="U14" s="2">
        <v>462.04776998698441</v>
      </c>
      <c r="V14" s="2">
        <v>90.715017966401618</v>
      </c>
      <c r="W14" s="2">
        <v>7.2650801619197889</v>
      </c>
      <c r="X14" s="2">
        <v>0.32172040375337507</v>
      </c>
    </row>
    <row r="15" spans="1:24" x14ac:dyDescent="0.2">
      <c r="A15" s="1">
        <v>11</v>
      </c>
      <c r="B15" t="s">
        <v>31</v>
      </c>
      <c r="C15" t="s">
        <v>19</v>
      </c>
      <c r="D15" t="s">
        <v>21</v>
      </c>
      <c r="E15" s="2">
        <v>164.83333333333329</v>
      </c>
      <c r="F15" s="2">
        <v>50.141466538850523</v>
      </c>
      <c r="G15" s="2">
        <v>66.166666666666671</v>
      </c>
      <c r="H15" s="2">
        <v>23.068737864622481</v>
      </c>
      <c r="I15" s="2">
        <v>18927.166666666672</v>
      </c>
      <c r="J15" s="2">
        <v>6428.656357798779</v>
      </c>
      <c r="K15" s="2">
        <v>287.82306807103168</v>
      </c>
      <c r="L15" s="2">
        <v>42.496586109690107</v>
      </c>
      <c r="M15" s="2">
        <v>7.1538334284406817</v>
      </c>
      <c r="N15" s="2">
        <v>0.57194027180617391</v>
      </c>
      <c r="O15" s="2">
        <v>360.16666666666669</v>
      </c>
      <c r="P15" s="2">
        <v>240.8405419913073</v>
      </c>
      <c r="Q15" s="2">
        <v>62.666666666666657</v>
      </c>
      <c r="R15" s="2">
        <v>47.638919663093397</v>
      </c>
      <c r="S15" s="2">
        <v>38687.666666666657</v>
      </c>
      <c r="T15" s="2">
        <v>24328.09880501694</v>
      </c>
      <c r="U15" s="2">
        <v>648.87132083484471</v>
      </c>
      <c r="V15" s="2">
        <v>94.421237801008758</v>
      </c>
      <c r="W15" s="2">
        <v>6.7471140448509006</v>
      </c>
      <c r="X15" s="2">
        <v>0.67378923059133089</v>
      </c>
    </row>
    <row r="16" spans="1:24" x14ac:dyDescent="0.2">
      <c r="A16" s="1">
        <v>12</v>
      </c>
      <c r="B16" t="s">
        <v>31</v>
      </c>
      <c r="C16" t="s">
        <v>23</v>
      </c>
      <c r="D16" t="s">
        <v>24</v>
      </c>
      <c r="E16" s="2">
        <v>8.6666666666666661</v>
      </c>
      <c r="F16" s="2">
        <v>2.4221202832779931</v>
      </c>
      <c r="G16" s="2">
        <v>2.5</v>
      </c>
      <c r="H16" s="2">
        <v>0.83666002653407556</v>
      </c>
      <c r="I16" s="2">
        <v>721.66666666666663</v>
      </c>
      <c r="J16" s="2">
        <v>117.72793494607239</v>
      </c>
      <c r="K16" s="2">
        <v>300.6805555555556</v>
      </c>
      <c r="L16" s="2">
        <v>46.153861541426693</v>
      </c>
      <c r="M16" s="2">
        <v>26.65470514268112</v>
      </c>
      <c r="N16" s="2">
        <v>5.323370936204161</v>
      </c>
      <c r="O16" s="2">
        <v>115.8333333333333</v>
      </c>
      <c r="P16" s="2">
        <v>24.47379551002799</v>
      </c>
      <c r="Q16" s="2">
        <v>22.166666666666671</v>
      </c>
      <c r="R16" s="2">
        <v>3.868677637987775</v>
      </c>
      <c r="S16" s="2">
        <v>7314</v>
      </c>
      <c r="T16" s="2">
        <v>1993.8035008495699</v>
      </c>
      <c r="U16" s="2">
        <v>327.30759109311742</v>
      </c>
      <c r="V16" s="2">
        <v>58.301142292280602</v>
      </c>
      <c r="W16" s="2">
        <v>8.0655536276077431</v>
      </c>
      <c r="X16" s="2">
        <v>0.4326567531815963</v>
      </c>
    </row>
    <row r="17" spans="1:26" x14ac:dyDescent="0.2">
      <c r="A17" s="1">
        <v>13</v>
      </c>
      <c r="B17" t="s">
        <v>31</v>
      </c>
      <c r="C17" t="s">
        <v>23</v>
      </c>
      <c r="D17" t="s">
        <v>25</v>
      </c>
      <c r="E17" s="2">
        <v>109</v>
      </c>
      <c r="F17" s="2">
        <v>19.866219234335119</v>
      </c>
      <c r="G17" s="2">
        <v>18.714285714285719</v>
      </c>
      <c r="H17" s="2">
        <v>4.0296519996266724</v>
      </c>
      <c r="I17" s="2">
        <v>6461.5714285714284</v>
      </c>
      <c r="J17" s="2">
        <v>1286.040545906033</v>
      </c>
      <c r="K17" s="2">
        <v>350.22815934065932</v>
      </c>
      <c r="L17" s="2">
        <v>56.218497760532827</v>
      </c>
      <c r="M17" s="2">
        <v>8.8570966727980949</v>
      </c>
      <c r="N17" s="2">
        <v>0.64411607785072778</v>
      </c>
      <c r="O17" s="2">
        <v>492.71428571428572</v>
      </c>
      <c r="P17" s="2">
        <v>139.19137220114649</v>
      </c>
      <c r="Q17" s="2">
        <v>20</v>
      </c>
      <c r="R17" s="2">
        <v>6.5828058860438334</v>
      </c>
      <c r="S17" s="2">
        <v>11813.857142857139</v>
      </c>
      <c r="T17" s="2">
        <v>5143.2429273293919</v>
      </c>
      <c r="U17" s="2">
        <v>584.19761710511716</v>
      </c>
      <c r="V17" s="2">
        <v>120.27974636395091</v>
      </c>
      <c r="W17" s="2">
        <v>7.9860114771377519</v>
      </c>
      <c r="X17" s="2">
        <v>1.2257131584332679</v>
      </c>
    </row>
    <row r="18" spans="1:26" x14ac:dyDescent="0.2">
      <c r="A18" s="1">
        <v>14</v>
      </c>
      <c r="B18" t="s">
        <v>31</v>
      </c>
      <c r="C18" t="s">
        <v>26</v>
      </c>
      <c r="D18" t="s">
        <v>27</v>
      </c>
      <c r="E18" s="2">
        <v>9.5</v>
      </c>
      <c r="F18" s="2">
        <v>2.588435821108956</v>
      </c>
      <c r="G18" s="2">
        <v>3.166666666666667</v>
      </c>
      <c r="H18" s="2">
        <v>1.602081978759722</v>
      </c>
      <c r="I18" s="2">
        <v>810.66666666666663</v>
      </c>
      <c r="J18" s="2">
        <v>169.7382298324884</v>
      </c>
      <c r="K18" s="2">
        <v>284.5555555555556</v>
      </c>
      <c r="L18" s="2">
        <v>72.310108918821655</v>
      </c>
      <c r="M18" s="2">
        <v>24.720666070240171</v>
      </c>
      <c r="N18" s="2">
        <v>6.519568126231996</v>
      </c>
      <c r="O18" s="2">
        <v>124.6666666666667</v>
      </c>
      <c r="P18" s="2">
        <v>25.578636919637969</v>
      </c>
      <c r="Q18" s="2">
        <v>12</v>
      </c>
      <c r="R18" s="2">
        <v>5.0990195135927836</v>
      </c>
      <c r="S18" s="2">
        <v>3678.833333333333</v>
      </c>
      <c r="T18" s="2">
        <v>1447.808746577623</v>
      </c>
      <c r="U18" s="2">
        <v>320.8</v>
      </c>
      <c r="V18" s="2">
        <v>103.0605259058967</v>
      </c>
      <c r="W18" s="2">
        <v>10.63842143640683</v>
      </c>
      <c r="X18" s="2">
        <v>2.6716395519023188</v>
      </c>
    </row>
    <row r="19" spans="1:26" x14ac:dyDescent="0.2">
      <c r="A19" s="1">
        <v>15</v>
      </c>
      <c r="B19" t="s">
        <v>31</v>
      </c>
      <c r="C19" t="s">
        <v>26</v>
      </c>
      <c r="D19" t="s">
        <v>28</v>
      </c>
      <c r="E19" s="2">
        <v>15.142857142857141</v>
      </c>
      <c r="F19" s="2">
        <v>4.6342410895626136</v>
      </c>
      <c r="G19" s="2">
        <v>4.4285714285714288</v>
      </c>
      <c r="H19" s="2">
        <v>1.8126539343499311</v>
      </c>
      <c r="I19" s="2">
        <v>1105.714285714286</v>
      </c>
      <c r="J19" s="2">
        <v>335.56306624622948</v>
      </c>
      <c r="K19" s="2">
        <v>264.1292517006803</v>
      </c>
      <c r="L19" s="2">
        <v>52.400758912514753</v>
      </c>
      <c r="M19" s="2">
        <v>19.51445382759411</v>
      </c>
      <c r="N19" s="2">
        <v>5.9051653917669089</v>
      </c>
      <c r="O19" s="2">
        <v>84.714285714285708</v>
      </c>
      <c r="P19" s="2">
        <v>18.181623375579768</v>
      </c>
      <c r="Q19" s="2">
        <v>13.71428571428571</v>
      </c>
      <c r="R19" s="2">
        <v>3.8172540616821111</v>
      </c>
      <c r="S19" s="2">
        <v>4953.7142857142853</v>
      </c>
      <c r="T19" s="2">
        <v>1231.1534854606491</v>
      </c>
      <c r="U19" s="2">
        <v>376.24531889678951</v>
      </c>
      <c r="V19" s="2">
        <v>100.55795217443939</v>
      </c>
      <c r="W19" s="2">
        <v>9.9281205421978456</v>
      </c>
      <c r="X19" s="2">
        <v>1.3668703148860111</v>
      </c>
    </row>
    <row r="20" spans="1:26" x14ac:dyDescent="0.2">
      <c r="A20" s="1">
        <v>16</v>
      </c>
      <c r="B20" t="s">
        <v>31</v>
      </c>
      <c r="C20" t="s">
        <v>29</v>
      </c>
      <c r="D20" t="s">
        <v>30</v>
      </c>
      <c r="E20" s="2">
        <v>19.714285714285719</v>
      </c>
      <c r="F20" s="2">
        <v>9.7247842429242919</v>
      </c>
      <c r="G20" s="2">
        <v>4.1428571428571432</v>
      </c>
      <c r="H20" s="2">
        <v>1.7728105208558369</v>
      </c>
      <c r="I20" s="2">
        <v>924.71428571428567</v>
      </c>
      <c r="J20" s="2">
        <v>257.26750946936812</v>
      </c>
      <c r="K20" s="2">
        <v>239.73979591836741</v>
      </c>
      <c r="L20" s="2">
        <v>61.38561868421565</v>
      </c>
      <c r="M20" s="2">
        <v>19.688092971843879</v>
      </c>
      <c r="N20" s="2">
        <v>5.1571320395760862</v>
      </c>
      <c r="O20" s="2">
        <v>117.28571428571431</v>
      </c>
      <c r="P20" s="2">
        <v>18.49066688642575</v>
      </c>
      <c r="Q20" s="2">
        <v>15.428571428571431</v>
      </c>
      <c r="R20" s="2">
        <v>4.6496287614225311</v>
      </c>
      <c r="S20" s="2">
        <v>5630.2857142857147</v>
      </c>
      <c r="T20" s="2">
        <v>1828.109562205879</v>
      </c>
      <c r="U20" s="2">
        <v>364.91034917463492</v>
      </c>
      <c r="V20" s="2">
        <v>46.960663662867887</v>
      </c>
      <c r="W20" s="2">
        <v>9.3586986865017501</v>
      </c>
      <c r="X20" s="2">
        <v>0.72569456892114825</v>
      </c>
    </row>
    <row r="23" spans="1:26" x14ac:dyDescent="0.2">
      <c r="A23" s="1"/>
      <c r="B23" s="1" t="s">
        <v>0</v>
      </c>
      <c r="C23" s="1" t="s">
        <v>1</v>
      </c>
      <c r="D23" s="1" t="s">
        <v>2</v>
      </c>
      <c r="E23" s="10" t="s">
        <v>3</v>
      </c>
      <c r="F23" s="10"/>
      <c r="G23" s="10" t="s">
        <v>4</v>
      </c>
      <c r="H23" s="10"/>
      <c r="I23" s="10" t="s">
        <v>5</v>
      </c>
      <c r="J23" s="10"/>
      <c r="K23" s="10" t="s">
        <v>6</v>
      </c>
      <c r="L23" s="10"/>
      <c r="M23" s="10" t="s">
        <v>7</v>
      </c>
      <c r="N23" s="10"/>
      <c r="O23" s="10" t="s">
        <v>8</v>
      </c>
      <c r="P23" s="10"/>
      <c r="Q23" s="10" t="s">
        <v>9</v>
      </c>
      <c r="R23" s="10"/>
      <c r="S23" s="10" t="s">
        <v>10</v>
      </c>
      <c r="T23" s="10"/>
      <c r="U23" s="10" t="s">
        <v>11</v>
      </c>
      <c r="V23" s="10"/>
      <c r="W23" s="10" t="s">
        <v>12</v>
      </c>
      <c r="X23" s="10"/>
    </row>
    <row r="24" spans="1:26" ht="16" thickBot="1" x14ac:dyDescent="0.25">
      <c r="A24" s="1"/>
      <c r="B24" s="1"/>
      <c r="C24" s="1"/>
      <c r="D24" s="1"/>
      <c r="E24" s="1" t="s">
        <v>13</v>
      </c>
      <c r="F24" s="1" t="s">
        <v>14</v>
      </c>
      <c r="G24" s="3" t="s">
        <v>13</v>
      </c>
      <c r="H24" s="1" t="s">
        <v>14</v>
      </c>
      <c r="I24" s="1" t="s">
        <v>13</v>
      </c>
      <c r="J24" s="1" t="s">
        <v>14</v>
      </c>
      <c r="K24" s="1" t="s">
        <v>13</v>
      </c>
      <c r="L24" s="1" t="s">
        <v>14</v>
      </c>
      <c r="M24" s="1" t="s">
        <v>13</v>
      </c>
      <c r="N24" s="1" t="s">
        <v>14</v>
      </c>
      <c r="O24" s="1" t="s">
        <v>13</v>
      </c>
      <c r="P24" s="1" t="s">
        <v>14</v>
      </c>
      <c r="Q24" s="1" t="s">
        <v>13</v>
      </c>
      <c r="R24" s="1" t="s">
        <v>14</v>
      </c>
      <c r="S24" s="1" t="s">
        <v>13</v>
      </c>
      <c r="T24" s="1" t="s">
        <v>14</v>
      </c>
      <c r="U24" s="1" t="s">
        <v>13</v>
      </c>
      <c r="V24" s="1" t="s">
        <v>14</v>
      </c>
      <c r="W24" s="1" t="s">
        <v>13</v>
      </c>
      <c r="X24" s="1" t="s">
        <v>14</v>
      </c>
      <c r="Y24" s="7" t="s">
        <v>33</v>
      </c>
    </row>
    <row r="25" spans="1:26" x14ac:dyDescent="0.2">
      <c r="B25" t="s">
        <v>18</v>
      </c>
      <c r="C25" t="s">
        <v>19</v>
      </c>
      <c r="D25" t="s">
        <v>22</v>
      </c>
      <c r="E25">
        <v>169.85714285714201</v>
      </c>
      <c r="F25" s="2">
        <v>120.32456108376211</v>
      </c>
      <c r="G25" s="4">
        <v>92.714285714285708</v>
      </c>
      <c r="H25" s="2">
        <v>47.612023291441439</v>
      </c>
      <c r="I25" s="2">
        <v>30101.71428571429</v>
      </c>
      <c r="J25" s="2">
        <v>14809.722524007509</v>
      </c>
      <c r="K25" s="2">
        <v>328.76105183469429</v>
      </c>
      <c r="L25" s="2">
        <v>88.302052618618575</v>
      </c>
      <c r="M25" s="2">
        <v>6.5819665109903456</v>
      </c>
      <c r="N25" s="2">
        <v>0.26579747937427278</v>
      </c>
      <c r="O25" s="2">
        <v>221</v>
      </c>
      <c r="P25" s="2">
        <v>122.8725627089574</v>
      </c>
      <c r="Q25" s="2">
        <v>8</v>
      </c>
      <c r="R25" s="2">
        <v>6.3770421565696642</v>
      </c>
      <c r="S25" s="2">
        <v>5812</v>
      </c>
      <c r="T25" s="2">
        <v>5186.1277783461264</v>
      </c>
      <c r="U25" s="2">
        <v>695.17077515216613</v>
      </c>
      <c r="V25" s="2">
        <v>225.21155120857651</v>
      </c>
      <c r="W25" s="2">
        <v>18.95551193113695</v>
      </c>
      <c r="X25" s="2">
        <v>16.306883074565881</v>
      </c>
      <c r="Y25" s="8">
        <f>G25/(E25+G25)</f>
        <v>0.35310119695321118</v>
      </c>
      <c r="Z25" s="8">
        <f>Q25/(E25+Q25)</f>
        <v>4.4979919678715077E-2</v>
      </c>
    </row>
    <row r="26" spans="1:26" x14ac:dyDescent="0.2">
      <c r="B26" t="s">
        <v>18</v>
      </c>
      <c r="C26" t="s">
        <v>19</v>
      </c>
      <c r="D26" t="s">
        <v>20</v>
      </c>
      <c r="E26">
        <v>218.28571428571399</v>
      </c>
      <c r="F26">
        <v>81.628659766273799</v>
      </c>
      <c r="G26" s="5">
        <v>62</v>
      </c>
      <c r="H26" s="2">
        <v>27.061657993059729</v>
      </c>
      <c r="I26" s="2">
        <v>15331.571428571429</v>
      </c>
      <c r="J26" s="2">
        <v>7162.2707492606196</v>
      </c>
      <c r="K26" s="2">
        <v>238.15936405740391</v>
      </c>
      <c r="L26" s="2">
        <v>36.167231214673123</v>
      </c>
      <c r="M26" s="2">
        <v>9.3488283196963966</v>
      </c>
      <c r="N26" s="2">
        <v>2.950343648422491</v>
      </c>
      <c r="O26" s="2">
        <v>434.57142857142861</v>
      </c>
      <c r="P26" s="2">
        <v>128.11564716153549</v>
      </c>
      <c r="Q26" s="2">
        <v>78.571428571428569</v>
      </c>
      <c r="R26" s="2">
        <v>22.142396308568639</v>
      </c>
      <c r="S26" s="2">
        <v>41501.857142857138</v>
      </c>
      <c r="T26" s="2">
        <v>13932.455687214309</v>
      </c>
      <c r="U26" s="2">
        <v>528.9989914301625</v>
      </c>
      <c r="V26" s="2">
        <v>129.11225314110561</v>
      </c>
      <c r="W26" s="2">
        <v>7.5828208323471697</v>
      </c>
      <c r="X26" s="2">
        <v>0.49582423350868632</v>
      </c>
      <c r="Y26" s="8">
        <f t="shared" ref="Y26:Y27" si="0">G26/(E26+G26)</f>
        <v>0.22120285423037739</v>
      </c>
      <c r="Z26" s="8">
        <f t="shared" ref="Z26:Z32" si="1">Q26/(E26+Q26)</f>
        <v>0.26467757459095309</v>
      </c>
    </row>
    <row r="27" spans="1:26" ht="16" thickBot="1" x14ac:dyDescent="0.25">
      <c r="B27" t="s">
        <v>18</v>
      </c>
      <c r="C27" t="s">
        <v>19</v>
      </c>
      <c r="D27" t="s">
        <v>21</v>
      </c>
      <c r="E27">
        <v>586.33333333333303</v>
      </c>
      <c r="F27">
        <v>126.80641413850699</v>
      </c>
      <c r="G27" s="6">
        <v>77.666666666666671</v>
      </c>
      <c r="H27" s="2">
        <v>31.60801586095949</v>
      </c>
      <c r="I27" s="2">
        <v>20296.166666666672</v>
      </c>
      <c r="J27" s="2">
        <v>10543.768537229311</v>
      </c>
      <c r="K27" s="2">
        <v>252.90866942500091</v>
      </c>
      <c r="L27" s="2">
        <v>27.863909716549571</v>
      </c>
      <c r="M27" s="2">
        <v>6.9644990602096044</v>
      </c>
      <c r="N27" s="2">
        <v>0.31943615788179469</v>
      </c>
      <c r="O27" s="2">
        <v>1003.333333333333</v>
      </c>
      <c r="P27" s="2">
        <v>233.8389759357209</v>
      </c>
      <c r="Q27" s="2">
        <v>39.5</v>
      </c>
      <c r="R27" s="2">
        <v>9.710818709048171</v>
      </c>
      <c r="S27" s="2">
        <v>34565.166666666657</v>
      </c>
      <c r="T27" s="2">
        <v>14684.04766291184</v>
      </c>
      <c r="U27" s="2">
        <v>876.21014727826241</v>
      </c>
      <c r="V27" s="2">
        <v>363.8466649062475</v>
      </c>
      <c r="W27" s="2">
        <v>6.4564055706104639</v>
      </c>
      <c r="X27" s="2">
        <v>0.29858194483992212</v>
      </c>
      <c r="Y27" s="8">
        <f t="shared" si="0"/>
        <v>0.11696787148594384</v>
      </c>
      <c r="Z27" s="8">
        <f t="shared" si="1"/>
        <v>6.3115845539280985E-2</v>
      </c>
    </row>
    <row r="28" spans="1:26" x14ac:dyDescent="0.2">
      <c r="B28" t="s">
        <v>18</v>
      </c>
      <c r="C28" t="s">
        <v>23</v>
      </c>
      <c r="D28" t="s">
        <v>25</v>
      </c>
      <c r="E28">
        <v>445.875</v>
      </c>
      <c r="F28">
        <v>108.337353405264</v>
      </c>
      <c r="G28" s="2">
        <v>13.25</v>
      </c>
      <c r="H28" s="2">
        <v>4.4320263021395911</v>
      </c>
      <c r="I28" s="2">
        <v>3075.875</v>
      </c>
      <c r="J28" s="2">
        <v>1009.6991684230931</v>
      </c>
      <c r="K28" s="2">
        <v>234.4922791185852</v>
      </c>
      <c r="L28" s="2">
        <v>29.689758250581001</v>
      </c>
      <c r="M28" s="2">
        <v>10.62402581955681</v>
      </c>
      <c r="N28" s="2">
        <v>1.7303280976041779</v>
      </c>
      <c r="O28" s="2">
        <v>571.375</v>
      </c>
      <c r="P28" s="2">
        <v>96.494170808396518</v>
      </c>
      <c r="Q28" s="4">
        <v>60.375</v>
      </c>
      <c r="R28" s="2">
        <v>8.6178800840379033</v>
      </c>
      <c r="S28" s="2">
        <v>25149.75</v>
      </c>
      <c r="T28" s="2">
        <v>4937.0472016609874</v>
      </c>
      <c r="U28" s="2">
        <v>424.46657127582301</v>
      </c>
      <c r="V28" s="2">
        <v>113.4417097845773</v>
      </c>
      <c r="W28" s="2">
        <v>6.4147517750547536</v>
      </c>
      <c r="X28" s="2">
        <v>0.2061104306263237</v>
      </c>
      <c r="Y28" s="8">
        <f t="shared" ref="Y26:Y32" si="2">G28/E28</f>
        <v>2.9716848892626858E-2</v>
      </c>
      <c r="Z28" s="8">
        <f t="shared" si="1"/>
        <v>0.11925925925925926</v>
      </c>
    </row>
    <row r="29" spans="1:26" x14ac:dyDescent="0.2">
      <c r="B29" t="s">
        <v>18</v>
      </c>
      <c r="C29" t="s">
        <v>23</v>
      </c>
      <c r="D29" t="s">
        <v>24</v>
      </c>
      <c r="E29">
        <v>43.285714285714199</v>
      </c>
      <c r="F29">
        <v>24.479340171624202</v>
      </c>
      <c r="G29" s="2">
        <v>1.428571428571429</v>
      </c>
      <c r="H29" s="2">
        <v>1.1338934190276819</v>
      </c>
      <c r="I29" s="2">
        <v>600.42857142857144</v>
      </c>
      <c r="J29" s="2">
        <v>202.21099305993661</v>
      </c>
      <c r="K29" s="2">
        <v>486.96428571428572</v>
      </c>
      <c r="L29" s="2">
        <v>97.987289627642156</v>
      </c>
      <c r="M29" s="2">
        <v>49.484629208068313</v>
      </c>
      <c r="N29" s="2">
        <v>12.861627535456851</v>
      </c>
      <c r="O29" s="2">
        <v>88.142857142857139</v>
      </c>
      <c r="P29" s="2">
        <v>36.929791819200993</v>
      </c>
      <c r="Q29" s="5">
        <v>20.714285714285719</v>
      </c>
      <c r="R29" s="2">
        <v>11.42678557475498</v>
      </c>
      <c r="S29" s="2">
        <v>4727</v>
      </c>
      <c r="T29" s="2">
        <v>3213.3121541487371</v>
      </c>
      <c r="U29" s="2">
        <v>223.6123308064484</v>
      </c>
      <c r="V29" s="2">
        <v>55.689415489595241</v>
      </c>
      <c r="W29" s="2">
        <v>9.5973320947365615</v>
      </c>
      <c r="X29" s="2">
        <v>1.9749397913427731</v>
      </c>
      <c r="Y29" s="8">
        <f t="shared" si="2"/>
        <v>3.3003300330033083E-2</v>
      </c>
      <c r="Z29" s="8">
        <f t="shared" si="1"/>
        <v>0.3236607142857148</v>
      </c>
    </row>
    <row r="30" spans="1:26" x14ac:dyDescent="0.2">
      <c r="B30" t="s">
        <v>18</v>
      </c>
      <c r="C30" t="s">
        <v>26</v>
      </c>
      <c r="D30" t="s">
        <v>28</v>
      </c>
      <c r="E30">
        <v>150.85714285714201</v>
      </c>
      <c r="F30">
        <v>24.525011528563802</v>
      </c>
      <c r="G30" s="2">
        <v>9.4285714285714288</v>
      </c>
      <c r="H30" s="2">
        <v>4.5039665058384131</v>
      </c>
      <c r="I30" s="2">
        <v>2041.8571428571429</v>
      </c>
      <c r="J30" s="2">
        <v>1194.5686011515379</v>
      </c>
      <c r="K30" s="2">
        <v>214.55196920873621</v>
      </c>
      <c r="L30" s="2">
        <v>36.311230889561919</v>
      </c>
      <c r="M30" s="2">
        <v>12.409117452509481</v>
      </c>
      <c r="N30" s="2">
        <v>2.3832427398138538</v>
      </c>
      <c r="O30" s="2">
        <v>173.28571428571431</v>
      </c>
      <c r="P30" s="2">
        <v>24.621902754216521</v>
      </c>
      <c r="Q30" s="5">
        <v>25.428571428571431</v>
      </c>
      <c r="R30" s="2">
        <v>10.097147168996839</v>
      </c>
      <c r="S30" s="2">
        <v>11310.28571428571</v>
      </c>
      <c r="T30" s="2">
        <v>5683.1130176540191</v>
      </c>
      <c r="U30" s="2">
        <v>451.35980782881808</v>
      </c>
      <c r="V30" s="2">
        <v>110.2665663468087</v>
      </c>
      <c r="W30" s="2">
        <v>8.8761754885392676</v>
      </c>
      <c r="X30" s="2">
        <v>1.1746129305363029</v>
      </c>
      <c r="Y30" s="8">
        <f t="shared" si="2"/>
        <v>6.2500000000000347E-2</v>
      </c>
      <c r="Z30" s="8">
        <f t="shared" si="1"/>
        <v>0.14424635332252908</v>
      </c>
    </row>
    <row r="31" spans="1:26" x14ac:dyDescent="0.2">
      <c r="B31" t="s">
        <v>18</v>
      </c>
      <c r="C31" t="s">
        <v>26</v>
      </c>
      <c r="D31" t="s">
        <v>27</v>
      </c>
      <c r="E31">
        <v>114.833333333333</v>
      </c>
      <c r="F31">
        <v>78.382183349704306</v>
      </c>
      <c r="G31" s="2">
        <v>5.5</v>
      </c>
      <c r="H31" s="2">
        <v>2.5099800796022271</v>
      </c>
      <c r="I31" s="2">
        <v>1240.5</v>
      </c>
      <c r="J31" s="2">
        <v>505.79590745675267</v>
      </c>
      <c r="K31" s="2">
        <v>237.22222222222231</v>
      </c>
      <c r="L31" s="2">
        <v>45.42667066170938</v>
      </c>
      <c r="M31" s="2">
        <v>18.17133082644958</v>
      </c>
      <c r="N31" s="2">
        <v>7.2326171424202652</v>
      </c>
      <c r="O31" s="2">
        <v>185.66666666666671</v>
      </c>
      <c r="P31" s="2">
        <v>61.649547173249097</v>
      </c>
      <c r="Q31" s="5">
        <v>36.833333333333343</v>
      </c>
      <c r="R31" s="2">
        <v>13.991664185030549</v>
      </c>
      <c r="S31" s="2">
        <v>12224.16666666667</v>
      </c>
      <c r="T31" s="2">
        <v>2668.1671174547268</v>
      </c>
      <c r="U31" s="2">
        <v>357.74931489076232</v>
      </c>
      <c r="V31" s="2">
        <v>93.792300997162002</v>
      </c>
      <c r="W31" s="2">
        <v>8.1362352042607728</v>
      </c>
      <c r="X31" s="2">
        <v>1.2649475385378279</v>
      </c>
      <c r="Y31" s="8">
        <f t="shared" si="2"/>
        <v>4.7895500725689544E-2</v>
      </c>
      <c r="Z31" s="8">
        <f t="shared" si="1"/>
        <v>0.24285714285714344</v>
      </c>
    </row>
    <row r="32" spans="1:26" ht="16" thickBot="1" x14ac:dyDescent="0.25">
      <c r="B32" t="s">
        <v>18</v>
      </c>
      <c r="C32" t="s">
        <v>29</v>
      </c>
      <c r="D32" t="s">
        <v>30</v>
      </c>
      <c r="E32">
        <v>78.714285714285694</v>
      </c>
      <c r="F32">
        <v>26.681543469311499</v>
      </c>
      <c r="G32" s="2">
        <v>7.1428571428571432</v>
      </c>
      <c r="H32" s="2">
        <v>5.3363086938623097</v>
      </c>
      <c r="I32" s="2">
        <v>1434</v>
      </c>
      <c r="J32" s="2">
        <v>918.12163319101319</v>
      </c>
      <c r="K32" s="2">
        <v>215.74166666666659</v>
      </c>
      <c r="L32" s="2">
        <v>33.618334049432718</v>
      </c>
      <c r="M32" s="2">
        <v>16.373185351642238</v>
      </c>
      <c r="N32" s="2">
        <v>4.79776036573901</v>
      </c>
      <c r="O32" s="2">
        <v>121.8571428571429</v>
      </c>
      <c r="P32" s="2">
        <v>31.88222373794197</v>
      </c>
      <c r="Q32" s="6">
        <v>23.142857142857139</v>
      </c>
      <c r="R32" s="2">
        <v>8.802056036869482</v>
      </c>
      <c r="S32" s="2">
        <v>7121.2857142857147</v>
      </c>
      <c r="T32" s="2">
        <v>2067.808317541846</v>
      </c>
      <c r="U32" s="2">
        <v>330.52409741674438</v>
      </c>
      <c r="V32" s="2">
        <v>96.342784142906325</v>
      </c>
      <c r="W32" s="2">
        <v>8.8742778422230355</v>
      </c>
      <c r="X32" s="2">
        <v>1.3063793915330799</v>
      </c>
      <c r="Y32" s="8">
        <f t="shared" si="2"/>
        <v>9.0744101633393859E-2</v>
      </c>
      <c r="Z32" s="8">
        <f t="shared" si="1"/>
        <v>0.22720897615708277</v>
      </c>
    </row>
    <row r="35" spans="2:26" ht="16" thickBot="1" x14ac:dyDescent="0.25">
      <c r="Y35" s="7" t="s">
        <v>33</v>
      </c>
    </row>
    <row r="36" spans="2:26" x14ac:dyDescent="0.2">
      <c r="B36" t="s">
        <v>31</v>
      </c>
      <c r="C36" t="s">
        <v>19</v>
      </c>
      <c r="D36">
        <v>845</v>
      </c>
      <c r="E36">
        <v>54.6666666666666</v>
      </c>
      <c r="F36">
        <v>12.737739202856901</v>
      </c>
      <c r="G36" s="4">
        <v>9.5555555555555554</v>
      </c>
      <c r="H36" s="2">
        <v>2.2422706745122851</v>
      </c>
      <c r="I36" s="2">
        <v>4694.1111111111113</v>
      </c>
      <c r="J36" s="2">
        <v>1498.4488183154981</v>
      </c>
      <c r="K36" s="2">
        <v>495.39990102490111</v>
      </c>
      <c r="L36" s="2">
        <v>129.56290771039991</v>
      </c>
      <c r="M36" s="2">
        <v>10.92341958249088</v>
      </c>
      <c r="N36" s="2">
        <v>1.303317669125573</v>
      </c>
      <c r="O36" s="2">
        <v>18.111111111111111</v>
      </c>
      <c r="P36" s="2">
        <v>4.6755867130351794</v>
      </c>
      <c r="Q36" s="2">
        <v>1.666666666666667</v>
      </c>
      <c r="R36" s="2">
        <v>1.1180339887498949</v>
      </c>
      <c r="S36" s="2">
        <v>1173.8888888888889</v>
      </c>
      <c r="T36" s="2">
        <v>1651.980360389043</v>
      </c>
      <c r="U36" s="2">
        <v>586.7037037037037</v>
      </c>
      <c r="V36" s="2">
        <v>306.79237434589231</v>
      </c>
      <c r="W36" s="2">
        <v>43.881084312283669</v>
      </c>
      <c r="X36" s="2">
        <v>15.94692194746823</v>
      </c>
      <c r="Y36" s="8">
        <f>G36/(E36+G36)</f>
        <v>0.14878892733564028</v>
      </c>
      <c r="Z36" s="8">
        <f>Q36/(E36+Q36)</f>
        <v>2.9585798816568087E-2</v>
      </c>
    </row>
    <row r="37" spans="2:26" x14ac:dyDescent="0.2">
      <c r="B37" t="s">
        <v>31</v>
      </c>
      <c r="C37" t="s">
        <v>19</v>
      </c>
      <c r="D37">
        <v>1245</v>
      </c>
      <c r="E37">
        <v>574.42857142857099</v>
      </c>
      <c r="F37">
        <v>167.92444446124799</v>
      </c>
      <c r="G37" s="5">
        <v>11.857142857142859</v>
      </c>
      <c r="H37" s="2">
        <v>4.8452234702013977</v>
      </c>
      <c r="I37" s="2">
        <v>3771.1428571428569</v>
      </c>
      <c r="J37" s="2">
        <v>1045.4270943130421</v>
      </c>
      <c r="K37" s="2">
        <v>342.85736961451249</v>
      </c>
      <c r="L37" s="2">
        <v>106.496580606534</v>
      </c>
      <c r="M37" s="2">
        <v>12.80632472073281</v>
      </c>
      <c r="N37" s="2">
        <v>3.0952476336034258</v>
      </c>
      <c r="O37" s="2">
        <v>453.71428571428572</v>
      </c>
      <c r="P37" s="2">
        <v>66.208544981531105</v>
      </c>
      <c r="Q37" s="2">
        <v>69.285714285714292</v>
      </c>
      <c r="R37" s="2">
        <v>17.660825629193049</v>
      </c>
      <c r="S37" s="2">
        <v>31812.142857142859</v>
      </c>
      <c r="T37" s="2">
        <v>9273.0344445345272</v>
      </c>
      <c r="U37" s="2">
        <v>462.04776998698441</v>
      </c>
      <c r="V37" s="2">
        <v>90.715017966401618</v>
      </c>
      <c r="W37" s="2">
        <v>7.2650801619197889</v>
      </c>
      <c r="X37" s="2">
        <v>0.32172040375337507</v>
      </c>
      <c r="Y37" s="8">
        <f t="shared" ref="Y37:Y43" si="3">G37/(E37+G37)</f>
        <v>2.022417153996103E-2</v>
      </c>
      <c r="Z37" s="8">
        <f t="shared" ref="Z37:Z43" si="4">Q37/(E37+Q37)</f>
        <v>0.10763426542387934</v>
      </c>
    </row>
    <row r="38" spans="2:26" ht="16" thickBot="1" x14ac:dyDescent="0.25">
      <c r="B38" t="s">
        <v>31</v>
      </c>
      <c r="C38" t="s">
        <v>19</v>
      </c>
      <c r="D38" t="s">
        <v>21</v>
      </c>
      <c r="E38">
        <v>845.83333333333303</v>
      </c>
      <c r="F38">
        <v>574.21055952208496</v>
      </c>
      <c r="G38" s="6">
        <v>66.166666666666671</v>
      </c>
      <c r="H38" s="2">
        <v>23.068737864622481</v>
      </c>
      <c r="I38" s="2">
        <v>18927.166666666672</v>
      </c>
      <c r="J38" s="2">
        <v>6428.656357798779</v>
      </c>
      <c r="K38" s="2">
        <v>287.82306807103168</v>
      </c>
      <c r="L38" s="2">
        <v>42.496586109690107</v>
      </c>
      <c r="M38" s="2">
        <v>7.1538334284406817</v>
      </c>
      <c r="N38" s="2">
        <v>0.57194027180617391</v>
      </c>
      <c r="O38" s="2">
        <v>360.16666666666669</v>
      </c>
      <c r="P38" s="2">
        <v>240.8405419913073</v>
      </c>
      <c r="Q38" s="2">
        <v>62.666666666666657</v>
      </c>
      <c r="R38" s="2">
        <v>47.638919663093397</v>
      </c>
      <c r="S38" s="2">
        <v>38687.666666666657</v>
      </c>
      <c r="T38" s="2">
        <v>24328.09880501694</v>
      </c>
      <c r="U38" s="2">
        <v>648.87132083484471</v>
      </c>
      <c r="V38" s="2">
        <v>94.421237801008758</v>
      </c>
      <c r="W38" s="2">
        <v>6.7471140448509006</v>
      </c>
      <c r="X38" s="2">
        <v>0.67378923059133089</v>
      </c>
      <c r="Y38" s="8">
        <f t="shared" si="3"/>
        <v>7.2551169590643311E-2</v>
      </c>
      <c r="Z38" s="8">
        <f t="shared" si="4"/>
        <v>6.897816914327648E-2</v>
      </c>
    </row>
    <row r="39" spans="2:26" x14ac:dyDescent="0.2">
      <c r="B39" t="s">
        <v>31</v>
      </c>
      <c r="C39" t="s">
        <v>23</v>
      </c>
      <c r="D39" t="s">
        <v>25</v>
      </c>
      <c r="E39">
        <v>966.85714285714198</v>
      </c>
      <c r="F39">
        <v>385.23561126987698</v>
      </c>
      <c r="G39" s="2">
        <v>18.714285714285719</v>
      </c>
      <c r="H39" s="2">
        <v>4.0296519996266724</v>
      </c>
      <c r="I39" s="2">
        <v>6461.5714285714284</v>
      </c>
      <c r="J39" s="2">
        <v>1286.040545906033</v>
      </c>
      <c r="K39" s="2">
        <v>350.22815934065932</v>
      </c>
      <c r="L39" s="2">
        <v>56.218497760532827</v>
      </c>
      <c r="M39" s="2">
        <v>8.8570966727980949</v>
      </c>
      <c r="N39" s="2">
        <v>0.64411607785072778</v>
      </c>
      <c r="O39" s="2">
        <v>492.71428571428572</v>
      </c>
      <c r="P39" s="2">
        <v>139.19137220114649</v>
      </c>
      <c r="Q39" s="4">
        <v>20</v>
      </c>
      <c r="R39" s="2">
        <v>6.5828058860438334</v>
      </c>
      <c r="S39" s="2">
        <v>11813.857142857139</v>
      </c>
      <c r="T39" s="2">
        <v>5143.2429273293919</v>
      </c>
      <c r="U39" s="2">
        <v>584.19761710511716</v>
      </c>
      <c r="V39" s="2">
        <v>120.27974636395091</v>
      </c>
      <c r="W39" s="2">
        <v>7.9860114771377519</v>
      </c>
      <c r="X39" s="2">
        <v>1.2257131584332679</v>
      </c>
      <c r="Y39" s="8">
        <f t="shared" si="3"/>
        <v>1.8988259167995385E-2</v>
      </c>
      <c r="Z39" s="8">
        <f t="shared" si="4"/>
        <v>2.0266357845975698E-2</v>
      </c>
    </row>
    <row r="40" spans="2:26" x14ac:dyDescent="0.2">
      <c r="B40" t="s">
        <v>31</v>
      </c>
      <c r="C40" t="s">
        <v>23</v>
      </c>
      <c r="D40" t="s">
        <v>24</v>
      </c>
      <c r="E40">
        <v>492.166666666666</v>
      </c>
      <c r="F40">
        <v>102.89687394020601</v>
      </c>
      <c r="G40" s="2">
        <v>2.5</v>
      </c>
      <c r="H40" s="2">
        <v>0.83666002653407556</v>
      </c>
      <c r="I40" s="2">
        <v>721.66666666666663</v>
      </c>
      <c r="J40" s="2">
        <v>117.72793494607239</v>
      </c>
      <c r="K40" s="2">
        <v>300.6805555555556</v>
      </c>
      <c r="L40" s="2">
        <v>46.153861541426693</v>
      </c>
      <c r="M40" s="2">
        <v>26.65470514268112</v>
      </c>
      <c r="N40" s="2">
        <v>5.323370936204161</v>
      </c>
      <c r="O40" s="2">
        <v>115.8333333333333</v>
      </c>
      <c r="P40" s="2">
        <v>24.47379551002799</v>
      </c>
      <c r="Q40" s="5">
        <v>22.166666666666671</v>
      </c>
      <c r="R40" s="2">
        <v>3.868677637987775</v>
      </c>
      <c r="S40" s="2">
        <v>7314</v>
      </c>
      <c r="T40" s="2">
        <v>1993.8035008495699</v>
      </c>
      <c r="U40" s="2">
        <v>327.30759109311742</v>
      </c>
      <c r="V40" s="2">
        <v>58.301142292280602</v>
      </c>
      <c r="W40" s="2">
        <v>8.0655536276077431</v>
      </c>
      <c r="X40" s="2">
        <v>0.4326567531815963</v>
      </c>
      <c r="Y40" s="8">
        <f t="shared" si="3"/>
        <v>5.0539083557951548E-3</v>
      </c>
      <c r="Z40" s="8">
        <f t="shared" si="4"/>
        <v>4.3097861309138105E-2</v>
      </c>
    </row>
    <row r="41" spans="2:26" x14ac:dyDescent="0.2">
      <c r="B41" t="s">
        <v>31</v>
      </c>
      <c r="C41" t="s">
        <v>26</v>
      </c>
      <c r="D41" t="s">
        <v>28</v>
      </c>
      <c r="E41">
        <v>330.85714285714198</v>
      </c>
      <c r="F41">
        <v>146.77014747718999</v>
      </c>
      <c r="G41" s="2">
        <v>4.4285714285714288</v>
      </c>
      <c r="H41" s="2">
        <v>1.8126539343499311</v>
      </c>
      <c r="I41" s="2">
        <v>1105.714285714286</v>
      </c>
      <c r="J41" s="2">
        <v>335.56306624622948</v>
      </c>
      <c r="K41" s="2">
        <v>264.1292517006803</v>
      </c>
      <c r="L41" s="2">
        <v>52.400758912514753</v>
      </c>
      <c r="M41" s="2">
        <v>19.51445382759411</v>
      </c>
      <c r="N41" s="2">
        <v>5.9051653917669089</v>
      </c>
      <c r="O41" s="2">
        <v>84.714285714285708</v>
      </c>
      <c r="P41" s="2">
        <v>18.181623375579768</v>
      </c>
      <c r="Q41" s="5">
        <v>13.71428571428571</v>
      </c>
      <c r="R41" s="2">
        <v>3.8172540616821111</v>
      </c>
      <c r="S41" s="2">
        <v>4953.7142857142853</v>
      </c>
      <c r="T41" s="2">
        <v>1231.1534854606491</v>
      </c>
      <c r="U41" s="2">
        <v>376.24531889678951</v>
      </c>
      <c r="V41" s="2">
        <v>100.55795217443939</v>
      </c>
      <c r="W41" s="2">
        <v>9.9281205421978456</v>
      </c>
      <c r="X41" s="2">
        <v>1.3668703148860111</v>
      </c>
      <c r="Y41" s="8">
        <f t="shared" si="3"/>
        <v>1.3208351086493431E-2</v>
      </c>
      <c r="Z41" s="8">
        <f t="shared" si="4"/>
        <v>3.9800995024875711E-2</v>
      </c>
    </row>
    <row r="42" spans="2:26" x14ac:dyDescent="0.2">
      <c r="B42" t="s">
        <v>31</v>
      </c>
      <c r="C42" t="s">
        <v>26</v>
      </c>
      <c r="D42" t="s">
        <v>27</v>
      </c>
      <c r="E42">
        <v>526.33333333333303</v>
      </c>
      <c r="F42">
        <v>175.106443818229</v>
      </c>
      <c r="G42" s="2">
        <v>3.166666666666667</v>
      </c>
      <c r="H42" s="2">
        <v>1.602081978759722</v>
      </c>
      <c r="I42" s="2">
        <v>810.66666666666663</v>
      </c>
      <c r="J42" s="2">
        <v>169.7382298324884</v>
      </c>
      <c r="K42" s="2">
        <v>284.5555555555556</v>
      </c>
      <c r="L42" s="2">
        <v>72.310108918821655</v>
      </c>
      <c r="M42" s="2">
        <v>24.720666070240171</v>
      </c>
      <c r="N42" s="2">
        <v>6.519568126231996</v>
      </c>
      <c r="O42" s="2">
        <v>124.6666666666667</v>
      </c>
      <c r="P42" s="2">
        <v>25.578636919637969</v>
      </c>
      <c r="Q42" s="5">
        <v>12</v>
      </c>
      <c r="R42" s="2">
        <v>5.0990195135927836</v>
      </c>
      <c r="S42" s="2">
        <v>3678.833333333333</v>
      </c>
      <c r="T42" s="2">
        <v>1447.808746577623</v>
      </c>
      <c r="U42" s="2">
        <v>320.8</v>
      </c>
      <c r="V42" s="2">
        <v>103.0605259058967</v>
      </c>
      <c r="W42" s="2">
        <v>10.63842143640683</v>
      </c>
      <c r="X42" s="2">
        <v>2.6716395519023188</v>
      </c>
      <c r="Y42" s="8">
        <f t="shared" si="3"/>
        <v>5.9804847340258153E-3</v>
      </c>
      <c r="Z42" s="8">
        <f t="shared" si="4"/>
        <v>2.2291021671826637E-2</v>
      </c>
    </row>
    <row r="43" spans="2:26" ht="16" thickBot="1" x14ac:dyDescent="0.25">
      <c r="B43" t="s">
        <v>31</v>
      </c>
      <c r="C43" t="s">
        <v>29</v>
      </c>
      <c r="D43" t="s">
        <v>30</v>
      </c>
      <c r="E43">
        <v>333</v>
      </c>
      <c r="F43">
        <v>71.833139984271796</v>
      </c>
      <c r="G43" s="2">
        <v>4.1428571428571432</v>
      </c>
      <c r="H43" s="2">
        <v>1.7728105208558369</v>
      </c>
      <c r="I43" s="2">
        <v>924.71428571428567</v>
      </c>
      <c r="J43" s="2">
        <v>257.26750946936812</v>
      </c>
      <c r="K43" s="2">
        <v>239.73979591836741</v>
      </c>
      <c r="L43" s="2">
        <v>61.38561868421565</v>
      </c>
      <c r="M43" s="2">
        <v>19.688092971843879</v>
      </c>
      <c r="N43" s="2">
        <v>5.1571320395760862</v>
      </c>
      <c r="O43" s="2">
        <v>117.28571428571431</v>
      </c>
      <c r="P43" s="2">
        <v>18.49066688642575</v>
      </c>
      <c r="Q43" s="6">
        <v>15.428571428571431</v>
      </c>
      <c r="R43" s="2">
        <v>4.6496287614225311</v>
      </c>
      <c r="S43" s="2">
        <v>5630.2857142857147</v>
      </c>
      <c r="T43" s="2">
        <v>1828.109562205879</v>
      </c>
      <c r="U43" s="2">
        <v>364.91034917463492</v>
      </c>
      <c r="V43" s="2">
        <v>46.960663662867887</v>
      </c>
      <c r="W43" s="2">
        <v>9.3586986865017501</v>
      </c>
      <c r="X43" s="2">
        <v>0.72569456892114825</v>
      </c>
      <c r="Y43" s="8">
        <f t="shared" si="3"/>
        <v>1.228813559322034E-2</v>
      </c>
      <c r="Z43" s="8">
        <f t="shared" si="4"/>
        <v>4.4280442804428048E-2</v>
      </c>
    </row>
    <row r="45" spans="2:26" ht="16" thickBot="1" x14ac:dyDescent="0.25">
      <c r="D45" t="s">
        <v>32</v>
      </c>
      <c r="H45" t="s">
        <v>33</v>
      </c>
    </row>
    <row r="46" spans="2:26" x14ac:dyDescent="0.2">
      <c r="E46" s="4">
        <v>92.714285714285708</v>
      </c>
      <c r="F46" s="4">
        <v>9.5555555555555554</v>
      </c>
      <c r="H46" s="9">
        <f>Y25</f>
        <v>0.35310119695321118</v>
      </c>
      <c r="I46" s="9">
        <f>Y36</f>
        <v>0.14878892733564028</v>
      </c>
    </row>
    <row r="47" spans="2:26" x14ac:dyDescent="0.2">
      <c r="E47" s="5">
        <v>62</v>
      </c>
      <c r="F47" s="5">
        <v>11.857142857142859</v>
      </c>
      <c r="H47" s="9">
        <f t="shared" ref="H47:I48" si="5">Y26</f>
        <v>0.22120285423037739</v>
      </c>
      <c r="I47" s="9">
        <f t="shared" ref="I47:I48" si="6">Y37</f>
        <v>2.022417153996103E-2</v>
      </c>
    </row>
    <row r="48" spans="2:26" ht="16" thickBot="1" x14ac:dyDescent="0.25">
      <c r="E48" s="6">
        <v>77.666666666666671</v>
      </c>
      <c r="F48" s="6">
        <v>66.166666666666671</v>
      </c>
      <c r="H48" s="9">
        <f>Y27</f>
        <v>0.11696787148594384</v>
      </c>
      <c r="I48" s="9">
        <f>Y38</f>
        <v>7.2551169590643311E-2</v>
      </c>
    </row>
    <row r="49" spans="5:9" x14ac:dyDescent="0.2">
      <c r="E49" s="4">
        <v>60.375</v>
      </c>
      <c r="F49" s="4">
        <v>20</v>
      </c>
      <c r="H49" s="9">
        <f>Z28</f>
        <v>0.11925925925925926</v>
      </c>
      <c r="I49" s="9">
        <f>Z39</f>
        <v>2.0266357845975698E-2</v>
      </c>
    </row>
    <row r="50" spans="5:9" x14ac:dyDescent="0.2">
      <c r="E50" s="5">
        <v>20.714285714285719</v>
      </c>
      <c r="F50" s="5">
        <v>22.166666666666671</v>
      </c>
      <c r="H50" s="9">
        <f t="shared" ref="H50:H53" si="7">Z29</f>
        <v>0.3236607142857148</v>
      </c>
      <c r="I50" s="9">
        <f t="shared" ref="I50:I53" si="8">Z40</f>
        <v>4.3097861309138105E-2</v>
      </c>
    </row>
    <row r="51" spans="5:9" x14ac:dyDescent="0.2">
      <c r="E51" s="5">
        <v>25.428571428571431</v>
      </c>
      <c r="F51" s="5">
        <v>13.71428571428571</v>
      </c>
      <c r="H51" s="9">
        <f t="shared" si="7"/>
        <v>0.14424635332252908</v>
      </c>
      <c r="I51" s="9">
        <f t="shared" si="8"/>
        <v>3.9800995024875711E-2</v>
      </c>
    </row>
    <row r="52" spans="5:9" x14ac:dyDescent="0.2">
      <c r="E52" s="5">
        <v>36.833333333333343</v>
      </c>
      <c r="F52" s="5">
        <v>12</v>
      </c>
      <c r="H52" s="9">
        <f t="shared" si="7"/>
        <v>0.24285714285714344</v>
      </c>
      <c r="I52" s="9">
        <f t="shared" si="8"/>
        <v>2.2291021671826637E-2</v>
      </c>
    </row>
    <row r="53" spans="5:9" ht="16" thickBot="1" x14ac:dyDescent="0.25">
      <c r="E53" s="6">
        <v>23.142857142857139</v>
      </c>
      <c r="F53" s="6">
        <v>15.428571428571431</v>
      </c>
      <c r="H53" s="9">
        <f t="shared" si="7"/>
        <v>0.22720897615708277</v>
      </c>
      <c r="I53" s="9">
        <f t="shared" si="8"/>
        <v>4.4280442804428048E-2</v>
      </c>
    </row>
  </sheetData>
  <mergeCells count="20">
    <mergeCell ref="G1:H1"/>
    <mergeCell ref="E1:F1"/>
    <mergeCell ref="K1:L1"/>
    <mergeCell ref="S1:T1"/>
    <mergeCell ref="W1:X1"/>
    <mergeCell ref="U1:V1"/>
    <mergeCell ref="O1:P1"/>
    <mergeCell ref="M1:N1"/>
    <mergeCell ref="I1:J1"/>
    <mergeCell ref="Q1:R1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9453-C252-8B4D-B1E7-3F51E29CC9EC}">
  <dimension ref="A1:Z53"/>
  <sheetViews>
    <sheetView workbookViewId="0">
      <selection sqref="A1:XFD1048576"/>
    </sheetView>
  </sheetViews>
  <sheetFormatPr baseColWidth="10" defaultColWidth="8.83203125" defaultRowHeight="15" x14ac:dyDescent="0.2"/>
  <cols>
    <col min="3" max="3" width="16" customWidth="1"/>
    <col min="5" max="5" width="11.33203125" customWidth="1"/>
  </cols>
  <sheetData>
    <row r="1" spans="1:24" x14ac:dyDescent="0.2">
      <c r="A1" s="1"/>
      <c r="B1" s="1" t="s">
        <v>0</v>
      </c>
      <c r="C1" s="1" t="s">
        <v>1</v>
      </c>
      <c r="D1" s="1" t="s">
        <v>2</v>
      </c>
      <c r="E1" s="10" t="s">
        <v>3</v>
      </c>
      <c r="F1" s="10"/>
      <c r="G1" s="10" t="s">
        <v>4</v>
      </c>
      <c r="H1" s="10"/>
      <c r="I1" s="10" t="s">
        <v>5</v>
      </c>
      <c r="J1" s="10"/>
      <c r="K1" s="10" t="s">
        <v>6</v>
      </c>
      <c r="L1" s="10"/>
      <c r="M1" s="10" t="s">
        <v>7</v>
      </c>
      <c r="N1" s="10"/>
      <c r="O1" s="10" t="s">
        <v>8</v>
      </c>
      <c r="P1" s="10"/>
      <c r="Q1" s="10" t="s">
        <v>9</v>
      </c>
      <c r="R1" s="10"/>
      <c r="S1" s="10" t="s">
        <v>10</v>
      </c>
      <c r="T1" s="10"/>
      <c r="U1" s="10" t="s">
        <v>11</v>
      </c>
      <c r="V1" s="10"/>
      <c r="W1" s="10" t="s">
        <v>12</v>
      </c>
      <c r="X1" s="10"/>
    </row>
    <row r="2" spans="1:24" x14ac:dyDescent="0.2">
      <c r="A2" s="1"/>
      <c r="B2" s="1"/>
      <c r="C2" s="1"/>
      <c r="D2" s="1"/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</row>
    <row r="4" spans="1:24" x14ac:dyDescent="0.2">
      <c r="A4" s="1">
        <v>0</v>
      </c>
      <c r="B4" t="s">
        <v>15</v>
      </c>
      <c r="C4" t="s">
        <v>16</v>
      </c>
      <c r="D4" t="s">
        <v>17</v>
      </c>
      <c r="E4" s="2">
        <v>120</v>
      </c>
      <c r="F4" s="2">
        <v>42.027202075390591</v>
      </c>
      <c r="G4" s="2">
        <v>32.625</v>
      </c>
      <c r="H4" s="2">
        <v>18.615949382950401</v>
      </c>
      <c r="I4" s="2">
        <v>19260.5</v>
      </c>
      <c r="J4" s="2">
        <v>11882.267231948141</v>
      </c>
      <c r="K4" s="2">
        <v>601.33854359364807</v>
      </c>
      <c r="L4" s="2">
        <v>129.43349932322911</v>
      </c>
      <c r="M4" s="2">
        <v>10.04945726617512</v>
      </c>
      <c r="N4" s="2">
        <v>3.0719223133736531</v>
      </c>
      <c r="O4" s="2">
        <v>214.25</v>
      </c>
      <c r="P4" s="2">
        <v>157.65038172216029</v>
      </c>
      <c r="Q4" s="2">
        <v>9.125</v>
      </c>
      <c r="R4" s="2">
        <v>5.4625347334626362</v>
      </c>
      <c r="S4" s="2">
        <v>7954.375</v>
      </c>
      <c r="T4" s="2">
        <v>9709.7462367531971</v>
      </c>
      <c r="U4" s="2">
        <v>793.13601190476197</v>
      </c>
      <c r="V4" s="2">
        <v>718.0885805512014</v>
      </c>
      <c r="W4" s="2">
        <v>18.113412109431739</v>
      </c>
      <c r="X4" s="2">
        <v>15.180317224394321</v>
      </c>
    </row>
    <row r="5" spans="1:24" x14ac:dyDescent="0.2">
      <c r="A5" s="1">
        <v>1</v>
      </c>
      <c r="B5" t="s">
        <v>18</v>
      </c>
      <c r="C5" t="s">
        <v>19</v>
      </c>
      <c r="D5" t="s">
        <v>20</v>
      </c>
      <c r="E5" s="2">
        <v>119.8571428571429</v>
      </c>
      <c r="F5" s="2">
        <v>56.200321978403203</v>
      </c>
      <c r="G5" s="2">
        <v>62</v>
      </c>
      <c r="H5" s="2">
        <v>27.061657993059729</v>
      </c>
      <c r="I5" s="2">
        <v>15331.571428571429</v>
      </c>
      <c r="J5" s="2">
        <v>7162.2707492606196</v>
      </c>
      <c r="K5" s="2">
        <v>238.15936405740391</v>
      </c>
      <c r="L5" s="2">
        <v>36.167231214673123</v>
      </c>
      <c r="M5" s="2">
        <v>9.3488283196963966</v>
      </c>
      <c r="N5" s="2">
        <v>2.950343648422491</v>
      </c>
      <c r="O5" s="2">
        <v>434.57142857142861</v>
      </c>
      <c r="P5" s="2">
        <v>128.11564716153549</v>
      </c>
      <c r="Q5" s="2">
        <v>78.571428571428569</v>
      </c>
      <c r="R5" s="2">
        <v>22.142396308568639</v>
      </c>
      <c r="S5" s="2">
        <v>41501.857142857138</v>
      </c>
      <c r="T5" s="2">
        <v>13932.455687214309</v>
      </c>
      <c r="U5" s="2">
        <v>528.9989914301625</v>
      </c>
      <c r="V5" s="2">
        <v>129.11225314110561</v>
      </c>
      <c r="W5" s="2">
        <v>7.5828208323471697</v>
      </c>
      <c r="X5" s="2">
        <v>0.49582423350868632</v>
      </c>
    </row>
    <row r="6" spans="1:24" x14ac:dyDescent="0.2">
      <c r="A6" s="1">
        <v>2</v>
      </c>
      <c r="B6" t="s">
        <v>18</v>
      </c>
      <c r="C6" t="s">
        <v>19</v>
      </c>
      <c r="D6" t="s">
        <v>21</v>
      </c>
      <c r="E6" s="2">
        <v>349</v>
      </c>
      <c r="F6" s="2">
        <v>84.779714554839117</v>
      </c>
      <c r="G6" s="2">
        <v>77.666666666666671</v>
      </c>
      <c r="H6" s="2">
        <v>31.60801586095949</v>
      </c>
      <c r="I6" s="2">
        <v>20296.166666666672</v>
      </c>
      <c r="J6" s="2">
        <v>10543.768537229311</v>
      </c>
      <c r="K6" s="2">
        <v>252.90866942500091</v>
      </c>
      <c r="L6" s="2">
        <v>27.863909716549571</v>
      </c>
      <c r="M6" s="2">
        <v>6.9644990602096044</v>
      </c>
      <c r="N6" s="2">
        <v>0.31943615788179469</v>
      </c>
      <c r="O6" s="2">
        <v>1003.333333333333</v>
      </c>
      <c r="P6" s="2">
        <v>233.8389759357209</v>
      </c>
      <c r="Q6" s="2">
        <v>39.5</v>
      </c>
      <c r="R6" s="2">
        <v>9.710818709048171</v>
      </c>
      <c r="S6" s="2">
        <v>34565.166666666657</v>
      </c>
      <c r="T6" s="2">
        <v>14684.04766291184</v>
      </c>
      <c r="U6" s="2">
        <v>876.21014727826241</v>
      </c>
      <c r="V6" s="2">
        <v>363.8466649062475</v>
      </c>
      <c r="W6" s="2">
        <v>6.4564055706104639</v>
      </c>
      <c r="X6" s="2">
        <v>0.29858194483992212</v>
      </c>
    </row>
    <row r="7" spans="1:24" x14ac:dyDescent="0.2">
      <c r="A7" s="1">
        <v>3</v>
      </c>
      <c r="B7" t="s">
        <v>18</v>
      </c>
      <c r="C7" t="s">
        <v>19</v>
      </c>
      <c r="D7" t="s">
        <v>22</v>
      </c>
      <c r="E7" s="2">
        <v>483</v>
      </c>
      <c r="F7" s="2">
        <v>120.32456108376211</v>
      </c>
      <c r="G7" s="2">
        <v>92.714285714285708</v>
      </c>
      <c r="H7" s="2">
        <v>47.612023291441439</v>
      </c>
      <c r="I7" s="2">
        <v>30101.71428571429</v>
      </c>
      <c r="J7" s="2">
        <v>14809.722524007509</v>
      </c>
      <c r="K7" s="2">
        <v>328.76105183469429</v>
      </c>
      <c r="L7" s="2">
        <v>88.302052618618575</v>
      </c>
      <c r="M7" s="2">
        <v>6.5819665109903456</v>
      </c>
      <c r="N7" s="2">
        <v>0.26579747937427278</v>
      </c>
      <c r="O7" s="2">
        <v>221</v>
      </c>
      <c r="P7" s="2">
        <v>122.8725627089574</v>
      </c>
      <c r="Q7" s="2">
        <v>8</v>
      </c>
      <c r="R7" s="2">
        <v>6.3770421565696642</v>
      </c>
      <c r="S7" s="2">
        <v>5812</v>
      </c>
      <c r="T7" s="2">
        <v>5186.1277783461264</v>
      </c>
      <c r="U7" s="2">
        <v>695.17077515216613</v>
      </c>
      <c r="V7" s="2">
        <v>225.21155120857651</v>
      </c>
      <c r="W7" s="2">
        <v>18.95551193113695</v>
      </c>
      <c r="X7" s="2">
        <v>16.306883074565881</v>
      </c>
    </row>
    <row r="8" spans="1:24" x14ac:dyDescent="0.2">
      <c r="A8" s="1">
        <v>4</v>
      </c>
      <c r="B8" t="s">
        <v>18</v>
      </c>
      <c r="C8" t="s">
        <v>23</v>
      </c>
      <c r="D8" t="s">
        <v>24</v>
      </c>
      <c r="E8" s="2">
        <v>4</v>
      </c>
      <c r="F8" s="2">
        <v>2.0816659994661331</v>
      </c>
      <c r="G8" s="2">
        <v>1.428571428571429</v>
      </c>
      <c r="H8" s="2">
        <v>1.1338934190276819</v>
      </c>
      <c r="I8" s="2">
        <v>600.42857142857144</v>
      </c>
      <c r="J8" s="2">
        <v>202.21099305993661</v>
      </c>
      <c r="K8" s="2">
        <v>486.96428571428572</v>
      </c>
      <c r="L8" s="2">
        <v>97.987289627642156</v>
      </c>
      <c r="M8" s="2">
        <v>49.484629208068313</v>
      </c>
      <c r="N8" s="2">
        <v>12.861627535456851</v>
      </c>
      <c r="O8" s="2">
        <v>88.142857142857139</v>
      </c>
      <c r="P8" s="2">
        <v>36.929791819200993</v>
      </c>
      <c r="Q8" s="2">
        <v>20.714285714285719</v>
      </c>
      <c r="R8" s="2">
        <v>11.42678557475498</v>
      </c>
      <c r="S8" s="2">
        <v>4727</v>
      </c>
      <c r="T8" s="2">
        <v>3213.3121541487371</v>
      </c>
      <c r="U8" s="2">
        <v>223.6123308064484</v>
      </c>
      <c r="V8" s="2">
        <v>55.689415489595241</v>
      </c>
      <c r="W8" s="2">
        <v>9.5973320947365615</v>
      </c>
      <c r="X8" s="2">
        <v>1.9749397913427731</v>
      </c>
    </row>
    <row r="9" spans="1:24" x14ac:dyDescent="0.2">
      <c r="A9" s="1">
        <v>5</v>
      </c>
      <c r="B9" t="s">
        <v>18</v>
      </c>
      <c r="C9" t="s">
        <v>23</v>
      </c>
      <c r="D9" t="s">
        <v>25</v>
      </c>
      <c r="E9" s="2">
        <v>78.25</v>
      </c>
      <c r="F9" s="2">
        <v>20.817231873069549</v>
      </c>
      <c r="G9" s="2">
        <v>13.25</v>
      </c>
      <c r="H9" s="2">
        <v>4.4320263021395911</v>
      </c>
      <c r="I9" s="2">
        <v>3075.875</v>
      </c>
      <c r="J9" s="2">
        <v>1009.6991684230931</v>
      </c>
      <c r="K9" s="2">
        <v>234.4922791185852</v>
      </c>
      <c r="L9" s="2">
        <v>29.689758250581001</v>
      </c>
      <c r="M9" s="2">
        <v>10.62402581955681</v>
      </c>
      <c r="N9" s="2">
        <v>1.7303280976041779</v>
      </c>
      <c r="O9" s="2">
        <v>571.375</v>
      </c>
      <c r="P9" s="2">
        <v>96.494170808396518</v>
      </c>
      <c r="Q9" s="2">
        <v>60.375</v>
      </c>
      <c r="R9" s="2">
        <v>8.6178800840379033</v>
      </c>
      <c r="S9" s="2">
        <v>25149.75</v>
      </c>
      <c r="T9" s="2">
        <v>4937.0472016609874</v>
      </c>
      <c r="U9" s="2">
        <v>424.46657127582301</v>
      </c>
      <c r="V9" s="2">
        <v>113.4417097845773</v>
      </c>
      <c r="W9" s="2">
        <v>6.4147517750547536</v>
      </c>
      <c r="X9" s="2">
        <v>0.2061104306263237</v>
      </c>
    </row>
    <row r="10" spans="1:24" x14ac:dyDescent="0.2">
      <c r="A10" s="1">
        <v>6</v>
      </c>
      <c r="B10" t="s">
        <v>18</v>
      </c>
      <c r="C10" t="s">
        <v>26</v>
      </c>
      <c r="D10" t="s">
        <v>27</v>
      </c>
      <c r="E10" s="2">
        <v>14.16666666666667</v>
      </c>
      <c r="F10" s="2">
        <v>6.5548963887056724</v>
      </c>
      <c r="G10" s="2">
        <v>5.5</v>
      </c>
      <c r="H10" s="2">
        <v>2.5099800796022271</v>
      </c>
      <c r="I10" s="2">
        <v>1240.5</v>
      </c>
      <c r="J10" s="2">
        <v>505.79590745675267</v>
      </c>
      <c r="K10" s="2">
        <v>237.22222222222231</v>
      </c>
      <c r="L10" s="2">
        <v>45.42667066170938</v>
      </c>
      <c r="M10" s="2">
        <v>18.17133082644958</v>
      </c>
      <c r="N10" s="2">
        <v>7.2326171424202652</v>
      </c>
      <c r="O10" s="2">
        <v>185.66666666666671</v>
      </c>
      <c r="P10" s="2">
        <v>61.649547173249097</v>
      </c>
      <c r="Q10" s="2">
        <v>36.833333333333343</v>
      </c>
      <c r="R10" s="2">
        <v>13.991664185030549</v>
      </c>
      <c r="S10" s="2">
        <v>12224.16666666667</v>
      </c>
      <c r="T10" s="2">
        <v>2668.1671174547268</v>
      </c>
      <c r="U10" s="2">
        <v>357.74931489076232</v>
      </c>
      <c r="V10" s="2">
        <v>93.792300997162002</v>
      </c>
      <c r="W10" s="2">
        <v>8.1362352042607728</v>
      </c>
      <c r="X10" s="2">
        <v>1.2649475385378279</v>
      </c>
    </row>
    <row r="11" spans="1:24" x14ac:dyDescent="0.2">
      <c r="A11" s="1">
        <v>7</v>
      </c>
      <c r="B11" t="s">
        <v>18</v>
      </c>
      <c r="C11" t="s">
        <v>26</v>
      </c>
      <c r="D11" t="s">
        <v>28</v>
      </c>
      <c r="E11" s="2">
        <v>28.857142857142861</v>
      </c>
      <c r="F11" s="2">
        <v>13.158375931050809</v>
      </c>
      <c r="G11" s="2">
        <v>9.4285714285714288</v>
      </c>
      <c r="H11" s="2">
        <v>4.5039665058384131</v>
      </c>
      <c r="I11" s="2">
        <v>2041.8571428571429</v>
      </c>
      <c r="J11" s="2">
        <v>1194.5686011515379</v>
      </c>
      <c r="K11" s="2">
        <v>214.55196920873621</v>
      </c>
      <c r="L11" s="2">
        <v>36.311230889561919</v>
      </c>
      <c r="M11" s="2">
        <v>12.409117452509481</v>
      </c>
      <c r="N11" s="2">
        <v>2.3832427398138538</v>
      </c>
      <c r="O11" s="2">
        <v>173.28571428571431</v>
      </c>
      <c r="P11" s="2">
        <v>24.621902754216521</v>
      </c>
      <c r="Q11" s="2">
        <v>25.428571428571431</v>
      </c>
      <c r="R11" s="2">
        <v>10.097147168996839</v>
      </c>
      <c r="S11" s="2">
        <v>11310.28571428571</v>
      </c>
      <c r="T11" s="2">
        <v>5683.1130176540191</v>
      </c>
      <c r="U11" s="2">
        <v>451.35980782881808</v>
      </c>
      <c r="V11" s="2">
        <v>110.2665663468087</v>
      </c>
      <c r="W11" s="2">
        <v>8.8761754885392676</v>
      </c>
      <c r="X11" s="2">
        <v>1.1746129305363029</v>
      </c>
    </row>
    <row r="12" spans="1:24" x14ac:dyDescent="0.2">
      <c r="A12" s="1">
        <v>8</v>
      </c>
      <c r="B12" t="s">
        <v>18</v>
      </c>
      <c r="C12" t="s">
        <v>29</v>
      </c>
      <c r="D12" t="s">
        <v>30</v>
      </c>
      <c r="E12" s="2">
        <v>15.857142857142859</v>
      </c>
      <c r="F12" s="2">
        <v>9.2453334432128766</v>
      </c>
      <c r="G12" s="2">
        <v>7.1428571428571432</v>
      </c>
      <c r="H12" s="2">
        <v>5.3363086938623097</v>
      </c>
      <c r="I12" s="2">
        <v>1434</v>
      </c>
      <c r="J12" s="2">
        <v>918.12163319101319</v>
      </c>
      <c r="K12" s="2">
        <v>215.74166666666659</v>
      </c>
      <c r="L12" s="2">
        <v>33.618334049432718</v>
      </c>
      <c r="M12" s="2">
        <v>16.373185351642238</v>
      </c>
      <c r="N12" s="2">
        <v>4.79776036573901</v>
      </c>
      <c r="O12" s="2">
        <v>121.8571428571429</v>
      </c>
      <c r="P12" s="2">
        <v>31.88222373794197</v>
      </c>
      <c r="Q12" s="2">
        <v>23.142857142857139</v>
      </c>
      <c r="R12" s="2">
        <v>8.802056036869482</v>
      </c>
      <c r="S12" s="2">
        <v>7121.2857142857147</v>
      </c>
      <c r="T12" s="2">
        <v>2067.808317541846</v>
      </c>
      <c r="U12" s="2">
        <v>330.52409741674438</v>
      </c>
      <c r="V12" s="2">
        <v>96.342784142906325</v>
      </c>
      <c r="W12" s="2">
        <v>8.8742778422230355</v>
      </c>
      <c r="X12" s="2">
        <v>1.3063793915330799</v>
      </c>
    </row>
    <row r="13" spans="1:24" x14ac:dyDescent="0.2">
      <c r="A13" s="1">
        <v>9</v>
      </c>
      <c r="B13" t="s">
        <v>31</v>
      </c>
      <c r="C13" t="s">
        <v>19</v>
      </c>
      <c r="D13">
        <v>845</v>
      </c>
      <c r="E13" s="2">
        <v>88.666666666666671</v>
      </c>
      <c r="F13" s="2">
        <v>19.448650338776719</v>
      </c>
      <c r="G13" s="2">
        <v>9.5555555555555554</v>
      </c>
      <c r="H13" s="2">
        <v>2.2422706745122851</v>
      </c>
      <c r="I13" s="2">
        <v>4694.1111111111113</v>
      </c>
      <c r="J13" s="2">
        <v>1498.4488183154981</v>
      </c>
      <c r="K13" s="2">
        <v>495.39990102490111</v>
      </c>
      <c r="L13" s="2">
        <v>129.56290771039991</v>
      </c>
      <c r="M13" s="2">
        <v>10.92341958249088</v>
      </c>
      <c r="N13" s="2">
        <v>1.303317669125573</v>
      </c>
      <c r="O13" s="2">
        <v>18.111111111111111</v>
      </c>
      <c r="P13" s="2">
        <v>4.6755867130351794</v>
      </c>
      <c r="Q13" s="2">
        <v>1.666666666666667</v>
      </c>
      <c r="R13" s="2">
        <v>1.1180339887498949</v>
      </c>
      <c r="S13" s="2">
        <v>1173.8888888888889</v>
      </c>
      <c r="T13" s="2">
        <v>1651.980360389043</v>
      </c>
      <c r="U13" s="2">
        <v>586.7037037037037</v>
      </c>
      <c r="V13" s="2">
        <v>306.79237434589231</v>
      </c>
      <c r="W13" s="2">
        <v>43.881084312283669</v>
      </c>
      <c r="X13" s="2">
        <v>15.94692194746823</v>
      </c>
    </row>
    <row r="14" spans="1:24" x14ac:dyDescent="0.2">
      <c r="A14" s="1">
        <v>10</v>
      </c>
      <c r="B14" t="s">
        <v>31</v>
      </c>
      <c r="C14" t="s">
        <v>19</v>
      </c>
      <c r="D14">
        <v>1245</v>
      </c>
      <c r="E14" s="2">
        <v>32.285714285714278</v>
      </c>
      <c r="F14" s="2">
        <v>14.372592966177971</v>
      </c>
      <c r="G14" s="2">
        <v>11.857142857142859</v>
      </c>
      <c r="H14" s="2">
        <v>4.8452234702013977</v>
      </c>
      <c r="I14" s="2">
        <v>3771.1428571428569</v>
      </c>
      <c r="J14" s="2">
        <v>1045.4270943130421</v>
      </c>
      <c r="K14" s="2">
        <v>342.85736961451249</v>
      </c>
      <c r="L14" s="2">
        <v>106.496580606534</v>
      </c>
      <c r="M14" s="2">
        <v>12.80632472073281</v>
      </c>
      <c r="N14" s="2">
        <v>3.0952476336034258</v>
      </c>
      <c r="O14" s="2">
        <v>453.71428571428572</v>
      </c>
      <c r="P14" s="2">
        <v>66.208544981531105</v>
      </c>
      <c r="Q14" s="2">
        <v>69.285714285714292</v>
      </c>
      <c r="R14" s="2">
        <v>17.660825629193049</v>
      </c>
      <c r="S14" s="2">
        <v>31812.142857142859</v>
      </c>
      <c r="T14" s="2">
        <v>9273.0344445345272</v>
      </c>
      <c r="U14" s="2">
        <v>462.04776998698441</v>
      </c>
      <c r="V14" s="2">
        <v>90.715017966401618</v>
      </c>
      <c r="W14" s="2">
        <v>7.2650801619197889</v>
      </c>
      <c r="X14" s="2">
        <v>0.32172040375337507</v>
      </c>
    </row>
    <row r="15" spans="1:24" x14ac:dyDescent="0.2">
      <c r="A15" s="1">
        <v>11</v>
      </c>
      <c r="B15" t="s">
        <v>31</v>
      </c>
      <c r="C15" t="s">
        <v>19</v>
      </c>
      <c r="D15" t="s">
        <v>21</v>
      </c>
      <c r="E15" s="2">
        <v>164.83333333333329</v>
      </c>
      <c r="F15" s="2">
        <v>50.141466538850523</v>
      </c>
      <c r="G15" s="2">
        <v>66.166666666666671</v>
      </c>
      <c r="H15" s="2">
        <v>23.068737864622481</v>
      </c>
      <c r="I15" s="2">
        <v>18927.166666666672</v>
      </c>
      <c r="J15" s="2">
        <v>6428.656357798779</v>
      </c>
      <c r="K15" s="2">
        <v>287.82306807103168</v>
      </c>
      <c r="L15" s="2">
        <v>42.496586109690107</v>
      </c>
      <c r="M15" s="2">
        <v>7.1538334284406817</v>
      </c>
      <c r="N15" s="2">
        <v>0.57194027180617391</v>
      </c>
      <c r="O15" s="2">
        <v>360.16666666666669</v>
      </c>
      <c r="P15" s="2">
        <v>240.8405419913073</v>
      </c>
      <c r="Q15" s="2">
        <v>62.666666666666657</v>
      </c>
      <c r="R15" s="2">
        <v>47.638919663093397</v>
      </c>
      <c r="S15" s="2">
        <v>38687.666666666657</v>
      </c>
      <c r="T15" s="2">
        <v>24328.09880501694</v>
      </c>
      <c r="U15" s="2">
        <v>648.87132083484471</v>
      </c>
      <c r="V15" s="2">
        <v>94.421237801008758</v>
      </c>
      <c r="W15" s="2">
        <v>6.7471140448509006</v>
      </c>
      <c r="X15" s="2">
        <v>0.67378923059133089</v>
      </c>
    </row>
    <row r="16" spans="1:24" x14ac:dyDescent="0.2">
      <c r="A16" s="1">
        <v>12</v>
      </c>
      <c r="B16" t="s">
        <v>31</v>
      </c>
      <c r="C16" t="s">
        <v>23</v>
      </c>
      <c r="D16" t="s">
        <v>24</v>
      </c>
      <c r="E16" s="2">
        <v>8.6666666666666661</v>
      </c>
      <c r="F16" s="2">
        <v>2.4221202832779931</v>
      </c>
      <c r="G16" s="2">
        <v>2.5</v>
      </c>
      <c r="H16" s="2">
        <v>0.83666002653407556</v>
      </c>
      <c r="I16" s="2">
        <v>721.66666666666663</v>
      </c>
      <c r="J16" s="2">
        <v>117.72793494607239</v>
      </c>
      <c r="K16" s="2">
        <v>300.6805555555556</v>
      </c>
      <c r="L16" s="2">
        <v>46.153861541426693</v>
      </c>
      <c r="M16" s="2">
        <v>26.65470514268112</v>
      </c>
      <c r="N16" s="2">
        <v>5.323370936204161</v>
      </c>
      <c r="O16" s="2">
        <v>115.8333333333333</v>
      </c>
      <c r="P16" s="2">
        <v>24.47379551002799</v>
      </c>
      <c r="Q16" s="2">
        <v>22.166666666666671</v>
      </c>
      <c r="R16" s="2">
        <v>3.868677637987775</v>
      </c>
      <c r="S16" s="2">
        <v>7314</v>
      </c>
      <c r="T16" s="2">
        <v>1993.8035008495699</v>
      </c>
      <c r="U16" s="2">
        <v>327.30759109311742</v>
      </c>
      <c r="V16" s="2">
        <v>58.301142292280602</v>
      </c>
      <c r="W16" s="2">
        <v>8.0655536276077431</v>
      </c>
      <c r="X16" s="2">
        <v>0.4326567531815963</v>
      </c>
    </row>
    <row r="17" spans="1:26" x14ac:dyDescent="0.2">
      <c r="A17" s="1">
        <v>13</v>
      </c>
      <c r="B17" t="s">
        <v>31</v>
      </c>
      <c r="C17" t="s">
        <v>23</v>
      </c>
      <c r="D17" t="s">
        <v>25</v>
      </c>
      <c r="E17" s="2">
        <v>109</v>
      </c>
      <c r="F17" s="2">
        <v>19.866219234335119</v>
      </c>
      <c r="G17" s="2">
        <v>18.714285714285719</v>
      </c>
      <c r="H17" s="2">
        <v>4.0296519996266724</v>
      </c>
      <c r="I17" s="2">
        <v>6461.5714285714284</v>
      </c>
      <c r="J17" s="2">
        <v>1286.040545906033</v>
      </c>
      <c r="K17" s="2">
        <v>350.22815934065932</v>
      </c>
      <c r="L17" s="2">
        <v>56.218497760532827</v>
      </c>
      <c r="M17" s="2">
        <v>8.8570966727980949</v>
      </c>
      <c r="N17" s="2">
        <v>0.64411607785072778</v>
      </c>
      <c r="O17" s="2">
        <v>492.71428571428572</v>
      </c>
      <c r="P17" s="2">
        <v>139.19137220114649</v>
      </c>
      <c r="Q17" s="2">
        <v>20</v>
      </c>
      <c r="R17" s="2">
        <v>6.5828058860438334</v>
      </c>
      <c r="S17" s="2">
        <v>11813.857142857139</v>
      </c>
      <c r="T17" s="2">
        <v>5143.2429273293919</v>
      </c>
      <c r="U17" s="2">
        <v>584.19761710511716</v>
      </c>
      <c r="V17" s="2">
        <v>120.27974636395091</v>
      </c>
      <c r="W17" s="2">
        <v>7.9860114771377519</v>
      </c>
      <c r="X17" s="2">
        <v>1.2257131584332679</v>
      </c>
    </row>
    <row r="18" spans="1:26" x14ac:dyDescent="0.2">
      <c r="A18" s="1">
        <v>14</v>
      </c>
      <c r="B18" t="s">
        <v>31</v>
      </c>
      <c r="C18" t="s">
        <v>26</v>
      </c>
      <c r="D18" t="s">
        <v>27</v>
      </c>
      <c r="E18" s="2">
        <v>9.5</v>
      </c>
      <c r="F18" s="2">
        <v>2.588435821108956</v>
      </c>
      <c r="G18" s="2">
        <v>3.166666666666667</v>
      </c>
      <c r="H18" s="2">
        <v>1.602081978759722</v>
      </c>
      <c r="I18" s="2">
        <v>810.66666666666663</v>
      </c>
      <c r="J18" s="2">
        <v>169.7382298324884</v>
      </c>
      <c r="K18" s="2">
        <v>284.5555555555556</v>
      </c>
      <c r="L18" s="2">
        <v>72.310108918821655</v>
      </c>
      <c r="M18" s="2">
        <v>24.720666070240171</v>
      </c>
      <c r="N18" s="2">
        <v>6.519568126231996</v>
      </c>
      <c r="O18" s="2">
        <v>124.6666666666667</v>
      </c>
      <c r="P18" s="2">
        <v>25.578636919637969</v>
      </c>
      <c r="Q18" s="2">
        <v>12</v>
      </c>
      <c r="R18" s="2">
        <v>5.0990195135927836</v>
      </c>
      <c r="S18" s="2">
        <v>3678.833333333333</v>
      </c>
      <c r="T18" s="2">
        <v>1447.808746577623</v>
      </c>
      <c r="U18" s="2">
        <v>320.8</v>
      </c>
      <c r="V18" s="2">
        <v>103.0605259058967</v>
      </c>
      <c r="W18" s="2">
        <v>10.63842143640683</v>
      </c>
      <c r="X18" s="2">
        <v>2.6716395519023188</v>
      </c>
    </row>
    <row r="19" spans="1:26" x14ac:dyDescent="0.2">
      <c r="A19" s="1">
        <v>15</v>
      </c>
      <c r="B19" t="s">
        <v>31</v>
      </c>
      <c r="C19" t="s">
        <v>26</v>
      </c>
      <c r="D19" t="s">
        <v>28</v>
      </c>
      <c r="E19" s="2">
        <v>15.142857142857141</v>
      </c>
      <c r="F19" s="2">
        <v>4.6342410895626136</v>
      </c>
      <c r="G19" s="2">
        <v>4.4285714285714288</v>
      </c>
      <c r="H19" s="2">
        <v>1.8126539343499311</v>
      </c>
      <c r="I19" s="2">
        <v>1105.714285714286</v>
      </c>
      <c r="J19" s="2">
        <v>335.56306624622948</v>
      </c>
      <c r="K19" s="2">
        <v>264.1292517006803</v>
      </c>
      <c r="L19" s="2">
        <v>52.400758912514753</v>
      </c>
      <c r="M19" s="2">
        <v>19.51445382759411</v>
      </c>
      <c r="N19" s="2">
        <v>5.9051653917669089</v>
      </c>
      <c r="O19" s="2">
        <v>84.714285714285708</v>
      </c>
      <c r="P19" s="2">
        <v>18.181623375579768</v>
      </c>
      <c r="Q19" s="2">
        <v>13.71428571428571</v>
      </c>
      <c r="R19" s="2">
        <v>3.8172540616821111</v>
      </c>
      <c r="S19" s="2">
        <v>4953.7142857142853</v>
      </c>
      <c r="T19" s="2">
        <v>1231.1534854606491</v>
      </c>
      <c r="U19" s="2">
        <v>376.24531889678951</v>
      </c>
      <c r="V19" s="2">
        <v>100.55795217443939</v>
      </c>
      <c r="W19" s="2">
        <v>9.9281205421978456</v>
      </c>
      <c r="X19" s="2">
        <v>1.3668703148860111</v>
      </c>
    </row>
    <row r="20" spans="1:26" x14ac:dyDescent="0.2">
      <c r="A20" s="1">
        <v>16</v>
      </c>
      <c r="B20" t="s">
        <v>31</v>
      </c>
      <c r="C20" t="s">
        <v>29</v>
      </c>
      <c r="D20" t="s">
        <v>30</v>
      </c>
      <c r="E20" s="2">
        <v>19.714285714285719</v>
      </c>
      <c r="F20" s="2">
        <v>9.7247842429242919</v>
      </c>
      <c r="G20" s="2">
        <v>4.1428571428571432</v>
      </c>
      <c r="H20" s="2">
        <v>1.7728105208558369</v>
      </c>
      <c r="I20" s="2">
        <v>924.71428571428567</v>
      </c>
      <c r="J20" s="2">
        <v>257.26750946936812</v>
      </c>
      <c r="K20" s="2">
        <v>239.73979591836741</v>
      </c>
      <c r="L20" s="2">
        <v>61.38561868421565</v>
      </c>
      <c r="M20" s="2">
        <v>19.688092971843879</v>
      </c>
      <c r="N20" s="2">
        <v>5.1571320395760862</v>
      </c>
      <c r="O20" s="2">
        <v>117.28571428571431</v>
      </c>
      <c r="P20" s="2">
        <v>18.49066688642575</v>
      </c>
      <c r="Q20" s="2">
        <v>15.428571428571431</v>
      </c>
      <c r="R20" s="2">
        <v>4.6496287614225311</v>
      </c>
      <c r="S20" s="2">
        <v>5630.2857142857147</v>
      </c>
      <c r="T20" s="2">
        <v>1828.109562205879</v>
      </c>
      <c r="U20" s="2">
        <v>364.91034917463492</v>
      </c>
      <c r="V20" s="2">
        <v>46.960663662867887</v>
      </c>
      <c r="W20" s="2">
        <v>9.3586986865017501</v>
      </c>
      <c r="X20" s="2">
        <v>0.72569456892114825</v>
      </c>
    </row>
    <row r="23" spans="1:26" x14ac:dyDescent="0.2">
      <c r="A23" s="1"/>
      <c r="B23" s="1" t="s">
        <v>0</v>
      </c>
      <c r="C23" s="1" t="s">
        <v>1</v>
      </c>
      <c r="D23" s="1" t="s">
        <v>2</v>
      </c>
      <c r="E23" s="10" t="s">
        <v>3</v>
      </c>
      <c r="F23" s="10"/>
      <c r="G23" s="10" t="s">
        <v>4</v>
      </c>
      <c r="H23" s="10"/>
      <c r="I23" s="10" t="s">
        <v>5</v>
      </c>
      <c r="J23" s="10"/>
      <c r="K23" s="10" t="s">
        <v>6</v>
      </c>
      <c r="L23" s="10"/>
      <c r="M23" s="10" t="s">
        <v>7</v>
      </c>
      <c r="N23" s="10"/>
      <c r="O23" s="10" t="s">
        <v>8</v>
      </c>
      <c r="P23" s="10"/>
      <c r="Q23" s="10" t="s">
        <v>9</v>
      </c>
      <c r="R23" s="10"/>
      <c r="S23" s="10" t="s">
        <v>10</v>
      </c>
      <c r="T23" s="10"/>
      <c r="U23" s="10" t="s">
        <v>11</v>
      </c>
      <c r="V23" s="10"/>
      <c r="W23" s="10" t="s">
        <v>12</v>
      </c>
      <c r="X23" s="10"/>
    </row>
    <row r="24" spans="1:26" ht="16" thickBot="1" x14ac:dyDescent="0.25">
      <c r="A24" s="1"/>
      <c r="B24" s="1"/>
      <c r="C24" s="1"/>
      <c r="D24" s="1"/>
      <c r="E24" s="1" t="s">
        <v>13</v>
      </c>
      <c r="F24" s="1" t="s">
        <v>14</v>
      </c>
      <c r="G24" s="3" t="s">
        <v>13</v>
      </c>
      <c r="H24" s="1" t="s">
        <v>14</v>
      </c>
      <c r="I24" s="1" t="s">
        <v>13</v>
      </c>
      <c r="J24" s="1" t="s">
        <v>14</v>
      </c>
      <c r="K24" s="1" t="s">
        <v>13</v>
      </c>
      <c r="L24" s="1" t="s">
        <v>14</v>
      </c>
      <c r="M24" s="1" t="s">
        <v>13</v>
      </c>
      <c r="N24" s="1" t="s">
        <v>14</v>
      </c>
      <c r="O24" s="1" t="s">
        <v>13</v>
      </c>
      <c r="P24" s="1" t="s">
        <v>14</v>
      </c>
      <c r="Q24" s="1" t="s">
        <v>13</v>
      </c>
      <c r="R24" s="1" t="s">
        <v>14</v>
      </c>
      <c r="S24" s="1" t="s">
        <v>13</v>
      </c>
      <c r="T24" s="1" t="s">
        <v>14</v>
      </c>
      <c r="U24" s="1" t="s">
        <v>13</v>
      </c>
      <c r="V24" s="1" t="s">
        <v>14</v>
      </c>
      <c r="W24" s="1" t="s">
        <v>13</v>
      </c>
      <c r="X24" s="1" t="s">
        <v>14</v>
      </c>
      <c r="Y24" s="7" t="s">
        <v>33</v>
      </c>
    </row>
    <row r="25" spans="1:26" x14ac:dyDescent="0.2">
      <c r="B25" t="s">
        <v>18</v>
      </c>
      <c r="C25" t="s">
        <v>19</v>
      </c>
      <c r="D25" t="s">
        <v>22</v>
      </c>
      <c r="E25" s="2">
        <v>483</v>
      </c>
      <c r="F25" s="2">
        <v>120.32456108376211</v>
      </c>
      <c r="G25" s="4">
        <v>92.714285714285708</v>
      </c>
      <c r="H25" s="2">
        <v>47.612023291441439</v>
      </c>
      <c r="I25" s="2">
        <v>30101.71428571429</v>
      </c>
      <c r="J25" s="2">
        <v>14809.722524007509</v>
      </c>
      <c r="K25" s="2">
        <v>328.76105183469429</v>
      </c>
      <c r="L25" s="2">
        <v>88.302052618618575</v>
      </c>
      <c r="M25" s="2">
        <v>6.5819665109903456</v>
      </c>
      <c r="N25" s="2">
        <v>0.26579747937427278</v>
      </c>
      <c r="O25" s="2">
        <v>221</v>
      </c>
      <c r="P25" s="2">
        <v>122.8725627089574</v>
      </c>
      <c r="Q25" s="2">
        <v>8</v>
      </c>
      <c r="R25" s="2">
        <v>6.3770421565696642</v>
      </c>
      <c r="S25" s="2">
        <v>5812</v>
      </c>
      <c r="T25" s="2">
        <v>5186.1277783461264</v>
      </c>
      <c r="U25" s="2">
        <v>695.17077515216613</v>
      </c>
      <c r="V25" s="2">
        <v>225.21155120857651</v>
      </c>
      <c r="W25" s="2">
        <v>18.95551193113695</v>
      </c>
      <c r="X25" s="2">
        <v>16.306883074565881</v>
      </c>
      <c r="Y25" s="8">
        <f>G25/E25</f>
        <v>0.19195504288671988</v>
      </c>
      <c r="Z25" s="8">
        <f t="shared" ref="Z25:Z27" si="0">Q25/O25</f>
        <v>3.6199095022624438E-2</v>
      </c>
    </row>
    <row r="26" spans="1:26" x14ac:dyDescent="0.2">
      <c r="B26" t="s">
        <v>18</v>
      </c>
      <c r="C26" t="s">
        <v>19</v>
      </c>
      <c r="D26" t="s">
        <v>20</v>
      </c>
      <c r="E26" s="2">
        <v>119.8571428571429</v>
      </c>
      <c r="F26" s="2">
        <v>56.200321978403203</v>
      </c>
      <c r="G26" s="5">
        <v>62</v>
      </c>
      <c r="H26" s="2">
        <v>27.061657993059729</v>
      </c>
      <c r="I26" s="2">
        <v>15331.571428571429</v>
      </c>
      <c r="J26" s="2">
        <v>7162.2707492606196</v>
      </c>
      <c r="K26" s="2">
        <v>238.15936405740391</v>
      </c>
      <c r="L26" s="2">
        <v>36.167231214673123</v>
      </c>
      <c r="M26" s="2">
        <v>9.3488283196963966</v>
      </c>
      <c r="N26" s="2">
        <v>2.950343648422491</v>
      </c>
      <c r="O26" s="2">
        <v>434.57142857142861</v>
      </c>
      <c r="P26" s="2">
        <v>128.11564716153549</v>
      </c>
      <c r="Q26" s="2">
        <v>78.571428571428569</v>
      </c>
      <c r="R26" s="2">
        <v>22.142396308568639</v>
      </c>
      <c r="S26" s="2">
        <v>41501.857142857138</v>
      </c>
      <c r="T26" s="2">
        <v>13932.455687214309</v>
      </c>
      <c r="U26" s="2">
        <v>528.9989914301625</v>
      </c>
      <c r="V26" s="2">
        <v>129.11225314110561</v>
      </c>
      <c r="W26" s="2">
        <v>7.5828208323471697</v>
      </c>
      <c r="X26" s="2">
        <v>0.49582423350868632</v>
      </c>
      <c r="Y26" s="8">
        <f t="shared" ref="Y26:Y32" si="1">G26/E26</f>
        <v>0.51728247914183534</v>
      </c>
      <c r="Z26" s="8">
        <f t="shared" si="0"/>
        <v>0.18080210387902693</v>
      </c>
    </row>
    <row r="27" spans="1:26" ht="16" thickBot="1" x14ac:dyDescent="0.25">
      <c r="B27" t="s">
        <v>18</v>
      </c>
      <c r="C27" t="s">
        <v>19</v>
      </c>
      <c r="D27" t="s">
        <v>21</v>
      </c>
      <c r="E27" s="2">
        <v>349</v>
      </c>
      <c r="F27" s="2">
        <v>84.779714554839117</v>
      </c>
      <c r="G27" s="6">
        <v>77.666666666666671</v>
      </c>
      <c r="H27" s="2">
        <v>31.60801586095949</v>
      </c>
      <c r="I27" s="2">
        <v>20296.166666666672</v>
      </c>
      <c r="J27" s="2">
        <v>10543.768537229311</v>
      </c>
      <c r="K27" s="2">
        <v>252.90866942500091</v>
      </c>
      <c r="L27" s="2">
        <v>27.863909716549571</v>
      </c>
      <c r="M27" s="2">
        <v>6.9644990602096044</v>
      </c>
      <c r="N27" s="2">
        <v>0.31943615788179469</v>
      </c>
      <c r="O27" s="2">
        <v>1003.333333333333</v>
      </c>
      <c r="P27" s="2">
        <v>233.8389759357209</v>
      </c>
      <c r="Q27" s="2">
        <v>39.5</v>
      </c>
      <c r="R27" s="2">
        <v>9.710818709048171</v>
      </c>
      <c r="S27" s="2">
        <v>34565.166666666657</v>
      </c>
      <c r="T27" s="2">
        <v>14684.04766291184</v>
      </c>
      <c r="U27" s="2">
        <v>876.21014727826241</v>
      </c>
      <c r="V27" s="2">
        <v>363.8466649062475</v>
      </c>
      <c r="W27" s="2">
        <v>6.4564055706104639</v>
      </c>
      <c r="X27" s="2">
        <v>0.29858194483992212</v>
      </c>
      <c r="Y27" s="8">
        <f t="shared" si="1"/>
        <v>0.22254059216809935</v>
      </c>
      <c r="Z27" s="8">
        <f t="shared" si="0"/>
        <v>3.9368770764119612E-2</v>
      </c>
    </row>
    <row r="28" spans="1:26" x14ac:dyDescent="0.2">
      <c r="B28" t="s">
        <v>18</v>
      </c>
      <c r="C28" t="s">
        <v>23</v>
      </c>
      <c r="D28" t="s">
        <v>25</v>
      </c>
      <c r="E28" s="2">
        <v>78.25</v>
      </c>
      <c r="F28" s="2">
        <v>20.817231873069549</v>
      </c>
      <c r="G28" s="2">
        <v>13.25</v>
      </c>
      <c r="H28" s="2">
        <v>4.4320263021395911</v>
      </c>
      <c r="I28" s="2">
        <v>3075.875</v>
      </c>
      <c r="J28" s="2">
        <v>1009.6991684230931</v>
      </c>
      <c r="K28" s="2">
        <v>234.4922791185852</v>
      </c>
      <c r="L28" s="2">
        <v>29.689758250581001</v>
      </c>
      <c r="M28" s="2">
        <v>10.62402581955681</v>
      </c>
      <c r="N28" s="2">
        <v>1.7303280976041779</v>
      </c>
      <c r="O28" s="2">
        <v>571.375</v>
      </c>
      <c r="P28" s="2">
        <v>96.494170808396518</v>
      </c>
      <c r="Q28" s="4">
        <v>60.375</v>
      </c>
      <c r="R28" s="2">
        <v>8.6178800840379033</v>
      </c>
      <c r="S28" s="2">
        <v>25149.75</v>
      </c>
      <c r="T28" s="2">
        <v>4937.0472016609874</v>
      </c>
      <c r="U28" s="2">
        <v>424.46657127582301</v>
      </c>
      <c r="V28" s="2">
        <v>113.4417097845773</v>
      </c>
      <c r="W28" s="2">
        <v>6.4147517750547536</v>
      </c>
      <c r="X28" s="2">
        <v>0.2061104306263237</v>
      </c>
      <c r="Y28" s="8">
        <f t="shared" si="1"/>
        <v>0.16932907348242812</v>
      </c>
      <c r="Z28" s="8">
        <f>Q28/O28</f>
        <v>0.10566615620214395</v>
      </c>
    </row>
    <row r="29" spans="1:26" x14ac:dyDescent="0.2">
      <c r="B29" t="s">
        <v>18</v>
      </c>
      <c r="C29" t="s">
        <v>23</v>
      </c>
      <c r="D29" t="s">
        <v>24</v>
      </c>
      <c r="E29" s="2">
        <v>4</v>
      </c>
      <c r="F29" s="2">
        <v>2.0816659994661331</v>
      </c>
      <c r="G29" s="2">
        <v>1.428571428571429</v>
      </c>
      <c r="H29" s="2">
        <v>1.1338934190276819</v>
      </c>
      <c r="I29" s="2">
        <v>600.42857142857144</v>
      </c>
      <c r="J29" s="2">
        <v>202.21099305993661</v>
      </c>
      <c r="K29" s="2">
        <v>486.96428571428572</v>
      </c>
      <c r="L29" s="2">
        <v>97.987289627642156</v>
      </c>
      <c r="M29" s="2">
        <v>49.484629208068313</v>
      </c>
      <c r="N29" s="2">
        <v>12.861627535456851</v>
      </c>
      <c r="O29" s="2">
        <v>88.142857142857139</v>
      </c>
      <c r="P29" s="2">
        <v>36.929791819200993</v>
      </c>
      <c r="Q29" s="5">
        <v>20.714285714285719</v>
      </c>
      <c r="R29" s="2">
        <v>11.42678557475498</v>
      </c>
      <c r="S29" s="2">
        <v>4727</v>
      </c>
      <c r="T29" s="2">
        <v>3213.3121541487371</v>
      </c>
      <c r="U29" s="2">
        <v>223.6123308064484</v>
      </c>
      <c r="V29" s="2">
        <v>55.689415489595241</v>
      </c>
      <c r="W29" s="2">
        <v>9.5973320947365615</v>
      </c>
      <c r="X29" s="2">
        <v>1.9749397913427731</v>
      </c>
      <c r="Y29" s="8">
        <f t="shared" si="1"/>
        <v>0.35714285714285726</v>
      </c>
      <c r="Z29" s="8">
        <f t="shared" ref="Z29:Z32" si="2">Q29/O29</f>
        <v>0.2350081037277148</v>
      </c>
    </row>
    <row r="30" spans="1:26" x14ac:dyDescent="0.2">
      <c r="B30" t="s">
        <v>18</v>
      </c>
      <c r="C30" t="s">
        <v>26</v>
      </c>
      <c r="D30" t="s">
        <v>28</v>
      </c>
      <c r="E30" s="2">
        <v>28.857142857142861</v>
      </c>
      <c r="F30" s="2">
        <v>13.158375931050809</v>
      </c>
      <c r="G30" s="2">
        <v>9.4285714285714288</v>
      </c>
      <c r="H30" s="2">
        <v>4.5039665058384131</v>
      </c>
      <c r="I30" s="2">
        <v>2041.8571428571429</v>
      </c>
      <c r="J30" s="2">
        <v>1194.5686011515379</v>
      </c>
      <c r="K30" s="2">
        <v>214.55196920873621</v>
      </c>
      <c r="L30" s="2">
        <v>36.311230889561919</v>
      </c>
      <c r="M30" s="2">
        <v>12.409117452509481</v>
      </c>
      <c r="N30" s="2">
        <v>2.3832427398138538</v>
      </c>
      <c r="O30" s="2">
        <v>173.28571428571431</v>
      </c>
      <c r="P30" s="2">
        <v>24.621902754216521</v>
      </c>
      <c r="Q30" s="5">
        <v>25.428571428571431</v>
      </c>
      <c r="R30" s="2">
        <v>10.097147168996839</v>
      </c>
      <c r="S30" s="2">
        <v>11310.28571428571</v>
      </c>
      <c r="T30" s="2">
        <v>5683.1130176540191</v>
      </c>
      <c r="U30" s="2">
        <v>451.35980782881808</v>
      </c>
      <c r="V30" s="2">
        <v>110.2665663468087</v>
      </c>
      <c r="W30" s="2">
        <v>8.8761754885392676</v>
      </c>
      <c r="X30" s="2">
        <v>1.1746129305363029</v>
      </c>
      <c r="Y30" s="8">
        <f t="shared" si="1"/>
        <v>0.32673267326732669</v>
      </c>
      <c r="Z30" s="8">
        <f t="shared" si="2"/>
        <v>0.14674361088211046</v>
      </c>
    </row>
    <row r="31" spans="1:26" x14ac:dyDescent="0.2">
      <c r="B31" t="s">
        <v>18</v>
      </c>
      <c r="C31" t="s">
        <v>26</v>
      </c>
      <c r="D31" t="s">
        <v>27</v>
      </c>
      <c r="E31" s="2">
        <v>14.16666666666667</v>
      </c>
      <c r="F31" s="2">
        <v>6.5548963887056724</v>
      </c>
      <c r="G31" s="2">
        <v>5.5</v>
      </c>
      <c r="H31" s="2">
        <v>2.5099800796022271</v>
      </c>
      <c r="I31" s="2">
        <v>1240.5</v>
      </c>
      <c r="J31" s="2">
        <v>505.79590745675267</v>
      </c>
      <c r="K31" s="2">
        <v>237.22222222222231</v>
      </c>
      <c r="L31" s="2">
        <v>45.42667066170938</v>
      </c>
      <c r="M31" s="2">
        <v>18.17133082644958</v>
      </c>
      <c r="N31" s="2">
        <v>7.2326171424202652</v>
      </c>
      <c r="O31" s="2">
        <v>185.66666666666671</v>
      </c>
      <c r="P31" s="2">
        <v>61.649547173249097</v>
      </c>
      <c r="Q31" s="5">
        <v>36.833333333333343</v>
      </c>
      <c r="R31" s="2">
        <v>13.991664185030549</v>
      </c>
      <c r="S31" s="2">
        <v>12224.16666666667</v>
      </c>
      <c r="T31" s="2">
        <v>2668.1671174547268</v>
      </c>
      <c r="U31" s="2">
        <v>357.74931489076232</v>
      </c>
      <c r="V31" s="2">
        <v>93.792300997162002</v>
      </c>
      <c r="W31" s="2">
        <v>8.1362352042607728</v>
      </c>
      <c r="X31" s="2">
        <v>1.2649475385378279</v>
      </c>
      <c r="Y31" s="8">
        <f t="shared" si="1"/>
        <v>0.38823529411764696</v>
      </c>
      <c r="Z31" s="8">
        <f t="shared" si="2"/>
        <v>0.19838420107719928</v>
      </c>
    </row>
    <row r="32" spans="1:26" ht="16" thickBot="1" x14ac:dyDescent="0.25">
      <c r="B32" t="s">
        <v>18</v>
      </c>
      <c r="C32" t="s">
        <v>29</v>
      </c>
      <c r="D32" t="s">
        <v>30</v>
      </c>
      <c r="E32" s="2">
        <v>15.857142857142859</v>
      </c>
      <c r="F32" s="2">
        <v>9.2453334432128766</v>
      </c>
      <c r="G32" s="2">
        <v>7.1428571428571432</v>
      </c>
      <c r="H32" s="2">
        <v>5.3363086938623097</v>
      </c>
      <c r="I32" s="2">
        <v>1434</v>
      </c>
      <c r="J32" s="2">
        <v>918.12163319101319</v>
      </c>
      <c r="K32" s="2">
        <v>215.74166666666659</v>
      </c>
      <c r="L32" s="2">
        <v>33.618334049432718</v>
      </c>
      <c r="M32" s="2">
        <v>16.373185351642238</v>
      </c>
      <c r="N32" s="2">
        <v>4.79776036573901</v>
      </c>
      <c r="O32" s="2">
        <v>121.8571428571429</v>
      </c>
      <c r="P32" s="2">
        <v>31.88222373794197</v>
      </c>
      <c r="Q32" s="6">
        <v>23.142857142857139</v>
      </c>
      <c r="R32" s="2">
        <v>8.802056036869482</v>
      </c>
      <c r="S32" s="2">
        <v>7121.2857142857147</v>
      </c>
      <c r="T32" s="2">
        <v>2067.808317541846</v>
      </c>
      <c r="U32" s="2">
        <v>330.52409741674438</v>
      </c>
      <c r="V32" s="2">
        <v>96.342784142906325</v>
      </c>
      <c r="W32" s="2">
        <v>8.8742778422230355</v>
      </c>
      <c r="X32" s="2">
        <v>1.3063793915330799</v>
      </c>
      <c r="Y32" s="8">
        <f t="shared" si="1"/>
        <v>0.4504504504504504</v>
      </c>
      <c r="Z32" s="8">
        <f t="shared" si="2"/>
        <v>0.18991793669402099</v>
      </c>
    </row>
    <row r="35" spans="2:26" ht="16" thickBot="1" x14ac:dyDescent="0.25">
      <c r="Y35" s="7" t="s">
        <v>33</v>
      </c>
    </row>
    <row r="36" spans="2:26" x14ac:dyDescent="0.2">
      <c r="B36" t="s">
        <v>31</v>
      </c>
      <c r="C36" t="s">
        <v>19</v>
      </c>
      <c r="D36">
        <v>845</v>
      </c>
      <c r="E36" s="2">
        <v>88.666666666666671</v>
      </c>
      <c r="F36" s="2">
        <v>19.448650338776719</v>
      </c>
      <c r="G36" s="4">
        <v>9.5555555555555554</v>
      </c>
      <c r="H36" s="2">
        <v>2.2422706745122851</v>
      </c>
      <c r="I36" s="2">
        <v>4694.1111111111113</v>
      </c>
      <c r="J36" s="2">
        <v>1498.4488183154981</v>
      </c>
      <c r="K36" s="2">
        <v>495.39990102490111</v>
      </c>
      <c r="L36" s="2">
        <v>129.56290771039991</v>
      </c>
      <c r="M36" s="2">
        <v>10.92341958249088</v>
      </c>
      <c r="N36" s="2">
        <v>1.303317669125573</v>
      </c>
      <c r="O36" s="2">
        <v>18.111111111111111</v>
      </c>
      <c r="P36" s="2">
        <v>4.6755867130351794</v>
      </c>
      <c r="Q36" s="2">
        <v>1.666666666666667</v>
      </c>
      <c r="R36" s="2">
        <v>1.1180339887498949</v>
      </c>
      <c r="S36" s="2">
        <v>1173.8888888888889</v>
      </c>
      <c r="T36" s="2">
        <v>1651.980360389043</v>
      </c>
      <c r="U36" s="2">
        <v>586.7037037037037</v>
      </c>
      <c r="V36" s="2">
        <v>306.79237434589231</v>
      </c>
      <c r="W36" s="2">
        <v>43.881084312283669</v>
      </c>
      <c r="X36" s="2">
        <v>15.94692194746823</v>
      </c>
      <c r="Y36" s="8">
        <f>G36/E36</f>
        <v>0.10776942355889724</v>
      </c>
      <c r="Z36" s="8">
        <f t="shared" ref="Z36:Z38" si="3">Q36/O36</f>
        <v>9.2024539877300637E-2</v>
      </c>
    </row>
    <row r="37" spans="2:26" x14ac:dyDescent="0.2">
      <c r="B37" t="s">
        <v>31</v>
      </c>
      <c r="C37" t="s">
        <v>19</v>
      </c>
      <c r="D37">
        <v>1245</v>
      </c>
      <c r="E37" s="2">
        <v>32.285714285714278</v>
      </c>
      <c r="F37" s="2">
        <v>14.372592966177971</v>
      </c>
      <c r="G37" s="5">
        <v>11.857142857142859</v>
      </c>
      <c r="H37" s="2">
        <v>4.8452234702013977</v>
      </c>
      <c r="I37" s="2">
        <v>3771.1428571428569</v>
      </c>
      <c r="J37" s="2">
        <v>1045.4270943130421</v>
      </c>
      <c r="K37" s="2">
        <v>342.85736961451249</v>
      </c>
      <c r="L37" s="2">
        <v>106.496580606534</v>
      </c>
      <c r="M37" s="2">
        <v>12.80632472073281</v>
      </c>
      <c r="N37" s="2">
        <v>3.0952476336034258</v>
      </c>
      <c r="O37" s="2">
        <v>453.71428571428572</v>
      </c>
      <c r="P37" s="2">
        <v>66.208544981531105</v>
      </c>
      <c r="Q37" s="2">
        <v>69.285714285714292</v>
      </c>
      <c r="R37" s="2">
        <v>17.660825629193049</v>
      </c>
      <c r="S37" s="2">
        <v>31812.142857142859</v>
      </c>
      <c r="T37" s="2">
        <v>9273.0344445345272</v>
      </c>
      <c r="U37" s="2">
        <v>462.04776998698441</v>
      </c>
      <c r="V37" s="2">
        <v>90.715017966401618</v>
      </c>
      <c r="W37" s="2">
        <v>7.2650801619197889</v>
      </c>
      <c r="X37" s="2">
        <v>0.32172040375337507</v>
      </c>
      <c r="Y37" s="8">
        <f t="shared" ref="Y37:Y43" si="4">G37/E37</f>
        <v>0.36725663716814178</v>
      </c>
      <c r="Z37" s="8">
        <f t="shared" si="3"/>
        <v>0.15270780856423175</v>
      </c>
    </row>
    <row r="38" spans="2:26" ht="16" thickBot="1" x14ac:dyDescent="0.25">
      <c r="B38" t="s">
        <v>31</v>
      </c>
      <c r="C38" t="s">
        <v>19</v>
      </c>
      <c r="D38" t="s">
        <v>21</v>
      </c>
      <c r="E38" s="2">
        <v>164.83333333333329</v>
      </c>
      <c r="F38" s="2">
        <v>50.141466538850523</v>
      </c>
      <c r="G38" s="6">
        <v>66.166666666666671</v>
      </c>
      <c r="H38" s="2">
        <v>23.068737864622481</v>
      </c>
      <c r="I38" s="2">
        <v>18927.166666666672</v>
      </c>
      <c r="J38" s="2">
        <v>6428.656357798779</v>
      </c>
      <c r="K38" s="2">
        <v>287.82306807103168</v>
      </c>
      <c r="L38" s="2">
        <v>42.496586109690107</v>
      </c>
      <c r="M38" s="2">
        <v>7.1538334284406817</v>
      </c>
      <c r="N38" s="2">
        <v>0.57194027180617391</v>
      </c>
      <c r="O38" s="2">
        <v>360.16666666666669</v>
      </c>
      <c r="P38" s="2">
        <v>240.8405419913073</v>
      </c>
      <c r="Q38" s="2">
        <v>62.666666666666657</v>
      </c>
      <c r="R38" s="2">
        <v>47.638919663093397</v>
      </c>
      <c r="S38" s="2">
        <v>38687.666666666657</v>
      </c>
      <c r="T38" s="2">
        <v>24328.09880501694</v>
      </c>
      <c r="U38" s="2">
        <v>648.87132083484471</v>
      </c>
      <c r="V38" s="2">
        <v>94.421237801008758</v>
      </c>
      <c r="W38" s="2">
        <v>6.7471140448509006</v>
      </c>
      <c r="X38" s="2">
        <v>0.67378923059133089</v>
      </c>
      <c r="Y38" s="8">
        <f t="shared" si="4"/>
        <v>0.40141557128412553</v>
      </c>
      <c r="Z38" s="8">
        <f t="shared" si="3"/>
        <v>0.1739935215178158</v>
      </c>
    </row>
    <row r="39" spans="2:26" x14ac:dyDescent="0.2">
      <c r="B39" t="s">
        <v>31</v>
      </c>
      <c r="C39" t="s">
        <v>23</v>
      </c>
      <c r="D39" t="s">
        <v>25</v>
      </c>
      <c r="E39" s="2">
        <v>109</v>
      </c>
      <c r="F39" s="2">
        <v>19.866219234335119</v>
      </c>
      <c r="G39" s="2">
        <v>18.714285714285719</v>
      </c>
      <c r="H39" s="2">
        <v>4.0296519996266724</v>
      </c>
      <c r="I39" s="2">
        <v>6461.5714285714284</v>
      </c>
      <c r="J39" s="2">
        <v>1286.040545906033</v>
      </c>
      <c r="K39" s="2">
        <v>350.22815934065932</v>
      </c>
      <c r="L39" s="2">
        <v>56.218497760532827</v>
      </c>
      <c r="M39" s="2">
        <v>8.8570966727980949</v>
      </c>
      <c r="N39" s="2">
        <v>0.64411607785072778</v>
      </c>
      <c r="O39" s="2">
        <v>492.71428571428572</v>
      </c>
      <c r="P39" s="2">
        <v>139.19137220114649</v>
      </c>
      <c r="Q39" s="4">
        <v>20</v>
      </c>
      <c r="R39" s="2">
        <v>6.5828058860438334</v>
      </c>
      <c r="S39" s="2">
        <v>11813.857142857139</v>
      </c>
      <c r="T39" s="2">
        <v>5143.2429273293919</v>
      </c>
      <c r="U39" s="2">
        <v>584.19761710511716</v>
      </c>
      <c r="V39" s="2">
        <v>120.27974636395091</v>
      </c>
      <c r="W39" s="2">
        <v>7.9860114771377519</v>
      </c>
      <c r="X39" s="2">
        <v>1.2257131584332679</v>
      </c>
      <c r="Y39" s="8">
        <f t="shared" si="4"/>
        <v>0.17169069462647449</v>
      </c>
      <c r="Z39" s="8">
        <f>Q39/O39</f>
        <v>4.0591475790084083E-2</v>
      </c>
    </row>
    <row r="40" spans="2:26" x14ac:dyDescent="0.2">
      <c r="B40" t="s">
        <v>31</v>
      </c>
      <c r="C40" t="s">
        <v>23</v>
      </c>
      <c r="D40" t="s">
        <v>24</v>
      </c>
      <c r="E40" s="2">
        <v>8.6666666666666661</v>
      </c>
      <c r="F40" s="2">
        <v>2.4221202832779931</v>
      </c>
      <c r="G40" s="2">
        <v>2.5</v>
      </c>
      <c r="H40" s="2">
        <v>0.83666002653407556</v>
      </c>
      <c r="I40" s="2">
        <v>721.66666666666663</v>
      </c>
      <c r="J40" s="2">
        <v>117.72793494607239</v>
      </c>
      <c r="K40" s="2">
        <v>300.6805555555556</v>
      </c>
      <c r="L40" s="2">
        <v>46.153861541426693</v>
      </c>
      <c r="M40" s="2">
        <v>26.65470514268112</v>
      </c>
      <c r="N40" s="2">
        <v>5.323370936204161</v>
      </c>
      <c r="O40" s="2">
        <v>115.8333333333333</v>
      </c>
      <c r="P40" s="2">
        <v>24.47379551002799</v>
      </c>
      <c r="Q40" s="5">
        <v>22.166666666666671</v>
      </c>
      <c r="R40" s="2">
        <v>3.868677637987775</v>
      </c>
      <c r="S40" s="2">
        <v>7314</v>
      </c>
      <c r="T40" s="2">
        <v>1993.8035008495699</v>
      </c>
      <c r="U40" s="2">
        <v>327.30759109311742</v>
      </c>
      <c r="V40" s="2">
        <v>58.301142292280602</v>
      </c>
      <c r="W40" s="2">
        <v>8.0655536276077431</v>
      </c>
      <c r="X40" s="2">
        <v>0.4326567531815963</v>
      </c>
      <c r="Y40" s="8">
        <f t="shared" si="4"/>
        <v>0.28846153846153849</v>
      </c>
      <c r="Z40" s="8">
        <f t="shared" ref="Z40:Z43" si="5">Q40/O40</f>
        <v>0.19136690647482024</v>
      </c>
    </row>
    <row r="41" spans="2:26" x14ac:dyDescent="0.2">
      <c r="B41" t="s">
        <v>31</v>
      </c>
      <c r="C41" t="s">
        <v>26</v>
      </c>
      <c r="D41" t="s">
        <v>28</v>
      </c>
      <c r="E41" s="2">
        <v>15.142857142857141</v>
      </c>
      <c r="F41" s="2">
        <v>4.6342410895626136</v>
      </c>
      <c r="G41" s="2">
        <v>4.4285714285714288</v>
      </c>
      <c r="H41" s="2">
        <v>1.8126539343499311</v>
      </c>
      <c r="I41" s="2">
        <v>1105.714285714286</v>
      </c>
      <c r="J41" s="2">
        <v>335.56306624622948</v>
      </c>
      <c r="K41" s="2">
        <v>264.1292517006803</v>
      </c>
      <c r="L41" s="2">
        <v>52.400758912514753</v>
      </c>
      <c r="M41" s="2">
        <v>19.51445382759411</v>
      </c>
      <c r="N41" s="2">
        <v>5.9051653917669089</v>
      </c>
      <c r="O41" s="2">
        <v>84.714285714285708</v>
      </c>
      <c r="P41" s="2">
        <v>18.181623375579768</v>
      </c>
      <c r="Q41" s="5">
        <v>13.71428571428571</v>
      </c>
      <c r="R41" s="2">
        <v>3.8172540616821111</v>
      </c>
      <c r="S41" s="2">
        <v>4953.7142857142853</v>
      </c>
      <c r="T41" s="2">
        <v>1231.1534854606491</v>
      </c>
      <c r="U41" s="2">
        <v>376.24531889678951</v>
      </c>
      <c r="V41" s="2">
        <v>100.55795217443939</v>
      </c>
      <c r="W41" s="2">
        <v>9.9281205421978456</v>
      </c>
      <c r="X41" s="2">
        <v>1.3668703148860111</v>
      </c>
      <c r="Y41" s="8">
        <f t="shared" si="4"/>
        <v>0.29245283018867929</v>
      </c>
      <c r="Z41" s="8">
        <f t="shared" si="5"/>
        <v>0.16188870151770654</v>
      </c>
    </row>
    <row r="42" spans="2:26" x14ac:dyDescent="0.2">
      <c r="B42" t="s">
        <v>31</v>
      </c>
      <c r="C42" t="s">
        <v>26</v>
      </c>
      <c r="D42" t="s">
        <v>27</v>
      </c>
      <c r="E42" s="2">
        <v>9.5</v>
      </c>
      <c r="F42" s="2">
        <v>2.588435821108956</v>
      </c>
      <c r="G42" s="2">
        <v>3.166666666666667</v>
      </c>
      <c r="H42" s="2">
        <v>1.602081978759722</v>
      </c>
      <c r="I42" s="2">
        <v>810.66666666666663</v>
      </c>
      <c r="J42" s="2">
        <v>169.7382298324884</v>
      </c>
      <c r="K42" s="2">
        <v>284.5555555555556</v>
      </c>
      <c r="L42" s="2">
        <v>72.310108918821655</v>
      </c>
      <c r="M42" s="2">
        <v>24.720666070240171</v>
      </c>
      <c r="N42" s="2">
        <v>6.519568126231996</v>
      </c>
      <c r="O42" s="2">
        <v>124.6666666666667</v>
      </c>
      <c r="P42" s="2">
        <v>25.578636919637969</v>
      </c>
      <c r="Q42" s="5">
        <v>12</v>
      </c>
      <c r="R42" s="2">
        <v>5.0990195135927836</v>
      </c>
      <c r="S42" s="2">
        <v>3678.833333333333</v>
      </c>
      <c r="T42" s="2">
        <v>1447.808746577623</v>
      </c>
      <c r="U42" s="2">
        <v>320.8</v>
      </c>
      <c r="V42" s="2">
        <v>103.0605259058967</v>
      </c>
      <c r="W42" s="2">
        <v>10.63842143640683</v>
      </c>
      <c r="X42" s="2">
        <v>2.6716395519023188</v>
      </c>
      <c r="Y42" s="8">
        <f t="shared" si="4"/>
        <v>0.33333333333333337</v>
      </c>
      <c r="Z42" s="8">
        <f t="shared" si="5"/>
        <v>9.6256684491978578E-2</v>
      </c>
    </row>
    <row r="43" spans="2:26" ht="16" thickBot="1" x14ac:dyDescent="0.25">
      <c r="B43" t="s">
        <v>31</v>
      </c>
      <c r="C43" t="s">
        <v>29</v>
      </c>
      <c r="D43" t="s">
        <v>30</v>
      </c>
      <c r="E43" s="2">
        <v>19.714285714285719</v>
      </c>
      <c r="F43" s="2">
        <v>9.7247842429242919</v>
      </c>
      <c r="G43" s="2">
        <v>4.1428571428571432</v>
      </c>
      <c r="H43" s="2">
        <v>1.7728105208558369</v>
      </c>
      <c r="I43" s="2">
        <v>924.71428571428567</v>
      </c>
      <c r="J43" s="2">
        <v>257.26750946936812</v>
      </c>
      <c r="K43" s="2">
        <v>239.73979591836741</v>
      </c>
      <c r="L43" s="2">
        <v>61.38561868421565</v>
      </c>
      <c r="M43" s="2">
        <v>19.688092971843879</v>
      </c>
      <c r="N43" s="2">
        <v>5.1571320395760862</v>
      </c>
      <c r="O43" s="2">
        <v>117.28571428571431</v>
      </c>
      <c r="P43" s="2">
        <v>18.49066688642575</v>
      </c>
      <c r="Q43" s="6">
        <v>15.428571428571431</v>
      </c>
      <c r="R43" s="2">
        <v>4.6496287614225311</v>
      </c>
      <c r="S43" s="2">
        <v>5630.2857142857147</v>
      </c>
      <c r="T43" s="2">
        <v>1828.109562205879</v>
      </c>
      <c r="U43" s="2">
        <v>364.91034917463492</v>
      </c>
      <c r="V43" s="2">
        <v>46.960663662867887</v>
      </c>
      <c r="W43" s="2">
        <v>9.3586986865017501</v>
      </c>
      <c r="X43" s="2">
        <v>0.72569456892114825</v>
      </c>
      <c r="Y43" s="8">
        <f t="shared" si="4"/>
        <v>0.21014492753623185</v>
      </c>
      <c r="Z43" s="8">
        <f t="shared" si="5"/>
        <v>0.13154689403166869</v>
      </c>
    </row>
    <row r="45" spans="2:26" ht="16" thickBot="1" x14ac:dyDescent="0.25">
      <c r="D45" t="s">
        <v>32</v>
      </c>
      <c r="H45" t="s">
        <v>33</v>
      </c>
    </row>
    <row r="46" spans="2:26" x14ac:dyDescent="0.2">
      <c r="E46" s="4">
        <v>92.714285714285708</v>
      </c>
      <c r="F46" s="4">
        <v>9.5555555555555554</v>
      </c>
      <c r="H46" s="9">
        <f>Y25</f>
        <v>0.19195504288671988</v>
      </c>
      <c r="I46" s="9">
        <f>Z25</f>
        <v>3.6199095022624438E-2</v>
      </c>
    </row>
    <row r="47" spans="2:26" x14ac:dyDescent="0.2">
      <c r="E47" s="5">
        <v>62</v>
      </c>
      <c r="F47" s="5">
        <v>11.857142857142859</v>
      </c>
      <c r="H47" s="9">
        <f t="shared" ref="H47:I48" si="6">Y26</f>
        <v>0.51728247914183534</v>
      </c>
      <c r="I47" s="9">
        <f t="shared" si="6"/>
        <v>0.18080210387902693</v>
      </c>
    </row>
    <row r="48" spans="2:26" ht="16" thickBot="1" x14ac:dyDescent="0.25">
      <c r="E48" s="6">
        <v>77.666666666666671</v>
      </c>
      <c r="F48" s="6">
        <v>66.166666666666671</v>
      </c>
      <c r="H48" s="9">
        <f t="shared" si="6"/>
        <v>0.22254059216809935</v>
      </c>
      <c r="I48" s="9">
        <f t="shared" si="6"/>
        <v>3.9368770764119612E-2</v>
      </c>
    </row>
    <row r="49" spans="5:9" x14ac:dyDescent="0.2">
      <c r="E49" s="4">
        <v>60.375</v>
      </c>
      <c r="F49" s="4">
        <v>20</v>
      </c>
      <c r="H49" s="9">
        <f>Y39</f>
        <v>0.17169069462647449</v>
      </c>
      <c r="I49" s="9">
        <f>Z39</f>
        <v>4.0591475790084083E-2</v>
      </c>
    </row>
    <row r="50" spans="5:9" x14ac:dyDescent="0.2">
      <c r="E50" s="5">
        <v>20.714285714285719</v>
      </c>
      <c r="F50" s="5">
        <v>22.166666666666671</v>
      </c>
      <c r="H50" s="9">
        <f t="shared" ref="H50:I53" si="7">Y40</f>
        <v>0.28846153846153849</v>
      </c>
      <c r="I50" s="9">
        <f t="shared" si="7"/>
        <v>0.19136690647482024</v>
      </c>
    </row>
    <row r="51" spans="5:9" x14ac:dyDescent="0.2">
      <c r="E51" s="5">
        <v>25.428571428571431</v>
      </c>
      <c r="F51" s="5">
        <v>13.71428571428571</v>
      </c>
      <c r="H51" s="9">
        <f t="shared" si="7"/>
        <v>0.29245283018867929</v>
      </c>
      <c r="I51" s="9">
        <f t="shared" si="7"/>
        <v>0.16188870151770654</v>
      </c>
    </row>
    <row r="52" spans="5:9" x14ac:dyDescent="0.2">
      <c r="E52" s="5">
        <v>36.833333333333343</v>
      </c>
      <c r="F52" s="5">
        <v>12</v>
      </c>
      <c r="H52" s="9">
        <f t="shared" si="7"/>
        <v>0.33333333333333337</v>
      </c>
      <c r="I52" s="9">
        <f t="shared" si="7"/>
        <v>9.6256684491978578E-2</v>
      </c>
    </row>
    <row r="53" spans="5:9" ht="16" thickBot="1" x14ac:dyDescent="0.25">
      <c r="E53" s="6">
        <v>23.142857142857139</v>
      </c>
      <c r="F53" s="6">
        <v>15.428571428571431</v>
      </c>
      <c r="H53" s="9">
        <f t="shared" si="7"/>
        <v>0.21014492753623185</v>
      </c>
      <c r="I53" s="9">
        <f t="shared" si="7"/>
        <v>0.13154689403166869</v>
      </c>
    </row>
  </sheetData>
  <mergeCells count="20">
    <mergeCell ref="Q23:R23"/>
    <mergeCell ref="S23:T23"/>
    <mergeCell ref="U23:V23"/>
    <mergeCell ref="W23:X23"/>
    <mergeCell ref="Q1:R1"/>
    <mergeCell ref="S1:T1"/>
    <mergeCell ref="U1:V1"/>
    <mergeCell ref="W1:X1"/>
    <mergeCell ref="E23:F23"/>
    <mergeCell ref="G23:H23"/>
    <mergeCell ref="I23:J23"/>
    <mergeCell ref="K23:L23"/>
    <mergeCell ref="M23:N23"/>
    <mergeCell ref="O23:P23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Czajka, Jeffrey J</cp:lastModifiedBy>
  <dcterms:created xsi:type="dcterms:W3CDTF">2024-11-08T17:49:27Z</dcterms:created>
  <dcterms:modified xsi:type="dcterms:W3CDTF">2024-11-12T23:42:04Z</dcterms:modified>
</cp:coreProperties>
</file>