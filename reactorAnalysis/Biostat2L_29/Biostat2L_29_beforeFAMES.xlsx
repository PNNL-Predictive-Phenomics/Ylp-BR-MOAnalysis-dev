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9/"/>
    </mc:Choice>
  </mc:AlternateContent>
  <xr:revisionPtr revIDLastSave="3" documentId="13_ncr:1_{D3AFCDBB-A067-4A72-A003-542C7CBB8B65}" xr6:coauthVersionLast="47" xr6:coauthVersionMax="47" xr10:uidLastSave="{A5A28CFD-F0AF-8347-A98A-3CBADD69A3C4}"/>
  <bookViews>
    <workbookView xWindow="38400" yWindow="500" windowWidth="30240" windowHeight="19400" activeTab="5" xr2:uid="{025B6E46-3BE5-43AA-8DFD-D9CF1AB06735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7" l="1"/>
  <c r="K16" i="8"/>
  <c r="K17" i="8"/>
  <c r="K18" i="8"/>
  <c r="K19" i="8"/>
  <c r="K20" i="8"/>
  <c r="K21" i="8"/>
  <c r="K22" i="8"/>
  <c r="L22" i="8" s="1"/>
  <c r="K23" i="8"/>
  <c r="L23" i="8" s="1"/>
  <c r="K24" i="8"/>
  <c r="K25" i="8"/>
  <c r="K26" i="8"/>
  <c r="K27" i="8"/>
  <c r="K28" i="8"/>
  <c r="K29" i="8"/>
  <c r="K30" i="8"/>
  <c r="L30" i="8" s="1"/>
  <c r="K31" i="8"/>
  <c r="L31" i="8" s="1"/>
  <c r="K32" i="8"/>
  <c r="K33" i="8"/>
  <c r="K34" i="8"/>
  <c r="L16" i="8"/>
  <c r="L17" i="8"/>
  <c r="L18" i="8"/>
  <c r="L19" i="8"/>
  <c r="L20" i="8"/>
  <c r="L21" i="8"/>
  <c r="L24" i="8"/>
  <c r="L25" i="8"/>
  <c r="L26" i="8"/>
  <c r="L27" i="8"/>
  <c r="L28" i="8"/>
  <c r="L29" i="8"/>
  <c r="L32" i="8"/>
  <c r="L33" i="8"/>
  <c r="L34" i="8"/>
  <c r="AF33" i="7" l="1"/>
  <c r="AB33" i="7"/>
  <c r="AC33" i="7" s="1"/>
  <c r="AF32" i="7"/>
  <c r="AB32" i="7"/>
  <c r="AC32" i="7" s="1"/>
  <c r="AT33" i="7"/>
  <c r="AP33" i="7"/>
  <c r="AQ33" i="7" s="1"/>
  <c r="AK33" i="7"/>
  <c r="AJ33" i="7"/>
  <c r="AI33" i="7"/>
  <c r="AT32" i="7"/>
  <c r="AU32" i="7" s="1"/>
  <c r="AP32" i="7"/>
  <c r="AQ32" i="7" s="1"/>
  <c r="AJ32" i="7"/>
  <c r="AI32" i="7"/>
  <c r="AK32" i="7" s="1"/>
  <c r="BF33" i="7"/>
  <c r="BE33" i="7"/>
  <c r="BD33" i="7"/>
  <c r="BF32" i="7"/>
  <c r="BE32" i="7"/>
  <c r="BD32" i="7"/>
  <c r="BF31" i="7"/>
  <c r="BE31" i="7"/>
  <c r="BD31" i="7"/>
  <c r="BF30" i="7"/>
  <c r="BD30" i="7"/>
  <c r="R32" i="7"/>
  <c r="R29" i="7"/>
  <c r="R28" i="7"/>
  <c r="R25" i="7"/>
  <c r="R24" i="7"/>
  <c r="AL32" i="7" l="1"/>
  <c r="AR32" i="7"/>
  <c r="AS32" i="7" s="1"/>
  <c r="AM32" i="7"/>
  <c r="AG32" i="7"/>
  <c r="AL33" i="7"/>
  <c r="AM33" i="7"/>
  <c r="AW33" i="7" s="1"/>
  <c r="AG33" i="7"/>
  <c r="AW32" i="7"/>
  <c r="AU33" i="7"/>
  <c r="L15" i="8"/>
  <c r="K15" i="8"/>
  <c r="U71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O34" i="7"/>
  <c r="BN34" i="7"/>
  <c r="BM34" i="7"/>
  <c r="BL34" i="7"/>
  <c r="BK34" i="7"/>
  <c r="BJ34" i="7"/>
  <c r="BI34" i="7"/>
  <c r="BH34" i="7"/>
  <c r="BG34" i="7"/>
  <c r="BO33" i="7"/>
  <c r="BN33" i="7"/>
  <c r="BM33" i="7"/>
  <c r="BL33" i="7"/>
  <c r="BK33" i="7"/>
  <c r="BJ33" i="7"/>
  <c r="BI33" i="7"/>
  <c r="BH33" i="7"/>
  <c r="BG33" i="7"/>
  <c r="BO32" i="7"/>
  <c r="BN32" i="7"/>
  <c r="BM32" i="7"/>
  <c r="BL32" i="7"/>
  <c r="BK32" i="7"/>
  <c r="BJ32" i="7"/>
  <c r="BI32" i="7"/>
  <c r="BH32" i="7"/>
  <c r="BG32" i="7"/>
  <c r="BS31" i="7"/>
  <c r="BO31" i="7"/>
  <c r="BN31" i="7"/>
  <c r="BM31" i="7"/>
  <c r="BL31" i="7"/>
  <c r="BK31" i="7"/>
  <c r="BJ31" i="7"/>
  <c r="BI31" i="7"/>
  <c r="BH31" i="7"/>
  <c r="BG31" i="7"/>
  <c r="AF31" i="7"/>
  <c r="AB31" i="7"/>
  <c r="AC31" i="7" s="1"/>
  <c r="AR33" i="7" s="1"/>
  <c r="AS33" i="7" s="1"/>
  <c r="BS30" i="7"/>
  <c r="BO30" i="7"/>
  <c r="BN30" i="7"/>
  <c r="BM30" i="7"/>
  <c r="BL30" i="7"/>
  <c r="BK30" i="7"/>
  <c r="BJ30" i="7"/>
  <c r="BI30" i="7"/>
  <c r="BH30" i="7"/>
  <c r="BG30" i="7"/>
  <c r="BE30" i="7"/>
  <c r="AF30" i="7"/>
  <c r="AC30" i="7"/>
  <c r="AB30" i="7"/>
  <c r="BS29" i="7"/>
  <c r="BQ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AF29" i="7"/>
  <c r="AB29" i="7"/>
  <c r="AC29" i="7" s="1"/>
  <c r="BS28" i="7"/>
  <c r="BQ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AF28" i="7"/>
  <c r="AB28" i="7"/>
  <c r="AC28" i="7" s="1"/>
  <c r="BS27" i="7"/>
  <c r="BQ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AF27" i="7"/>
  <c r="AB27" i="7"/>
  <c r="AC27" i="7" s="1"/>
  <c r="BS26" i="7"/>
  <c r="BQ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AF26" i="7"/>
  <c r="AB26" i="7"/>
  <c r="AC26" i="7" s="1"/>
  <c r="BS25" i="7"/>
  <c r="BQ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AF25" i="7"/>
  <c r="AB25" i="7"/>
  <c r="AC25" i="7" s="1"/>
  <c r="BS24" i="7"/>
  <c r="BQ24" i="7"/>
  <c r="BO24" i="7"/>
  <c r="BN24" i="7"/>
  <c r="BM24" i="7"/>
  <c r="BL24" i="7"/>
  <c r="BK24" i="7"/>
  <c r="BJ24" i="7"/>
  <c r="BI24" i="7"/>
  <c r="BH24" i="7"/>
  <c r="BG24" i="7"/>
  <c r="BF24" i="7"/>
  <c r="AP26" i="7" s="1"/>
  <c r="BE24" i="7"/>
  <c r="BD24" i="7"/>
  <c r="AF24" i="7"/>
  <c r="AB24" i="7"/>
  <c r="AC24" i="7" s="1"/>
  <c r="BS23" i="7"/>
  <c r="BQ23" i="7"/>
  <c r="BO23" i="7"/>
  <c r="BN23" i="7"/>
  <c r="BM23" i="7"/>
  <c r="BL23" i="7"/>
  <c r="BK23" i="7"/>
  <c r="BJ23" i="7"/>
  <c r="BI23" i="7"/>
  <c r="BH23" i="7"/>
  <c r="BG23" i="7"/>
  <c r="BF23" i="7"/>
  <c r="AP25" i="7" s="1"/>
  <c r="BE23" i="7"/>
  <c r="BD23" i="7"/>
  <c r="AF23" i="7"/>
  <c r="AB23" i="7"/>
  <c r="AC23" i="7" s="1"/>
  <c r="BS22" i="7"/>
  <c r="BQ22" i="7"/>
  <c r="BO22" i="7"/>
  <c r="BN22" i="7"/>
  <c r="BM22" i="7"/>
  <c r="BL22" i="7"/>
  <c r="BK22" i="7"/>
  <c r="BJ22" i="7"/>
  <c r="BI22" i="7"/>
  <c r="BH22" i="7"/>
  <c r="BG22" i="7"/>
  <c r="BF22" i="7"/>
  <c r="AP24" i="7" s="1"/>
  <c r="BE22" i="7"/>
  <c r="BD22" i="7"/>
  <c r="AF22" i="7"/>
  <c r="AB22" i="7"/>
  <c r="AC22" i="7" s="1"/>
  <c r="BS21" i="7"/>
  <c r="BQ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AF21" i="7"/>
  <c r="AB21" i="7"/>
  <c r="AC21" i="7" s="1"/>
  <c r="BS20" i="7"/>
  <c r="BQ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AF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BF19" i="7"/>
  <c r="AP21" i="7" s="1"/>
  <c r="BE19" i="7"/>
  <c r="BD19" i="7"/>
  <c r="AF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BF18" i="7"/>
  <c r="AP20" i="7" s="1"/>
  <c r="BE18" i="7"/>
  <c r="BD18" i="7"/>
  <c r="AF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BF17" i="7"/>
  <c r="AP19" i="7" s="1"/>
  <c r="AQ19" i="7" s="1"/>
  <c r="BE17" i="7"/>
  <c r="AJ17" i="7" s="1"/>
  <c r="BD17" i="7"/>
  <c r="AF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AJ16" i="7"/>
  <c r="AF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AF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AJ14" i="7" s="1"/>
  <c r="BD14" i="7"/>
  <c r="AF14" i="7"/>
  <c r="AB14" i="7"/>
  <c r="AC14" i="7" s="1"/>
  <c r="D19" i="6"/>
  <c r="D13" i="6"/>
  <c r="D16" i="6" s="1"/>
  <c r="L61" i="3"/>
  <c r="K61" i="3"/>
  <c r="I61" i="3" s="1"/>
  <c r="J61" i="3"/>
  <c r="H61" i="3" s="1"/>
  <c r="L55" i="3"/>
  <c r="K55" i="3"/>
  <c r="J55" i="3"/>
  <c r="I55" i="3"/>
  <c r="H55" i="3"/>
  <c r="G55" i="3"/>
  <c r="P52" i="3"/>
  <c r="P51" i="3"/>
  <c r="P50" i="3"/>
  <c r="P49" i="3"/>
  <c r="N49" i="3"/>
  <c r="M49" i="3"/>
  <c r="L49" i="3"/>
  <c r="K49" i="3"/>
  <c r="I49" i="3" s="1"/>
  <c r="J49" i="3"/>
  <c r="T35" i="3"/>
  <c r="X24" i="3"/>
  <c r="T21" i="3"/>
  <c r="C16" i="3"/>
  <c r="E16" i="3" s="1"/>
  <c r="B13" i="3"/>
  <c r="C13" i="3" s="1"/>
  <c r="D13" i="3" s="1"/>
  <c r="T11" i="3"/>
  <c r="D7" i="3"/>
  <c r="M6" i="3"/>
  <c r="H6" i="3" s="1"/>
  <c r="L6" i="3"/>
  <c r="G6" i="3" s="1"/>
  <c r="K6" i="3"/>
  <c r="F6" i="3" s="1"/>
  <c r="J6" i="3"/>
  <c r="D6" i="3"/>
  <c r="AB4" i="3"/>
  <c r="AB3" i="3"/>
  <c r="AG15" i="7" l="1"/>
  <c r="AI31" i="7"/>
  <c r="AK31" i="7" s="1"/>
  <c r="AP31" i="7"/>
  <c r="AP30" i="7"/>
  <c r="AP22" i="7"/>
  <c r="AP27" i="7"/>
  <c r="BY22" i="7"/>
  <c r="AP23" i="7"/>
  <c r="AP28" i="7"/>
  <c r="AP29" i="7"/>
  <c r="AI15" i="7"/>
  <c r="AM15" i="7" s="1"/>
  <c r="AI14" i="7"/>
  <c r="AK14" i="7" s="1"/>
  <c r="AP18" i="7"/>
  <c r="AQ18" i="7" s="1"/>
  <c r="AG26" i="7"/>
  <c r="AG14" i="7"/>
  <c r="AG30" i="7"/>
  <c r="AG21" i="7"/>
  <c r="AG29" i="7"/>
  <c r="AG20" i="7"/>
  <c r="AG28" i="7"/>
  <c r="AG27" i="7"/>
  <c r="AG25" i="7"/>
  <c r="AG18" i="7"/>
  <c r="AG24" i="7"/>
  <c r="AG16" i="7"/>
  <c r="AQ25" i="7"/>
  <c r="AQ21" i="7"/>
  <c r="AQ23" i="7"/>
  <c r="AJ18" i="7"/>
  <c r="AQ20" i="7"/>
  <c r="AL19" i="7"/>
  <c r="AG31" i="7"/>
  <c r="AM31" i="7"/>
  <c r="AW31" i="7" s="1"/>
  <c r="AG19" i="7"/>
  <c r="AL20" i="7"/>
  <c r="CD17" i="7"/>
  <c r="AL17" i="7"/>
  <c r="CD22" i="7"/>
  <c r="AG17" i="7"/>
  <c r="AJ20" i="7"/>
  <c r="AQ22" i="7"/>
  <c r="AG22" i="7"/>
  <c r="AL23" i="7"/>
  <c r="CD23" i="7"/>
  <c r="AL18" i="7"/>
  <c r="AG23" i="7"/>
  <c r="AL15" i="7"/>
  <c r="AL27" i="7"/>
  <c r="AJ25" i="7"/>
  <c r="AK21" i="7"/>
  <c r="AL25" i="7"/>
  <c r="AL14" i="7"/>
  <c r="BY14" i="7"/>
  <c r="CA14" i="7" s="1"/>
  <c r="AJ15" i="7"/>
  <c r="BY17" i="7"/>
  <c r="AI19" i="7"/>
  <c r="AM19" i="7" s="1"/>
  <c r="AI21" i="7"/>
  <c r="AR21" i="7" s="1"/>
  <c r="AI24" i="7"/>
  <c r="AK24" i="7" s="1"/>
  <c r="AI26" i="7"/>
  <c r="AI28" i="7"/>
  <c r="AI30" i="7"/>
  <c r="AR30" i="7" s="1"/>
  <c r="AI16" i="7"/>
  <c r="AK16" i="7" s="1"/>
  <c r="AJ19" i="7"/>
  <c r="AJ21" i="7"/>
  <c r="BY15" i="7"/>
  <c r="CA15" i="7" s="1"/>
  <c r="BY19" i="7"/>
  <c r="BY21" i="7"/>
  <c r="AI23" i="7"/>
  <c r="AK23" i="7" s="1"/>
  <c r="BY24" i="7"/>
  <c r="BY26" i="7"/>
  <c r="BY28" i="7"/>
  <c r="CD16" i="7"/>
  <c r="BY16" i="7"/>
  <c r="AP17" i="7"/>
  <c r="AQ17" i="7" s="1"/>
  <c r="AL21" i="7"/>
  <c r="AJ23" i="7"/>
  <c r="AL16" i="7"/>
  <c r="AI18" i="7"/>
  <c r="AI20" i="7"/>
  <c r="AK20" i="7" s="1"/>
  <c r="AI22" i="7"/>
  <c r="AK22" i="7" s="1"/>
  <c r="BY23" i="7"/>
  <c r="AI25" i="7"/>
  <c r="AI27" i="7"/>
  <c r="AI29" i="7"/>
  <c r="AR31" i="7" s="1"/>
  <c r="AP16" i="7"/>
  <c r="AQ16" i="7" s="1"/>
  <c r="AI17" i="7"/>
  <c r="AK17" i="7" s="1"/>
  <c r="BY18" i="7"/>
  <c r="BY20" i="7"/>
  <c r="CB22" i="7" s="1"/>
  <c r="BY25" i="7"/>
  <c r="BY27" i="7"/>
  <c r="BY29" i="7"/>
  <c r="G49" i="3"/>
  <c r="I6" i="3"/>
  <c r="H49" i="3"/>
  <c r="G61" i="3"/>
  <c r="AT28" i="7" l="1"/>
  <c r="AU28" i="7" s="1"/>
  <c r="AT27" i="7"/>
  <c r="AU27" i="7"/>
  <c r="AR26" i="7"/>
  <c r="AT31" i="7"/>
  <c r="AU31" i="7" s="1"/>
  <c r="AK15" i="7"/>
  <c r="AM14" i="7"/>
  <c r="AT18" i="7"/>
  <c r="AU18" i="7" s="1"/>
  <c r="AK18" i="7"/>
  <c r="AM28" i="7"/>
  <c r="AM26" i="7"/>
  <c r="AT25" i="7"/>
  <c r="AU25" i="7" s="1"/>
  <c r="AM24" i="7"/>
  <c r="AW24" i="7" s="1"/>
  <c r="AR16" i="7"/>
  <c r="AS16" i="7" s="1"/>
  <c r="AR20" i="7"/>
  <c r="AS20" i="7" s="1"/>
  <c r="AT26" i="7"/>
  <c r="AU26" i="7" s="1"/>
  <c r="AT24" i="7"/>
  <c r="AU24" i="7" s="1"/>
  <c r="AS21" i="7"/>
  <c r="AQ27" i="7"/>
  <c r="CB21" i="7"/>
  <c r="CC21" i="7" s="1"/>
  <c r="CA21" i="7"/>
  <c r="CB19" i="7"/>
  <c r="CC19" i="7" s="1"/>
  <c r="CA19" i="7"/>
  <c r="CB17" i="7"/>
  <c r="CC17" i="7" s="1"/>
  <c r="CA17" i="7"/>
  <c r="AM25" i="7"/>
  <c r="AT17" i="7"/>
  <c r="AU17" i="7" s="1"/>
  <c r="AR28" i="7"/>
  <c r="AR22" i="7"/>
  <c r="AS22" i="7" s="1"/>
  <c r="AT23" i="7"/>
  <c r="AU23" i="7" s="1"/>
  <c r="CA25" i="7"/>
  <c r="CB25" i="7"/>
  <c r="CC25" i="7" s="1"/>
  <c r="AR29" i="7"/>
  <c r="CA16" i="7"/>
  <c r="CB16" i="7"/>
  <c r="CC16" i="7" s="1"/>
  <c r="AM29" i="7"/>
  <c r="AR25" i="7"/>
  <c r="AS25" i="7" s="1"/>
  <c r="AR24" i="7"/>
  <c r="AJ22" i="7"/>
  <c r="AL22" i="7"/>
  <c r="AM16" i="7"/>
  <c r="AW16" i="7" s="1"/>
  <c r="CA18" i="7"/>
  <c r="CB18" i="7"/>
  <c r="CC18" i="7" s="1"/>
  <c r="AT30" i="7"/>
  <c r="AU30" i="7" s="1"/>
  <c r="AT21" i="7"/>
  <c r="AU21" i="7" s="1"/>
  <c r="AK26" i="7"/>
  <c r="AK19" i="7"/>
  <c r="AW19" i="7" s="1"/>
  <c r="AK25" i="7"/>
  <c r="AT16" i="7"/>
  <c r="AU16" i="7" s="1"/>
  <c r="AR19" i="7"/>
  <c r="AS19" i="7" s="1"/>
  <c r="AK27" i="7"/>
  <c r="CB28" i="7"/>
  <c r="AM27" i="7"/>
  <c r="AM21" i="7"/>
  <c r="AW21" i="7" s="1"/>
  <c r="AK28" i="7"/>
  <c r="CB23" i="7"/>
  <c r="CC23" i="7" s="1"/>
  <c r="CA23" i="7"/>
  <c r="AM30" i="7"/>
  <c r="AT22" i="7"/>
  <c r="AU22" i="7" s="1"/>
  <c r="CB26" i="7"/>
  <c r="AT19" i="7"/>
  <c r="AU19" i="7" s="1"/>
  <c r="AM18" i="7"/>
  <c r="AR23" i="7"/>
  <c r="AS23" i="7" s="1"/>
  <c r="AM17" i="7"/>
  <c r="AW17" i="7" s="1"/>
  <c r="CE22" i="7"/>
  <c r="CA20" i="7"/>
  <c r="CB20" i="7"/>
  <c r="CC20" i="7" s="1"/>
  <c r="AR27" i="7"/>
  <c r="CB29" i="7"/>
  <c r="AK29" i="7"/>
  <c r="AW29" i="7" s="1"/>
  <c r="AT29" i="7"/>
  <c r="AU29" i="7" s="1"/>
  <c r="AT20" i="7"/>
  <c r="AU20" i="7" s="1"/>
  <c r="CB24" i="7"/>
  <c r="CA24" i="7"/>
  <c r="AJ27" i="7"/>
  <c r="AK30" i="7"/>
  <c r="AR17" i="7"/>
  <c r="AS17" i="7" s="1"/>
  <c r="AM20" i="7"/>
  <c r="AW20" i="7" s="1"/>
  <c r="CB27" i="7"/>
  <c r="CC27" i="7" s="1"/>
  <c r="AR18" i="7"/>
  <c r="AS18" i="7" s="1"/>
  <c r="AM23" i="7"/>
  <c r="AW23" i="7" s="1"/>
  <c r="AM22" i="7"/>
  <c r="AW22" i="7" s="1"/>
  <c r="AW18" i="7" l="1"/>
  <c r="AS27" i="7"/>
  <c r="AW28" i="7"/>
  <c r="CE17" i="7"/>
  <c r="AW26" i="7"/>
  <c r="CE23" i="7"/>
  <c r="AW30" i="7"/>
  <c r="AJ29" i="7"/>
  <c r="CC29" i="7"/>
  <c r="AQ29" i="7"/>
  <c r="AS29" i="7" s="1"/>
  <c r="AL29" i="7"/>
  <c r="AW25" i="7"/>
  <c r="CA27" i="7"/>
  <c r="CC24" i="7"/>
  <c r="AQ24" i="7"/>
  <c r="AS24" i="7" s="1"/>
  <c r="AL24" i="7"/>
  <c r="AJ24" i="7"/>
  <c r="AW27" i="7"/>
  <c r="CE16" i="7"/>
  <c r="CA22" i="7" l="1"/>
  <c r="AL26" i="7"/>
  <c r="AJ26" i="7"/>
  <c r="AQ26" i="7"/>
  <c r="AS26" i="7" s="1"/>
  <c r="CC22" i="7"/>
  <c r="AJ31" i="7"/>
  <c r="AL31" i="7"/>
  <c r="AQ31" i="7"/>
  <c r="AS31" i="7" s="1"/>
  <c r="CA29" i="7"/>
  <c r="AQ28" i="7" l="1"/>
  <c r="AS28" i="7" s="1"/>
  <c r="AJ28" i="7"/>
  <c r="AL28" i="7"/>
  <c r="CA26" i="7"/>
  <c r="CC26" i="7"/>
  <c r="AQ30" i="7" l="1"/>
  <c r="AS30" i="7" s="1"/>
  <c r="AJ30" i="7"/>
  <c r="AL30" i="7"/>
  <c r="CA28" i="7"/>
  <c r="CC28" i="7"/>
</calcChain>
</file>

<file path=xl/sharedStrings.xml><?xml version="1.0" encoding="utf-8"?>
<sst xmlns="http://schemas.openxmlformats.org/spreadsheetml/2006/main" count="566" uniqueCount="258">
  <si>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</si>
  <si>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</si>
  <si>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</si>
  <si>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</si>
  <si>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</si>
  <si>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</si>
  <si>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</si>
  <si>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</si>
  <si>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</si>
  <si>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</si>
  <si>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</si>
  <si>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</si>
  <si>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</si>
  <si>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</si>
  <si>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</si>
  <si>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</si>
  <si>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</si>
  <si>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</si>
  <si>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</si>
  <si>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</si>
  <si>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</si>
  <si>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</si>
  <si>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</si>
  <si>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</si>
  <si>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</si>
  <si>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</si>
  <si>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</si>
  <si>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</si>
  <si>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</si>
  <si>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</si>
  <si>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</si>
  <si>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</si>
  <si>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</si>
  <si>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</si>
  <si>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</si>
  <si>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</si>
  <si>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</si>
  <si>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</si>
  <si>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</si>
  <si>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</si>
  <si>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</si>
  <si>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</si>
  <si>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</si>
  <si>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</si>
  <si>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</si>
  <si>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</si>
  <si>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</si>
  <si>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</si>
  <si>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</si>
  <si>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</si>
  <si>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</si>
  <si>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</si>
  <si>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</si>
  <si>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</si>
  <si>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</si>
  <si>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</si>
  <si>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</si>
  <si>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</si>
  <si>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</si>
  <si>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</si>
  <si>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</si>
  <si>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</si>
  <si>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</si>
  <si>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</si>
  <si>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</si>
  <si>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</si>
  <si>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</si>
  <si>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</si>
  <si>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</si>
  <si>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</si>
  <si>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</si>
  <si>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</si>
  <si>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</si>
  <si>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</si>
  <si>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</si>
  <si>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</si>
  <si>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</si>
  <si>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</si>
  <si>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</si>
  <si>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</si>
  <si>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</si>
  <si>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</si>
  <si>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</si>
  <si>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</si>
  <si>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</si>
  <si>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</si>
  <si>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</si>
  <si>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</si>
  <si>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</si>
  <si>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</si>
  <si>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</si>
  <si>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</si>
  <si>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</si>
  <si>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</si>
  <si>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</si>
  <si>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</si>
  <si>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</si>
  <si>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</si>
  <si>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</si>
  <si>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</si>
  <si>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</si>
  <si>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</si>
  <si>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</si>
  <si>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</si>
  <si>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</si>
  <si>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</si>
  <si>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</si>
  <si>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</si>
  <si>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</si>
  <si>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</si>
  <si>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</si>
  <si>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</si>
  <si>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</si>
  <si>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</si>
  <si>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</si>
  <si>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</si>
  <si>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</si>
  <si>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</si>
  <si>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</si>
  <si>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</si>
  <si>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</si>
  <si>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</si>
  <si>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</si>
  <si>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</si>
  <si>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</si>
  <si>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</si>
  <si>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</si>
  <si>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</si>
  <si>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</si>
  <si>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</si>
  <si>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</si>
  <si>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</si>
  <si>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</si>
  <si>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</si>
  <si>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</si>
  <si>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</si>
  <si>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</si>
  <si>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</si>
  <si>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</si>
  <si>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</si>
  <si>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</si>
  <si>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</si>
  <si>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</si>
  <si>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</si>
  <si>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</si>
  <si>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</si>
  <si>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</si>
  <si>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</si>
  <si>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</si>
  <si>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</si>
  <si>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</si>
  <si>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</si>
  <si>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</si>
  <si>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</si>
  <si>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</si>
  <si>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</si>
  <si>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</si>
  <si>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</si>
  <si>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</si>
  <si>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</si>
  <si>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</si>
  <si>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</si>
  <si>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</si>
  <si>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</si>
  <si>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</si>
  <si>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</si>
  <si>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</si>
  <si>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</si>
  <si>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</si>
  <si>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</si>
  <si>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</si>
  <si>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</si>
  <si>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</si>
  <si>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</si>
  <si>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</si>
  <si>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</si>
  <si>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</si>
  <si>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</si>
  <si>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</si>
  <si>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</si>
  <si>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</si>
  <si>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</si>
  <si>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</si>
  <si>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</si>
  <si>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</si>
  <si>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</si>
  <si>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</si>
  <si>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</si>
  <si>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</si>
  <si>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</si>
  <si>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</si>
  <si>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</si>
  <si>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</si>
  <si>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</si>
  <si>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</si>
  <si>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</si>
  <si>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</si>
  <si>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</si>
  <si>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</si>
  <si>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</si>
  <si>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</si>
  <si>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</si>
  <si>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</si>
  <si>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</si>
  <si>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</si>
  <si>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</si>
  <si>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</si>
  <si>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</si>
  <si>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</si>
  <si>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</si>
  <si>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</si>
  <si>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</si>
  <si>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</si>
  <si>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</si>
  <si>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</si>
  <si>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</si>
  <si>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</si>
  <si>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</si>
  <si>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</si>
  <si>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</si>
  <si>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</si>
  <si>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</si>
  <si>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</si>
  <si>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</si>
  <si>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</si>
  <si>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</si>
  <si>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</si>
  <si>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</si>
  <si>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</si>
  <si>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</si>
  <si>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</si>
  <si>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</si>
  <si>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</si>
  <si>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</si>
  <si>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</si>
  <si>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</si>
  <si>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</si>
  <si>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</si>
  <si>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</si>
  <si>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</si>
  <si>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</si>
  <si>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2L-29-1</t>
  </si>
  <si>
    <t>Jeff_SloHot50_Biostat 2L-29-2</t>
  </si>
  <si>
    <t>Jeff_SloHot50_Biostat 2L-29-3</t>
  </si>
  <si>
    <t>Jeff_SloHot50_Biostat 2L-29-4</t>
  </si>
  <si>
    <t>Jeff_SloHot50_Biostat 2L-29-5</t>
  </si>
  <si>
    <t>Jeff_SloHot50_Biostat 2L-29-6</t>
  </si>
  <si>
    <t>Jeff_SloHot50_Biostat 2L-29-7</t>
  </si>
  <si>
    <t>Jeff_SloHot50_Biostat 2L-29-8</t>
  </si>
  <si>
    <t>Jeff_SloHot50_Biostat 2L-29-9</t>
  </si>
  <si>
    <t>Jeff_SloHot50_Biostat 2L-29-10</t>
  </si>
  <si>
    <t>Jeff_SloHot50_Biostat 2L-29-11</t>
  </si>
  <si>
    <t>Jeff_SloHot50_Biostat 2L-29-12</t>
  </si>
  <si>
    <t>Jeff_SloHot50_Biostat 2L-29-14</t>
  </si>
  <si>
    <t>Jeff_SloHot50_Biostat 2L-29-16</t>
  </si>
  <si>
    <t>Jeff_SloHot50_Biostat 2L-29-18</t>
  </si>
  <si>
    <t>Jeff_SloHot50_Biostat 2L-29-20</t>
  </si>
  <si>
    <t>N.D.      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</si>
</sst>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166" fontId="3" fillId="0" borderId="0" xfId="4" applyNumberFormat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14" fontId="1" fillId="0" borderId="0" xfId="1" applyNumberFormat="1" applyFont="1"/>
    <xf numFmtId="0" fontId="1" fillId="0" borderId="0" xfId="1" applyFont="1"/>
    <xf numFmtId="0" fontId="0" fillId="0" borderId="4" xfId="0" applyBorder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5">
    <cellStyle name="Calculation 2" xfId="3" xr:uid="{66267FEE-D929-4171-A488-CA7E8E73D076}"/>
    <cellStyle name="Good 2" xfId="2" xr:uid="{BB8929C1-DC4A-4C80-9F36-39627D5F9C52}"/>
    <cellStyle name="Normal" xfId="0" builtinId="0"/>
    <cellStyle name="Normal 2" xfId="1" xr:uid="{685F35BD-F959-487C-830C-6DD7469CDCB7}"/>
    <cellStyle name="Percent 2" xfId="4" xr:uid="{904B81D6-53F2-48A2-AF92-1714E0D8A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178B-8CE0-457A-88B9-0B15B9AF79EA}">
  <dimension ref="A3:R31"/>
  <sheetViews>
    <sheetView workbookViewId="0">
      <selection activeCell="H9" sqref="H9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9EB-1582-49D0-823E-5FAD6AA18F04}">
  <dimension ref="A1:AB84"/>
  <sheetViews>
    <sheetView topLeftCell="A44" workbookViewId="0">
      <selection activeCell="H49" sqref="H49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1DC1-4586-4E44-BD14-806570BE42CB}">
  <dimension ref="A1:B5"/>
  <sheetViews>
    <sheetView workbookViewId="0">
      <selection activeCell="D33" sqref="D33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13EF-2AD4-4010-BC6A-619B9AA2BD3A}">
  <dimension ref="A2:E9"/>
  <sheetViews>
    <sheetView workbookViewId="0">
      <selection activeCell="F24" sqref="F2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9246-6A58-4F3E-88E9-0E79E0376135}">
  <dimension ref="B4:I25"/>
  <sheetViews>
    <sheetView workbookViewId="0">
      <selection activeCell="I13" sqref="I13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092D-D928-4676-9F3D-870AD67C22BE}">
  <dimension ref="A2:DB76"/>
  <sheetViews>
    <sheetView showGridLines="0" tabSelected="1" topLeftCell="M9" zoomScale="88" zoomScaleNormal="125" workbookViewId="0">
      <selection activeCell="R32" sqref="R32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8" t="s">
        <v>168</v>
      </c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15"/>
      <c r="BQ12" s="49" t="s">
        <v>169</v>
      </c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47" t="s">
        <v>241</v>
      </c>
      <c r="C14" s="47" t="s">
        <v>225</v>
      </c>
      <c r="D14" s="47" t="s">
        <v>225</v>
      </c>
      <c r="E14" s="47">
        <v>9.6454500000000003</v>
      </c>
      <c r="F14" s="47"/>
      <c r="G14" s="17"/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45">
        <v>45664</v>
      </c>
      <c r="Q14" s="3">
        <v>0.42708333333333331</v>
      </c>
      <c r="R14" s="1">
        <v>0.5</v>
      </c>
      <c r="S14" s="1" t="s">
        <v>226</v>
      </c>
      <c r="T14" s="1">
        <v>1</v>
      </c>
      <c r="V14" s="1" t="s">
        <v>227</v>
      </c>
      <c r="W14" s="1">
        <v>0.56100000000000005</v>
      </c>
      <c r="X14" s="1">
        <v>0</v>
      </c>
      <c r="Y14" s="1">
        <v>6.6470000000000002</v>
      </c>
      <c r="Z14" s="1">
        <v>6.6820000000000004</v>
      </c>
      <c r="AA14" s="1">
        <v>8</v>
      </c>
      <c r="AB14" s="1">
        <f>Z14-Y14</f>
        <v>3.5000000000000142E-2</v>
      </c>
      <c r="AC14" s="1">
        <f>AB14/(AA14/1000)</f>
        <v>4.3750000000000178</v>
      </c>
      <c r="AD14" s="1">
        <v>2.4</v>
      </c>
      <c r="AE14" s="1">
        <v>0.19</v>
      </c>
      <c r="AF14" s="28">
        <f>AE14/AD14</f>
        <v>7.9166666666666677E-2</v>
      </c>
      <c r="AG14" s="1">
        <f>AF14*AC14</f>
        <v>0.34635416666666813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8.7500000000000355</v>
      </c>
      <c r="AM14" s="1" t="e">
        <f>AC14/AI14</f>
        <v>#DIV/0!</v>
      </c>
      <c r="AO14" s="29"/>
      <c r="BD14" s="1" t="str">
        <f>IF(ISNUMBER(C14),C14*1000/100,"")</f>
        <v/>
      </c>
      <c r="BE14" s="1">
        <f>IF(ISNUMBER(D14),D14*1000/100,0)</f>
        <v>0</v>
      </c>
      <c r="BF14" s="1">
        <f>IF(ISNUMBER(E14),E14*1000/100,"")</f>
        <v>96.45450000000001</v>
      </c>
      <c r="BG14" s="1" t="str">
        <f t="shared" ref="BG14:BO29" si="0">IF(ISNUMBER(F14),F14*1000/100,"")</f>
        <v/>
      </c>
      <c r="BH14" s="1" t="str">
        <f t="shared" si="0"/>
        <v/>
      </c>
      <c r="BI14" s="1" t="str">
        <f t="shared" si="0"/>
        <v/>
      </c>
      <c r="BJ14" s="1" t="str">
        <f t="shared" si="0"/>
        <v/>
      </c>
      <c r="BK14" s="1" t="str">
        <f t="shared" si="0"/>
        <v/>
      </c>
      <c r="BL14" s="1" t="str">
        <f t="shared" si="0"/>
        <v/>
      </c>
      <c r="BM14" s="1" t="str">
        <f t="shared" si="0"/>
        <v/>
      </c>
      <c r="BN14" s="1" t="str">
        <f t="shared" si="0"/>
        <v/>
      </c>
      <c r="BO14" s="1" t="str">
        <f t="shared" si="0"/>
        <v/>
      </c>
      <c r="BP14" s="20"/>
      <c r="BQ14" s="20" t="str">
        <f>S14</f>
        <v>r1</v>
      </c>
      <c r="BR14" s="7"/>
      <c r="BS14" s="1" t="str">
        <f t="shared" ref="BS14:BS21" si="1">B14</f>
        <v>Jeff_SloHot50_Biostat 2L-29-1</v>
      </c>
      <c r="BU14" s="18"/>
      <c r="BW14" s="7"/>
      <c r="BX14" s="7"/>
      <c r="BY14" s="7">
        <f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47" t="s">
        <v>242</v>
      </c>
      <c r="C15" s="47" t="s">
        <v>225</v>
      </c>
      <c r="D15" s="47" t="s">
        <v>225</v>
      </c>
      <c r="E15" s="47">
        <v>9.6576199999999996</v>
      </c>
      <c r="F15" s="47"/>
      <c r="G15" s="17"/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P15" s="2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0.52300000000000002</v>
      </c>
      <c r="X15" s="1">
        <v>0</v>
      </c>
      <c r="Y15" s="1">
        <v>6.6516000000000002</v>
      </c>
      <c r="Z15" s="1">
        <v>6.6656000000000004</v>
      </c>
      <c r="AA15" s="1">
        <v>8</v>
      </c>
      <c r="AB15" s="1">
        <f t="shared" ref="AB15:AB31" si="2">Z15-Y15</f>
        <v>1.4000000000000234E-2</v>
      </c>
      <c r="AC15" s="1">
        <f t="shared" ref="AC15:AC29" si="3">AB15/(AA15/1000)</f>
        <v>1.7500000000000293</v>
      </c>
      <c r="AD15" s="1">
        <v>5.8</v>
      </c>
      <c r="AE15" s="1">
        <v>0.1915</v>
      </c>
      <c r="AF15" s="28">
        <f t="shared" ref="AF15:AF31" si="4">AE15/AD15</f>
        <v>3.301724137931035E-2</v>
      </c>
      <c r="AG15" s="1">
        <f t="shared" ref="AG15:AG31" si="5">AF15*AC15</f>
        <v>5.778017241379408E-2</v>
      </c>
      <c r="AI15" s="29">
        <f>$BF$15-BF15</f>
        <v>0</v>
      </c>
      <c r="AJ15" s="1">
        <f>BE15/R15</f>
        <v>0</v>
      </c>
      <c r="AK15" s="29" t="e">
        <f t="shared" ref="AK15:AK31" si="6">BE15/AI15</f>
        <v>#DIV/0!</v>
      </c>
      <c r="AL15" s="8">
        <f t="shared" ref="AL15:AL31" si="7">AC15/R15</f>
        <v>3.5000000000000586</v>
      </c>
      <c r="AM15" s="1" t="e">
        <f>AC15/AI15</f>
        <v>#DIV/0!</v>
      </c>
      <c r="AO15" s="29"/>
      <c r="BD15" s="1" t="str">
        <f t="shared" ref="BD15:BD29" si="8">IF(ISNUMBER(C15),C15*1000/100,"")</f>
        <v/>
      </c>
      <c r="BE15" s="1">
        <f t="shared" ref="BE15:BE30" si="9">IF(ISNUMBER(D15),D15*1000/100,0)</f>
        <v>0</v>
      </c>
      <c r="BF15" s="1">
        <f t="shared" ref="BF15:BO31" si="10">IF(ISNUMBER(E15),E15*1000/100,"")</f>
        <v>96.576199999999986</v>
      </c>
      <c r="BG15" s="1" t="str">
        <f t="shared" si="0"/>
        <v/>
      </c>
      <c r="BH15" s="1" t="str">
        <f t="shared" si="0"/>
        <v/>
      </c>
      <c r="BI15" s="1" t="str">
        <f t="shared" si="0"/>
        <v/>
      </c>
      <c r="BJ15" s="1" t="str">
        <f t="shared" si="0"/>
        <v/>
      </c>
      <c r="BK15" s="1" t="str">
        <f t="shared" si="0"/>
        <v/>
      </c>
      <c r="BL15" s="1" t="str">
        <f t="shared" si="0"/>
        <v/>
      </c>
      <c r="BM15" s="1" t="str">
        <f t="shared" si="0"/>
        <v/>
      </c>
      <c r="BN15" s="1" t="str">
        <f t="shared" si="0"/>
        <v/>
      </c>
      <c r="BO15" s="1" t="str">
        <f t="shared" si="0"/>
        <v/>
      </c>
      <c r="BP15" s="20"/>
      <c r="BQ15" s="20" t="str">
        <f>S15</f>
        <v>r2</v>
      </c>
      <c r="BR15" s="7"/>
      <c r="BS15" s="1" t="str">
        <f t="shared" si="1"/>
        <v>Jeff_SloHot50_Biostat 2L-29-2</v>
      </c>
      <c r="BT15" s="29"/>
      <c r="BU15" s="33"/>
      <c r="BW15" s="7"/>
      <c r="BX15" s="7"/>
      <c r="BY15" s="7">
        <f>$BF$15-BF15</f>
        <v>0</v>
      </c>
      <c r="BZ15" s="7"/>
      <c r="CA15" s="7">
        <f t="shared" ref="CA15" si="11">BY15/R15</f>
        <v>0</v>
      </c>
      <c r="CB15" s="7"/>
      <c r="CC15" s="30"/>
      <c r="CD15" s="31"/>
      <c r="CE15" s="31"/>
      <c r="CG15" s="32"/>
      <c r="CH15" s="32"/>
    </row>
    <row r="16" spans="1:106" x14ac:dyDescent="0.2">
      <c r="A16" s="17"/>
      <c r="B16" s="47" t="s">
        <v>243</v>
      </c>
      <c r="C16" s="47" t="s">
        <v>225</v>
      </c>
      <c r="D16" s="47" t="s">
        <v>225</v>
      </c>
      <c r="E16" s="47">
        <v>9.6008300000000002</v>
      </c>
      <c r="F16" s="47"/>
      <c r="G16" s="17"/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Q16" s="3">
        <v>0.55208333333333337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1.3160000000000001</v>
      </c>
      <c r="X16" s="1">
        <v>2</v>
      </c>
      <c r="Y16" s="1">
        <v>6.6387999999999998</v>
      </c>
      <c r="Z16" s="1">
        <v>6.6478999999999999</v>
      </c>
      <c r="AA16" s="1">
        <v>8</v>
      </c>
      <c r="AB16" s="1">
        <f t="shared" si="2"/>
        <v>9.100000000000108E-3</v>
      </c>
      <c r="AC16" s="1">
        <f t="shared" si="3"/>
        <v>1.1375000000000135</v>
      </c>
      <c r="AD16" s="1">
        <v>7.2</v>
      </c>
      <c r="AE16" s="1">
        <v>0.27850000000000003</v>
      </c>
      <c r="AF16" s="28">
        <f>AE16/AD16</f>
        <v>3.8680555555555558E-2</v>
      </c>
      <c r="AG16" s="1">
        <f t="shared" si="5"/>
        <v>4.399913194444497E-2</v>
      </c>
      <c r="AI16" s="29">
        <f>$BF$14-BF16</f>
        <v>0.44620000000000459</v>
      </c>
      <c r="AJ16" s="1">
        <f>BE16/R16</f>
        <v>0</v>
      </c>
      <c r="AK16" s="29">
        <f t="shared" si="6"/>
        <v>0</v>
      </c>
      <c r="AL16" s="8">
        <f t="shared" si="7"/>
        <v>0.32500000000000384</v>
      </c>
      <c r="AM16" s="8">
        <f>AC16/AI16</f>
        <v>2.5493052442850779</v>
      </c>
      <c r="AO16" s="29"/>
      <c r="AP16" s="1">
        <f t="shared" ref="AP16:AP31" si="12">BF14-BF16</f>
        <v>0.44620000000000459</v>
      </c>
      <c r="AQ16" s="8">
        <f>AP16/(R16-R14)</f>
        <v>0.14873333333333486</v>
      </c>
      <c r="AR16" s="8">
        <f>(AC16-AC14)/(AI16-AI14)</f>
        <v>-7.2557149260420681</v>
      </c>
      <c r="AS16" s="29">
        <f>AR16/AQ16</f>
        <v>-48.78338139427607</v>
      </c>
      <c r="AT16" s="8">
        <f>(BE16-BE14)/(AI16-AI14)</f>
        <v>0</v>
      </c>
      <c r="AU16" s="34">
        <f>AT16/AP16</f>
        <v>0</v>
      </c>
      <c r="AV16" s="8"/>
      <c r="AW16" s="8">
        <f>AK16+AM16</f>
        <v>2.5493052442850779</v>
      </c>
      <c r="BD16" s="1" t="str">
        <f t="shared" si="8"/>
        <v/>
      </c>
      <c r="BE16" s="1">
        <f t="shared" si="9"/>
        <v>0</v>
      </c>
      <c r="BF16" s="1">
        <f t="shared" si="10"/>
        <v>96.008300000000006</v>
      </c>
      <c r="BG16" s="1" t="str">
        <f t="shared" si="0"/>
        <v/>
      </c>
      <c r="BH16" s="1" t="str">
        <f t="shared" si="0"/>
        <v/>
      </c>
      <c r="BI16" s="1" t="str">
        <f t="shared" si="0"/>
        <v/>
      </c>
      <c r="BJ16" s="1" t="str">
        <f t="shared" si="0"/>
        <v/>
      </c>
      <c r="BK16" s="1" t="str">
        <f t="shared" si="0"/>
        <v/>
      </c>
      <c r="BL16" s="1" t="str">
        <f t="shared" si="0"/>
        <v/>
      </c>
      <c r="BM16" s="1" t="str">
        <f t="shared" si="0"/>
        <v/>
      </c>
      <c r="BN16" s="1" t="str">
        <f t="shared" si="0"/>
        <v/>
      </c>
      <c r="BO16" s="1" t="str">
        <f t="shared" si="0"/>
        <v/>
      </c>
      <c r="BP16" s="20"/>
      <c r="BQ16" s="20" t="str">
        <f t="shared" ref="BQ16:BQ21" si="13">S16</f>
        <v>r1</v>
      </c>
      <c r="BR16" s="7"/>
      <c r="BS16" s="1" t="str">
        <f t="shared" si="1"/>
        <v>Jeff_SloHot50_Biostat 2L-29-3</v>
      </c>
      <c r="BT16" s="29"/>
      <c r="BU16" s="33"/>
      <c r="BV16" s="7"/>
      <c r="BW16" s="35"/>
      <c r="BX16" s="35"/>
      <c r="BY16" s="7">
        <f>$BF$14-BF16</f>
        <v>0.44620000000000459</v>
      </c>
      <c r="BZ16" s="7"/>
      <c r="CA16" s="7">
        <f t="shared" ref="CA16:CA21" si="14">BY16/R18</f>
        <v>9.9155555555556579E-2</v>
      </c>
      <c r="CB16" s="7">
        <f>BY16-BY14</f>
        <v>0.44620000000000459</v>
      </c>
      <c r="CC16" s="30">
        <f>CB16/(R18-R14)</f>
        <v>0.11155000000000115</v>
      </c>
      <c r="CD16" s="30">
        <f>AC16-AC14</f>
        <v>-3.2375000000000043</v>
      </c>
      <c r="CE16" s="36">
        <f>CD16/CB16</f>
        <v>-7.2557149260420681</v>
      </c>
      <c r="CF16" s="8"/>
      <c r="CG16" s="37"/>
      <c r="CH16" s="32"/>
      <c r="CI16" s="32"/>
      <c r="CN16" s="29"/>
      <c r="CO16" s="29"/>
      <c r="CP16" s="7"/>
      <c r="CQ16" s="7"/>
      <c r="CR16" s="7"/>
      <c r="CS16" s="29"/>
      <c r="CZ16" s="7"/>
      <c r="DA16" s="7"/>
      <c r="DB16" s="7"/>
    </row>
    <row r="17" spans="1:106" x14ac:dyDescent="0.2">
      <c r="A17" s="17"/>
      <c r="B17" s="47" t="s">
        <v>244</v>
      </c>
      <c r="C17" s="47" t="s">
        <v>225</v>
      </c>
      <c r="D17" s="47" t="s">
        <v>225</v>
      </c>
      <c r="E17" s="47">
        <v>9.6367999999999991</v>
      </c>
      <c r="F17" s="47"/>
      <c r="G17" s="17"/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0.60399999999999998</v>
      </c>
      <c r="X17" s="1">
        <v>0</v>
      </c>
      <c r="Y17" s="1">
        <v>6.6143000000000001</v>
      </c>
      <c r="Z17" s="1">
        <v>6.6162999999999998</v>
      </c>
      <c r="AA17" s="1">
        <v>8</v>
      </c>
      <c r="AB17" s="1">
        <f t="shared" si="2"/>
        <v>1.9999999999997797E-3</v>
      </c>
      <c r="AC17" s="1">
        <f t="shared" si="3"/>
        <v>0.24999999999997247</v>
      </c>
      <c r="AD17" s="1">
        <v>4.3</v>
      </c>
      <c r="AE17" s="1">
        <v>0.3095</v>
      </c>
      <c r="AF17" s="28">
        <f t="shared" si="4"/>
        <v>7.1976744186046521E-2</v>
      </c>
      <c r="AG17" s="1">
        <f t="shared" si="5"/>
        <v>1.7994186046509649E-2</v>
      </c>
      <c r="AI17" s="29">
        <f>$BF$15-BF17</f>
        <v>0.20819999999999084</v>
      </c>
      <c r="AJ17" s="1">
        <f t="shared" ref="AJ17:AJ31" si="15">BE17/R17</f>
        <v>0</v>
      </c>
      <c r="AK17" s="29">
        <f t="shared" si="6"/>
        <v>0</v>
      </c>
      <c r="AL17" s="8">
        <f t="shared" si="7"/>
        <v>7.1428571428563556E-2</v>
      </c>
      <c r="AM17" s="8">
        <f t="shared" ref="AM17:AM31" si="16">AC17/AI17</f>
        <v>1.2007684918346948</v>
      </c>
      <c r="AO17" s="29"/>
      <c r="AP17" s="1">
        <f t="shared" si="12"/>
        <v>0.20819999999999084</v>
      </c>
      <c r="AQ17" s="8">
        <f>AP17/(R17-R15)</f>
        <v>6.939999999999695E-2</v>
      </c>
      <c r="AR17" s="8">
        <f t="shared" ref="AR17:AR31" si="17">(AC17-AC15)/(AI17-AI15)</f>
        <v>-7.2046109510092355</v>
      </c>
      <c r="AS17" s="29">
        <f t="shared" ref="AS17:AS31" si="18">AR17/AQ17</f>
        <v>-103.81283791080047</v>
      </c>
      <c r="AT17" s="8">
        <f>(BE17-BE15)/(AI17-AI15)</f>
        <v>0</v>
      </c>
      <c r="AU17" s="34">
        <f t="shared" ref="AU17:AU31" si="19">AT17/AP17</f>
        <v>0</v>
      </c>
      <c r="AV17" s="8"/>
      <c r="AW17" s="8">
        <f t="shared" ref="AW17:AW31" si="20">AK17+AM17</f>
        <v>1.2007684918346948</v>
      </c>
      <c r="BD17" s="1" t="str">
        <f t="shared" si="8"/>
        <v/>
      </c>
      <c r="BE17" s="1">
        <f t="shared" si="9"/>
        <v>0</v>
      </c>
      <c r="BF17" s="1">
        <f t="shared" si="10"/>
        <v>96.367999999999995</v>
      </c>
      <c r="BG17" s="1" t="str">
        <f t="shared" si="0"/>
        <v/>
      </c>
      <c r="BH17" s="1" t="str">
        <f t="shared" si="0"/>
        <v/>
      </c>
      <c r="BI17" s="1" t="str">
        <f t="shared" si="0"/>
        <v/>
      </c>
      <c r="BJ17" s="1" t="str">
        <f t="shared" si="0"/>
        <v/>
      </c>
      <c r="BK17" s="1" t="str">
        <f t="shared" si="0"/>
        <v/>
      </c>
      <c r="BL17" s="1" t="str">
        <f t="shared" si="0"/>
        <v/>
      </c>
      <c r="BM17" s="1" t="str">
        <f t="shared" si="0"/>
        <v/>
      </c>
      <c r="BN17" s="1" t="str">
        <f t="shared" si="0"/>
        <v/>
      </c>
      <c r="BO17" s="1" t="str">
        <f t="shared" si="0"/>
        <v/>
      </c>
      <c r="BP17" s="20"/>
      <c r="BQ17" s="20" t="str">
        <f t="shared" si="13"/>
        <v>r2</v>
      </c>
      <c r="BR17" s="7"/>
      <c r="BS17" s="1" t="str">
        <f t="shared" si="1"/>
        <v>Jeff_SloHot50_Biostat 2L-29-4</v>
      </c>
      <c r="BT17" s="29"/>
      <c r="BU17" s="33"/>
      <c r="BV17" s="7"/>
      <c r="BW17" s="35"/>
      <c r="BX17" s="35"/>
      <c r="BY17" s="7">
        <f>$BF$15-BF17</f>
        <v>0.20819999999999084</v>
      </c>
      <c r="BZ17" s="7"/>
      <c r="CA17" s="7">
        <f t="shared" si="14"/>
        <v>4.6266666666664631E-2</v>
      </c>
      <c r="CB17" s="7">
        <f t="shared" ref="CB17:CB29" si="21">BY17-BY15</f>
        <v>0.20819999999999084</v>
      </c>
      <c r="CC17" s="30">
        <f>CB17/(R19-R15)</f>
        <v>5.2049999999997709E-2</v>
      </c>
      <c r="CD17" s="30">
        <f>AC17-AC15</f>
        <v>-1.5000000000000568</v>
      </c>
      <c r="CE17" s="36">
        <f>CD17/CB17</f>
        <v>-7.2046109510092355</v>
      </c>
      <c r="CF17" s="8"/>
      <c r="CG17" s="37"/>
      <c r="CH17" s="37"/>
      <c r="CI17" s="32"/>
      <c r="CN17" s="29"/>
      <c r="CO17" s="29"/>
      <c r="CP17" s="7"/>
      <c r="CQ17" s="7"/>
      <c r="CR17" s="7"/>
      <c r="CS17" s="29"/>
      <c r="CZ17" s="7"/>
      <c r="DA17" s="7"/>
      <c r="DB17" s="7"/>
    </row>
    <row r="18" spans="1:106" x14ac:dyDescent="0.2">
      <c r="A18" s="17"/>
      <c r="B18" s="47" t="s">
        <v>245</v>
      </c>
      <c r="C18" s="47" t="s">
        <v>225</v>
      </c>
      <c r="D18" s="47" t="s">
        <v>225</v>
      </c>
      <c r="E18" s="47">
        <v>9.5411199999999994</v>
      </c>
      <c r="F18" s="47"/>
      <c r="G18" s="17"/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0.59375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X18" s="1">
        <v>3</v>
      </c>
      <c r="AA18" s="1">
        <v>8</v>
      </c>
      <c r="AB18" s="1">
        <f t="shared" si="2"/>
        <v>0</v>
      </c>
      <c r="AC18" s="1">
        <f t="shared" si="3"/>
        <v>0</v>
      </c>
      <c r="AE18" s="1">
        <v>0</v>
      </c>
      <c r="AF18" s="28" t="e">
        <f t="shared" si="4"/>
        <v>#DIV/0!</v>
      </c>
      <c r="AG18" s="1" t="e">
        <f t="shared" si="5"/>
        <v>#DIV/0!</v>
      </c>
      <c r="AI18" s="29">
        <f t="shared" ref="AI18" si="22">$BF$14-BF18</f>
        <v>1.0433000000000163</v>
      </c>
      <c r="AJ18" s="1">
        <f t="shared" si="15"/>
        <v>0</v>
      </c>
      <c r="AK18" s="29">
        <f t="shared" si="6"/>
        <v>0</v>
      </c>
      <c r="AL18" s="8">
        <f t="shared" si="7"/>
        <v>0</v>
      </c>
      <c r="AM18" s="8">
        <f t="shared" si="16"/>
        <v>0</v>
      </c>
      <c r="AO18" s="29"/>
      <c r="AP18" s="1">
        <f t="shared" si="12"/>
        <v>0.59710000000001173</v>
      </c>
      <c r="AQ18" s="8">
        <f t="shared" ref="AQ18:AQ31" si="23">AP18/(R18-R16)</f>
        <v>0.59710000000001173</v>
      </c>
      <c r="AR18" s="8">
        <f t="shared" si="17"/>
        <v>-1.9050410316529747</v>
      </c>
      <c r="AS18" s="29">
        <f t="shared" si="18"/>
        <v>-3.1904890833242963</v>
      </c>
      <c r="AT18" s="8">
        <f t="shared" ref="AT18:AT31" si="24">(BE18-BE16)/(AI18-AI16)</f>
        <v>0</v>
      </c>
      <c r="AU18" s="34">
        <f t="shared" si="19"/>
        <v>0</v>
      </c>
      <c r="AV18" s="8"/>
      <c r="AW18" s="8">
        <f t="shared" si="20"/>
        <v>0</v>
      </c>
      <c r="BD18" s="1" t="str">
        <f t="shared" si="8"/>
        <v/>
      </c>
      <c r="BE18" s="1">
        <f t="shared" si="9"/>
        <v>0</v>
      </c>
      <c r="BF18" s="1">
        <f t="shared" si="10"/>
        <v>95.411199999999994</v>
      </c>
      <c r="BG18" s="1" t="str">
        <f t="shared" si="0"/>
        <v/>
      </c>
      <c r="BH18" s="1" t="str">
        <f t="shared" si="0"/>
        <v/>
      </c>
      <c r="BI18" s="1" t="str">
        <f t="shared" si="0"/>
        <v/>
      </c>
      <c r="BJ18" s="1" t="str">
        <f t="shared" si="0"/>
        <v/>
      </c>
      <c r="BK18" s="1" t="str">
        <f t="shared" si="0"/>
        <v/>
      </c>
      <c r="BL18" s="1" t="str">
        <f t="shared" si="0"/>
        <v/>
      </c>
      <c r="BM18" s="1" t="str">
        <f t="shared" si="0"/>
        <v/>
      </c>
      <c r="BN18" s="1" t="str">
        <f t="shared" si="0"/>
        <v/>
      </c>
      <c r="BO18" s="1" t="str">
        <f t="shared" si="0"/>
        <v/>
      </c>
      <c r="BP18" s="20"/>
      <c r="BQ18" s="20" t="str">
        <f t="shared" si="13"/>
        <v>r1</v>
      </c>
      <c r="BR18" s="7"/>
      <c r="BS18" s="1" t="str">
        <f t="shared" si="1"/>
        <v>Jeff_SloHot50_Biostat 2L-29-5</v>
      </c>
      <c r="BT18" s="29"/>
      <c r="BU18" s="33"/>
      <c r="BV18" s="7"/>
      <c r="BW18" s="35"/>
      <c r="BX18" s="7"/>
      <c r="BY18" s="7">
        <f>$BF$14-BF18</f>
        <v>1.0433000000000163</v>
      </c>
      <c r="BZ18" s="7"/>
      <c r="CA18" s="7">
        <f t="shared" si="14"/>
        <v>0.18969090909091205</v>
      </c>
      <c r="CB18" s="7">
        <f t="shared" si="21"/>
        <v>0.59710000000001173</v>
      </c>
      <c r="CC18" s="30">
        <f>CB18/(R20-R18)</f>
        <v>0.59710000000001173</v>
      </c>
      <c r="CD18" s="30"/>
      <c r="CE18" s="36"/>
      <c r="CF18" s="8"/>
      <c r="CG18" s="37"/>
      <c r="CH18" s="37"/>
      <c r="CI18" s="8"/>
      <c r="CN18" s="29"/>
      <c r="CO18" s="29"/>
      <c r="CP18" s="7"/>
      <c r="CQ18" s="7"/>
      <c r="CR18" s="7"/>
      <c r="CS18" s="29"/>
      <c r="CT18" s="29"/>
      <c r="CU18" s="29"/>
      <c r="CZ18" s="7"/>
      <c r="DA18" s="7"/>
      <c r="DB18" s="7"/>
    </row>
    <row r="19" spans="1:106" x14ac:dyDescent="0.2">
      <c r="A19" s="17"/>
      <c r="B19" s="47" t="s">
        <v>246</v>
      </c>
      <c r="C19" s="47" t="s">
        <v>225</v>
      </c>
      <c r="D19" s="47" t="s">
        <v>225</v>
      </c>
      <c r="E19" s="47">
        <v>9.5512300000000003</v>
      </c>
      <c r="F19" s="47"/>
      <c r="G19" s="17"/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X19" s="1">
        <v>1</v>
      </c>
      <c r="AA19" s="1">
        <v>8</v>
      </c>
      <c r="AB19" s="1">
        <f t="shared" si="2"/>
        <v>0</v>
      </c>
      <c r="AC19" s="1">
        <f t="shared" si="3"/>
        <v>0</v>
      </c>
      <c r="AE19" s="1">
        <v>0</v>
      </c>
      <c r="AF19" s="28" t="e">
        <f t="shared" si="4"/>
        <v>#DIV/0!</v>
      </c>
      <c r="AG19" s="1" t="e">
        <f t="shared" si="5"/>
        <v>#DIV/0!</v>
      </c>
      <c r="AI19" s="29">
        <f t="shared" ref="AI19" si="25">$BF$15-BF19</f>
        <v>1.0638999999999896</v>
      </c>
      <c r="AJ19" s="1">
        <f t="shared" si="15"/>
        <v>0</v>
      </c>
      <c r="AK19" s="29">
        <f t="shared" si="6"/>
        <v>0</v>
      </c>
      <c r="AL19" s="8">
        <f t="shared" si="7"/>
        <v>0</v>
      </c>
      <c r="AM19" s="8">
        <f t="shared" si="16"/>
        <v>0</v>
      </c>
      <c r="AO19" s="29"/>
      <c r="AP19" s="1">
        <f t="shared" si="12"/>
        <v>0.85569999999999879</v>
      </c>
      <c r="AQ19" s="8">
        <f t="shared" si="23"/>
        <v>0.85569999999999879</v>
      </c>
      <c r="AR19" s="8">
        <f t="shared" si="17"/>
        <v>-0.2921584667523347</v>
      </c>
      <c r="AS19" s="29">
        <f t="shared" si="18"/>
        <v>-0.34142627878033788</v>
      </c>
      <c r="AT19" s="8">
        <f t="shared" si="24"/>
        <v>0</v>
      </c>
      <c r="AU19" s="34">
        <f t="shared" si="19"/>
        <v>0</v>
      </c>
      <c r="AV19" s="8"/>
      <c r="AW19" s="8">
        <f t="shared" si="20"/>
        <v>0</v>
      </c>
      <c r="BD19" s="1" t="str">
        <f t="shared" si="8"/>
        <v/>
      </c>
      <c r="BE19" s="1">
        <f t="shared" si="9"/>
        <v>0</v>
      </c>
      <c r="BF19" s="1">
        <f t="shared" si="10"/>
        <v>95.512299999999996</v>
      </c>
      <c r="BG19" s="1" t="str">
        <f t="shared" si="0"/>
        <v/>
      </c>
      <c r="BH19" s="1" t="str">
        <f t="shared" si="0"/>
        <v/>
      </c>
      <c r="BI19" s="1" t="str">
        <f t="shared" si="0"/>
        <v/>
      </c>
      <c r="BJ19" s="1" t="str">
        <f t="shared" si="0"/>
        <v/>
      </c>
      <c r="BK19" s="1" t="str">
        <f t="shared" si="0"/>
        <v/>
      </c>
      <c r="BL19" s="1" t="str">
        <f t="shared" si="0"/>
        <v/>
      </c>
      <c r="BM19" s="1" t="str">
        <f t="shared" si="0"/>
        <v/>
      </c>
      <c r="BN19" s="1" t="str">
        <f t="shared" si="0"/>
        <v/>
      </c>
      <c r="BO19" s="1" t="str">
        <f t="shared" si="0"/>
        <v/>
      </c>
      <c r="BP19" s="20"/>
      <c r="BQ19" s="20" t="str">
        <f t="shared" si="13"/>
        <v>r2</v>
      </c>
      <c r="BR19" s="7"/>
      <c r="BS19" s="1" t="str">
        <f t="shared" si="1"/>
        <v>Jeff_SloHot50_Biostat 2L-29-6</v>
      </c>
      <c r="BT19" s="29"/>
      <c r="BU19" s="33"/>
      <c r="BV19" s="7"/>
      <c r="BW19" s="35"/>
      <c r="BX19" s="7"/>
      <c r="BY19" s="7">
        <f>$BF$15-BF19</f>
        <v>1.0638999999999896</v>
      </c>
      <c r="BZ19" s="7"/>
      <c r="CA19" s="7">
        <f t="shared" si="14"/>
        <v>0.19343636363636174</v>
      </c>
      <c r="CB19" s="7">
        <f t="shared" si="21"/>
        <v>0.85569999999999879</v>
      </c>
      <c r="CC19" s="30">
        <f>CB19/(R21-R19)</f>
        <v>0.85569999999999879</v>
      </c>
      <c r="CD19" s="30"/>
      <c r="CE19" s="36"/>
      <c r="CF19" s="8"/>
      <c r="CG19" s="37"/>
      <c r="CH19" s="37"/>
      <c r="CI19" s="8"/>
      <c r="CN19" s="29"/>
      <c r="CO19" s="29"/>
      <c r="CP19" s="7"/>
      <c r="CQ19" s="7"/>
      <c r="CR19" s="7"/>
      <c r="CS19" s="29"/>
      <c r="CT19" s="29"/>
      <c r="CU19" s="29"/>
      <c r="CZ19" s="7"/>
      <c r="DA19" s="7"/>
      <c r="DB19" s="7"/>
    </row>
    <row r="20" spans="1:106" x14ac:dyDescent="0.2">
      <c r="B20" s="47" t="s">
        <v>247</v>
      </c>
      <c r="C20" s="47" t="s">
        <v>225</v>
      </c>
      <c r="D20" s="47" t="s">
        <v>225</v>
      </c>
      <c r="E20" s="47">
        <v>9.4456299999999995</v>
      </c>
      <c r="F20" s="47"/>
      <c r="G20" s="17"/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0.63541666666666663</v>
      </c>
      <c r="R20" s="1">
        <v>5.5</v>
      </c>
      <c r="S20" s="1" t="s">
        <v>226</v>
      </c>
      <c r="T20" s="1">
        <v>7</v>
      </c>
      <c r="U20" s="1">
        <v>8</v>
      </c>
      <c r="V20" s="1" t="s">
        <v>227</v>
      </c>
      <c r="W20" s="1">
        <v>2.74</v>
      </c>
      <c r="X20" s="1">
        <v>4</v>
      </c>
      <c r="Y20" s="1">
        <v>6.6169000000000002</v>
      </c>
      <c r="Z20" s="1">
        <v>6.6398999999999999</v>
      </c>
      <c r="AA20" s="1">
        <v>8</v>
      </c>
      <c r="AB20" s="1">
        <f t="shared" si="2"/>
        <v>2.2999999999999687E-2</v>
      </c>
      <c r="AC20" s="1">
        <f t="shared" si="3"/>
        <v>2.8749999999999609</v>
      </c>
      <c r="AD20" s="1">
        <v>14.6</v>
      </c>
      <c r="AE20" s="1">
        <v>0.33450000000000002</v>
      </c>
      <c r="AF20" s="28">
        <f t="shared" si="4"/>
        <v>2.2910958904109591E-2</v>
      </c>
      <c r="AG20" s="1">
        <f t="shared" si="5"/>
        <v>6.5869006849314182E-2</v>
      </c>
      <c r="AI20" s="29">
        <f t="shared" ref="AI20" si="26">$BF$14-BF20</f>
        <v>1.9982000000000113</v>
      </c>
      <c r="AJ20" s="1">
        <f t="shared" si="15"/>
        <v>0</v>
      </c>
      <c r="AK20" s="29">
        <f t="shared" si="6"/>
        <v>0</v>
      </c>
      <c r="AL20" s="8">
        <f t="shared" si="7"/>
        <v>0.5227272727272656</v>
      </c>
      <c r="AM20" s="8">
        <f t="shared" si="16"/>
        <v>1.4387949154238537</v>
      </c>
      <c r="AO20" s="29"/>
      <c r="AP20" s="1">
        <f t="shared" si="12"/>
        <v>0.95489999999999498</v>
      </c>
      <c r="AQ20" s="8">
        <f t="shared" si="23"/>
        <v>0.95489999999999498</v>
      </c>
      <c r="AR20" s="8">
        <f t="shared" si="17"/>
        <v>3.0107864697873872</v>
      </c>
      <c r="AS20" s="29">
        <f t="shared" si="18"/>
        <v>3.1529861449234509</v>
      </c>
      <c r="AT20" s="8">
        <f t="shared" si="24"/>
        <v>0</v>
      </c>
      <c r="AU20" s="34">
        <f t="shared" si="19"/>
        <v>0</v>
      </c>
      <c r="AV20" s="8"/>
      <c r="AW20" s="8">
        <f t="shared" si="20"/>
        <v>1.4387949154238537</v>
      </c>
      <c r="BD20" s="1" t="str">
        <f t="shared" si="8"/>
        <v/>
      </c>
      <c r="BE20" s="1">
        <f t="shared" si="9"/>
        <v>0</v>
      </c>
      <c r="BF20" s="1">
        <f t="shared" si="10"/>
        <v>94.456299999999999</v>
      </c>
      <c r="BG20" s="1" t="str">
        <f t="shared" si="0"/>
        <v/>
      </c>
      <c r="BH20" s="1" t="str">
        <f t="shared" si="0"/>
        <v/>
      </c>
      <c r="BI20" s="1" t="str">
        <f t="shared" si="0"/>
        <v/>
      </c>
      <c r="BJ20" s="1" t="str">
        <f t="shared" si="0"/>
        <v/>
      </c>
      <c r="BK20" s="1" t="str">
        <f t="shared" si="0"/>
        <v/>
      </c>
      <c r="BL20" s="1" t="str">
        <f t="shared" si="0"/>
        <v/>
      </c>
      <c r="BM20" s="1" t="str">
        <f t="shared" si="0"/>
        <v/>
      </c>
      <c r="BN20" s="1" t="str">
        <f t="shared" si="0"/>
        <v/>
      </c>
      <c r="BO20" s="1" t="str">
        <f t="shared" si="0"/>
        <v/>
      </c>
      <c r="BP20" s="20"/>
      <c r="BQ20" s="20" t="str">
        <f t="shared" si="13"/>
        <v>r1</v>
      </c>
      <c r="BR20" s="7"/>
      <c r="BS20" s="1" t="str">
        <f t="shared" si="1"/>
        <v>Jeff_SloHot50_Biostat 2L-29-7</v>
      </c>
      <c r="BT20" s="29"/>
      <c r="BU20" s="33"/>
      <c r="BV20" s="7"/>
      <c r="BW20" s="35"/>
      <c r="BX20" s="7"/>
      <c r="BY20" s="7">
        <f>$BF$14-BF20</f>
        <v>1.9982000000000113</v>
      </c>
      <c r="BZ20" s="7"/>
      <c r="CA20" s="7">
        <f t="shared" si="14"/>
        <v>8.3258333333333809E-2</v>
      </c>
      <c r="CB20" s="7">
        <f t="shared" si="21"/>
        <v>0.95489999999999498</v>
      </c>
      <c r="CC20" s="30">
        <f>CB20/(R22-R20)</f>
        <v>5.1616216216215947E-2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7"/>
      <c r="DB20" s="7"/>
    </row>
    <row r="21" spans="1:106" x14ac:dyDescent="0.2">
      <c r="B21" s="47" t="s">
        <v>248</v>
      </c>
      <c r="C21" s="47" t="s">
        <v>225</v>
      </c>
      <c r="D21" s="47" t="s">
        <v>225</v>
      </c>
      <c r="E21" s="47">
        <v>9.5581399999999999</v>
      </c>
      <c r="F21" s="47"/>
      <c r="G21" s="17"/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V21" s="1" t="s">
        <v>227</v>
      </c>
      <c r="W21" s="1">
        <v>1.6</v>
      </c>
      <c r="X21" s="1">
        <v>1</v>
      </c>
      <c r="Y21" s="1">
        <v>6.6199000000000003</v>
      </c>
      <c r="Z21" s="1">
        <v>6.6326000000000001</v>
      </c>
      <c r="AA21" s="1">
        <v>8</v>
      </c>
      <c r="AB21" s="1">
        <f t="shared" si="2"/>
        <v>1.2699999999999712E-2</v>
      </c>
      <c r="AC21" s="1">
        <f t="shared" si="3"/>
        <v>1.5874999999999639</v>
      </c>
      <c r="AD21" s="1">
        <v>8</v>
      </c>
      <c r="AE21" s="1">
        <v>0.38699999999999996</v>
      </c>
      <c r="AF21" s="28">
        <f t="shared" si="4"/>
        <v>4.8374999999999994E-2</v>
      </c>
      <c r="AG21" s="1">
        <f t="shared" si="5"/>
        <v>7.6795312499998242E-2</v>
      </c>
      <c r="AI21" s="29">
        <f t="shared" ref="AI21" si="27">$BF$15-BF21</f>
        <v>0.99479999999999791</v>
      </c>
      <c r="AJ21" s="1">
        <f t="shared" si="15"/>
        <v>0</v>
      </c>
      <c r="AK21" s="29">
        <f t="shared" si="6"/>
        <v>0</v>
      </c>
      <c r="AL21" s="8">
        <f t="shared" si="7"/>
        <v>0.28863636363635709</v>
      </c>
      <c r="AM21" s="8">
        <f t="shared" si="16"/>
        <v>1.5957981503819534</v>
      </c>
      <c r="AO21" s="29"/>
      <c r="AP21" s="1">
        <f t="shared" si="12"/>
        <v>-6.9099999999991724E-2</v>
      </c>
      <c r="AQ21" s="8">
        <f t="shared" si="23"/>
        <v>-6.9099999999991724E-2</v>
      </c>
      <c r="AR21" s="8">
        <f t="shared" si="17"/>
        <v>-22.973950795950131</v>
      </c>
      <c r="AS21" s="29">
        <f t="shared" si="18"/>
        <v>332.47396231480292</v>
      </c>
      <c r="AT21" s="8">
        <f t="shared" si="24"/>
        <v>0</v>
      </c>
      <c r="AU21" s="34">
        <f t="shared" si="19"/>
        <v>0</v>
      </c>
      <c r="AV21" s="8"/>
      <c r="AW21" s="8">
        <f t="shared" si="20"/>
        <v>1.5957981503819534</v>
      </c>
      <c r="BD21" s="1" t="str">
        <f t="shared" si="8"/>
        <v/>
      </c>
      <c r="BE21" s="1">
        <f t="shared" si="9"/>
        <v>0</v>
      </c>
      <c r="BF21" s="1">
        <f t="shared" si="10"/>
        <v>95.581399999999988</v>
      </c>
      <c r="BG21" s="1" t="str">
        <f t="shared" si="0"/>
        <v/>
      </c>
      <c r="BH21" s="1" t="str">
        <f t="shared" si="0"/>
        <v/>
      </c>
      <c r="BI21" s="1" t="str">
        <f t="shared" si="0"/>
        <v/>
      </c>
      <c r="BJ21" s="1" t="str">
        <f t="shared" si="0"/>
        <v/>
      </c>
      <c r="BK21" s="1" t="str">
        <f t="shared" si="0"/>
        <v/>
      </c>
      <c r="BL21" s="1" t="str">
        <f t="shared" si="0"/>
        <v/>
      </c>
      <c r="BM21" s="1" t="str">
        <f t="shared" si="0"/>
        <v/>
      </c>
      <c r="BN21" s="1" t="str">
        <f t="shared" si="0"/>
        <v/>
      </c>
      <c r="BO21" s="1" t="str">
        <f t="shared" si="0"/>
        <v/>
      </c>
      <c r="BP21" s="20"/>
      <c r="BQ21" s="20" t="str">
        <f t="shared" si="13"/>
        <v>r2</v>
      </c>
      <c r="BR21" s="7"/>
      <c r="BS21" s="1" t="str">
        <f t="shared" si="1"/>
        <v>Jeff_SloHot50_Biostat 2L-29-8</v>
      </c>
      <c r="BT21" s="29"/>
      <c r="BU21" s="33"/>
      <c r="BV21" s="7"/>
      <c r="BW21" s="35"/>
      <c r="BX21" s="7"/>
      <c r="BY21" s="7">
        <f>$BF$15-BF21</f>
        <v>0.99479999999999791</v>
      </c>
      <c r="BZ21" s="7"/>
      <c r="CA21" s="7">
        <f t="shared" si="14"/>
        <v>4.1449999999999911E-2</v>
      </c>
      <c r="CB21" s="7">
        <f t="shared" si="21"/>
        <v>-6.9099999999991724E-2</v>
      </c>
      <c r="CC21" s="30">
        <f>CB21/(R23-R21)</f>
        <v>-3.7351351351346878E-3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7"/>
      <c r="DB21" s="7"/>
    </row>
    <row r="22" spans="1:106" x14ac:dyDescent="0.2">
      <c r="B22" s="47" t="s">
        <v>249</v>
      </c>
      <c r="C22" s="47">
        <v>2.6599999999999999E-2</v>
      </c>
      <c r="D22" s="47">
        <v>0.22721</v>
      </c>
      <c r="E22" s="47">
        <v>7.7372399999999999</v>
      </c>
      <c r="F22" s="47"/>
      <c r="G22" s="17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45665</v>
      </c>
      <c r="Q22" s="3">
        <v>0.40625</v>
      </c>
      <c r="R22" s="1">
        <v>24</v>
      </c>
      <c r="S22" s="1" t="s">
        <v>226</v>
      </c>
      <c r="T22" s="1">
        <v>9</v>
      </c>
      <c r="U22" s="1">
        <v>8</v>
      </c>
      <c r="V22" s="1" t="s">
        <v>227</v>
      </c>
      <c r="W22" s="1">
        <v>18.920000000000002</v>
      </c>
      <c r="X22" s="1">
        <v>41</v>
      </c>
      <c r="Y22" s="1">
        <v>6.5906000000000002</v>
      </c>
      <c r="Z22" s="1">
        <v>6.6757</v>
      </c>
      <c r="AA22" s="1">
        <v>8</v>
      </c>
      <c r="AB22" s="1">
        <f t="shared" si="2"/>
        <v>8.5099999999999731E-2</v>
      </c>
      <c r="AC22" s="1">
        <f t="shared" si="3"/>
        <v>10.637499999999966</v>
      </c>
      <c r="AD22" s="1">
        <v>18.399999999999999</v>
      </c>
      <c r="AE22" s="1">
        <v>1.2310000000000001</v>
      </c>
      <c r="AF22" s="28">
        <f t="shared" si="4"/>
        <v>6.6902173913043483E-2</v>
      </c>
      <c r="AG22" s="1">
        <f t="shared" si="5"/>
        <v>0.71167187499999773</v>
      </c>
      <c r="AI22" s="29">
        <f t="shared" ref="AI22" si="28">$BF$14-BF22</f>
        <v>19.082100000000011</v>
      </c>
      <c r="AJ22" s="1">
        <f t="shared" si="15"/>
        <v>9.4670833333333329E-2</v>
      </c>
      <c r="AK22" s="29">
        <f t="shared" si="6"/>
        <v>0.11906970406821045</v>
      </c>
      <c r="AL22" s="8">
        <f t="shared" si="7"/>
        <v>0.44322916666666523</v>
      </c>
      <c r="AM22" s="8">
        <f t="shared" si="16"/>
        <v>0.55745960874327039</v>
      </c>
      <c r="AO22" s="29"/>
      <c r="AP22" s="1">
        <f t="shared" si="12"/>
        <v>17.0839</v>
      </c>
      <c r="AQ22" s="8">
        <f t="shared" si="23"/>
        <v>0.92345405405405401</v>
      </c>
      <c r="AR22" s="8">
        <f t="shared" si="17"/>
        <v>0.45437517194551624</v>
      </c>
      <c r="AS22" s="29">
        <f t="shared" si="18"/>
        <v>0.49203874296806061</v>
      </c>
      <c r="AT22" s="8">
        <f t="shared" si="24"/>
        <v>0.1329965640164131</v>
      </c>
      <c r="AU22" s="34">
        <f t="shared" si="19"/>
        <v>7.7849064918673787E-3</v>
      </c>
      <c r="AV22" s="8"/>
      <c r="AW22" s="8">
        <f t="shared" si="20"/>
        <v>0.67652931281148088</v>
      </c>
      <c r="BD22" s="1">
        <f t="shared" si="8"/>
        <v>0.26599999999999996</v>
      </c>
      <c r="BE22" s="1">
        <f t="shared" si="9"/>
        <v>2.2721</v>
      </c>
      <c r="BF22" s="1">
        <f t="shared" si="10"/>
        <v>77.372399999999999</v>
      </c>
      <c r="BG22" s="1" t="str">
        <f t="shared" si="0"/>
        <v/>
      </c>
      <c r="BH22" s="1" t="str">
        <f t="shared" si="0"/>
        <v/>
      </c>
      <c r="BI22" s="1" t="str">
        <f t="shared" si="0"/>
        <v/>
      </c>
      <c r="BJ22" s="1" t="str">
        <f t="shared" si="0"/>
        <v/>
      </c>
      <c r="BK22" s="1" t="str">
        <f t="shared" si="0"/>
        <v/>
      </c>
      <c r="BL22" s="1" t="str">
        <f t="shared" si="0"/>
        <v/>
      </c>
      <c r="BM22" s="1" t="str">
        <f t="shared" si="0"/>
        <v/>
      </c>
      <c r="BN22" s="1" t="str">
        <f t="shared" si="0"/>
        <v/>
      </c>
      <c r="BO22" s="1" t="str">
        <f t="shared" si="0"/>
        <v/>
      </c>
      <c r="BP22" s="20"/>
      <c r="BQ22" s="20" t="str">
        <f t="shared" ref="BQ22:BQ29" si="29">S24</f>
        <v>r1</v>
      </c>
      <c r="BR22" s="7"/>
      <c r="BS22" s="1" t="e">
        <f>#REF!</f>
        <v>#REF!</v>
      </c>
      <c r="BT22" s="29"/>
      <c r="BU22" s="33"/>
      <c r="BV22" s="7"/>
      <c r="BW22" s="7"/>
      <c r="BX22" s="7"/>
      <c r="BY22" s="7">
        <f>$BF$14-BF22</f>
        <v>19.082100000000011</v>
      </c>
      <c r="BZ22" s="7"/>
      <c r="CA22" s="7">
        <f>BY22/R26</f>
        <v>0.40172842105263179</v>
      </c>
      <c r="CB22" s="7">
        <f t="shared" si="21"/>
        <v>17.0839</v>
      </c>
      <c r="CC22" s="30">
        <f>CB22/(R26-R22)</f>
        <v>0.72697446808510635</v>
      </c>
      <c r="CD22" s="30">
        <f>AC22-AC16</f>
        <v>9.499999999999952</v>
      </c>
      <c r="CE22" s="36">
        <f>CD22/CB22</f>
        <v>0.5560791154244612</v>
      </c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47" t="s">
        <v>250</v>
      </c>
      <c r="C23" s="47">
        <v>3.6979999999999999E-2</v>
      </c>
      <c r="D23" s="47">
        <v>8.09E-3</v>
      </c>
      <c r="E23" s="47">
        <v>8.3130900000000008</v>
      </c>
      <c r="F23" s="47"/>
      <c r="G23" s="17"/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V23" s="1" t="s">
        <v>227</v>
      </c>
      <c r="W23" s="1">
        <v>20.2</v>
      </c>
      <c r="X23" s="1">
        <v>16</v>
      </c>
      <c r="Y23" s="1">
        <v>6.6417999999999999</v>
      </c>
      <c r="Z23" s="1">
        <v>6.7115</v>
      </c>
      <c r="AA23" s="1">
        <v>8</v>
      </c>
      <c r="AB23" s="1">
        <f t="shared" si="2"/>
        <v>6.9700000000000095E-2</v>
      </c>
      <c r="AC23" s="1">
        <f t="shared" si="3"/>
        <v>8.712500000000011</v>
      </c>
      <c r="AD23" s="1">
        <v>19.2</v>
      </c>
      <c r="AE23" s="1">
        <v>1.1455</v>
      </c>
      <c r="AF23" s="28">
        <f t="shared" si="4"/>
        <v>5.9661458333333334E-2</v>
      </c>
      <c r="AG23" s="1">
        <f t="shared" si="5"/>
        <v>0.51980045572916733</v>
      </c>
      <c r="AI23" s="29">
        <f t="shared" ref="AI23" si="30">$BF$15-BF23</f>
        <v>13.445299999999989</v>
      </c>
      <c r="AJ23" s="1">
        <f t="shared" si="15"/>
        <v>3.3708333333333333E-3</v>
      </c>
      <c r="AK23" s="29">
        <f t="shared" si="6"/>
        <v>6.0169724736525076E-3</v>
      </c>
      <c r="AL23" s="8">
        <f t="shared" si="7"/>
        <v>0.36302083333333379</v>
      </c>
      <c r="AM23" s="8">
        <f t="shared" si="16"/>
        <v>0.6479959539764838</v>
      </c>
      <c r="AO23" s="29"/>
      <c r="AP23" s="1">
        <f t="shared" si="12"/>
        <v>12.450499999999991</v>
      </c>
      <c r="AQ23" s="8">
        <f t="shared" si="23"/>
        <v>0.67299999999999949</v>
      </c>
      <c r="AR23" s="8">
        <f t="shared" si="17"/>
        <v>0.57226617404923918</v>
      </c>
      <c r="AS23" s="29">
        <f t="shared" si="18"/>
        <v>0.85032120958282265</v>
      </c>
      <c r="AT23" s="8">
        <f t="shared" si="24"/>
        <v>6.4977310148186867E-3</v>
      </c>
      <c r="AU23" s="34">
        <f t="shared" si="19"/>
        <v>5.2188514636510106E-4</v>
      </c>
      <c r="AV23" s="8"/>
      <c r="AW23" s="8">
        <f t="shared" si="20"/>
        <v>0.65401292645013631</v>
      </c>
      <c r="BD23" s="1">
        <f t="shared" si="8"/>
        <v>0.36979999999999996</v>
      </c>
      <c r="BE23" s="1">
        <f t="shared" si="9"/>
        <v>8.09E-2</v>
      </c>
      <c r="BF23" s="1">
        <f t="shared" si="10"/>
        <v>83.130899999999997</v>
      </c>
      <c r="BG23" s="1" t="str">
        <f t="shared" si="0"/>
        <v/>
      </c>
      <c r="BH23" s="1" t="str">
        <f t="shared" si="0"/>
        <v/>
      </c>
      <c r="BI23" s="1" t="str">
        <f t="shared" si="0"/>
        <v/>
      </c>
      <c r="BJ23" s="1" t="str">
        <f t="shared" si="0"/>
        <v/>
      </c>
      <c r="BK23" s="1" t="str">
        <f t="shared" si="0"/>
        <v/>
      </c>
      <c r="BL23" s="1" t="str">
        <f t="shared" si="0"/>
        <v/>
      </c>
      <c r="BM23" s="1" t="str">
        <f t="shared" si="0"/>
        <v/>
      </c>
      <c r="BN23" s="1" t="str">
        <f t="shared" si="0"/>
        <v/>
      </c>
      <c r="BO23" s="1" t="str">
        <f t="shared" si="0"/>
        <v/>
      </c>
      <c r="BP23" s="20"/>
      <c r="BQ23" s="20" t="str">
        <f t="shared" si="29"/>
        <v>r2</v>
      </c>
      <c r="BR23" s="7"/>
      <c r="BS23" s="1" t="e">
        <f>#REF!</f>
        <v>#REF!</v>
      </c>
      <c r="BT23" s="29"/>
      <c r="BU23" s="33"/>
      <c r="BV23" s="7"/>
      <c r="BW23" s="7"/>
      <c r="BX23" s="7"/>
      <c r="BY23" s="7">
        <f>$BF$15-BF23</f>
        <v>13.445299999999989</v>
      </c>
      <c r="BZ23" s="7"/>
      <c r="CA23" s="7">
        <f>BY23/R27</f>
        <v>0.2830589473684208</v>
      </c>
      <c r="CB23" s="7">
        <f t="shared" si="21"/>
        <v>12.450499999999991</v>
      </c>
      <c r="CC23" s="30">
        <f>CB23/(R27-R23)</f>
        <v>0.52980851063829748</v>
      </c>
      <c r="CD23" s="30">
        <f>AC23-AC17</f>
        <v>8.4625000000000377</v>
      </c>
      <c r="CE23" s="36">
        <f>CD23/CB23</f>
        <v>0.67969157865146335</v>
      </c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A24" s="17"/>
      <c r="B24" s="47" t="s">
        <v>251</v>
      </c>
      <c r="C24" s="47">
        <v>2.7109999999999999E-2</v>
      </c>
      <c r="D24" s="47">
        <v>0.42316999999999999</v>
      </c>
      <c r="E24" s="47">
        <v>7.2901600000000002</v>
      </c>
      <c r="F24" s="47"/>
      <c r="G24" s="17"/>
      <c r="H24" s="17" t="s">
        <v>225</v>
      </c>
      <c r="I24" s="17" t="s">
        <v>225</v>
      </c>
      <c r="J24" s="17" t="s">
        <v>225</v>
      </c>
      <c r="K24" s="17" t="s">
        <v>225</v>
      </c>
      <c r="L24" s="17" t="s">
        <v>225</v>
      </c>
      <c r="M24" s="17"/>
      <c r="N24" s="17"/>
      <c r="P24" s="2"/>
      <c r="Q24" s="3">
        <v>0.63541666666666663</v>
      </c>
      <c r="R24" s="1">
        <f>29.5</f>
        <v>29.5</v>
      </c>
      <c r="S24" s="1" t="s">
        <v>226</v>
      </c>
      <c r="T24" s="1">
        <v>11</v>
      </c>
      <c r="U24" s="1">
        <v>8</v>
      </c>
      <c r="V24" s="1" t="s">
        <v>227</v>
      </c>
      <c r="W24" s="1">
        <v>20.6</v>
      </c>
      <c r="X24" s="1">
        <v>56</v>
      </c>
      <c r="Y24" s="1">
        <v>6.617</v>
      </c>
      <c r="Z24" s="1">
        <v>6.7092000000000001</v>
      </c>
      <c r="AA24" s="1">
        <v>8</v>
      </c>
      <c r="AB24" s="1">
        <f t="shared" si="2"/>
        <v>9.220000000000006E-2</v>
      </c>
      <c r="AC24" s="1">
        <f t="shared" si="3"/>
        <v>11.525000000000007</v>
      </c>
      <c r="AD24" s="1">
        <v>14.5</v>
      </c>
      <c r="AE24" s="1">
        <v>0.99950000000000006</v>
      </c>
      <c r="AF24" s="28">
        <f t="shared" si="4"/>
        <v>6.8931034482758627E-2</v>
      </c>
      <c r="AG24" s="1">
        <f t="shared" si="5"/>
        <v>0.79443017241379366</v>
      </c>
      <c r="AI24" s="29">
        <f t="shared" ref="AI24" si="31">$BF$14-BF24</f>
        <v>23.552900000000008</v>
      </c>
      <c r="AJ24" s="1">
        <f t="shared" si="15"/>
        <v>0.14344745762711864</v>
      </c>
      <c r="AK24" s="29">
        <f t="shared" si="6"/>
        <v>0.17966789652229656</v>
      </c>
      <c r="AL24" s="8">
        <f t="shared" si="7"/>
        <v>0.3906779661016952</v>
      </c>
      <c r="AM24" s="8">
        <f t="shared" si="16"/>
        <v>0.48932403228477189</v>
      </c>
      <c r="AO24" s="29"/>
      <c r="AP24" s="1">
        <f t="shared" si="12"/>
        <v>4.470799999999997</v>
      </c>
      <c r="AQ24" s="8">
        <f t="shared" si="23"/>
        <v>0.81287272727272675</v>
      </c>
      <c r="AR24" s="8">
        <f t="shared" si="17"/>
        <v>0.19851033372104376</v>
      </c>
      <c r="AS24" s="29">
        <f t="shared" si="18"/>
        <v>0.24420838227291344</v>
      </c>
      <c r="AT24" s="8">
        <f t="shared" si="24"/>
        <v>0.43831081685604395</v>
      </c>
      <c r="AU24" s="34">
        <f t="shared" si="19"/>
        <v>9.8038565101557715E-2</v>
      </c>
      <c r="AV24" s="8"/>
      <c r="AW24" s="8">
        <f t="shared" si="20"/>
        <v>0.66899192880706848</v>
      </c>
      <c r="BD24" s="1">
        <f t="shared" si="8"/>
        <v>0.27110000000000001</v>
      </c>
      <c r="BE24" s="1">
        <f t="shared" si="9"/>
        <v>4.2317</v>
      </c>
      <c r="BF24" s="1">
        <f t="shared" si="10"/>
        <v>72.901600000000002</v>
      </c>
      <c r="BG24" s="1" t="str">
        <f t="shared" si="0"/>
        <v/>
      </c>
      <c r="BH24" s="1" t="str">
        <f t="shared" si="0"/>
        <v/>
      </c>
      <c r="BI24" s="1" t="str">
        <f t="shared" si="0"/>
        <v/>
      </c>
      <c r="BJ24" s="1" t="str">
        <f t="shared" si="0"/>
        <v/>
      </c>
      <c r="BK24" s="1" t="str">
        <f t="shared" si="0"/>
        <v/>
      </c>
      <c r="BL24" s="1" t="str">
        <f t="shared" si="0"/>
        <v/>
      </c>
      <c r="BM24" s="1" t="str">
        <f t="shared" si="0"/>
        <v/>
      </c>
      <c r="BN24" s="1" t="str">
        <f t="shared" si="0"/>
        <v/>
      </c>
      <c r="BO24" s="1" t="str">
        <f t="shared" si="0"/>
        <v/>
      </c>
      <c r="BP24" s="20"/>
      <c r="BQ24" s="20" t="str">
        <f t="shared" si="29"/>
        <v>r1</v>
      </c>
      <c r="BR24" s="7"/>
      <c r="BS24" s="1" t="str">
        <f t="shared" ref="BS24:BS31" si="32">B22</f>
        <v>Jeff_SloHot50_Biostat 2L-29-9</v>
      </c>
      <c r="BT24" s="29"/>
      <c r="BU24" s="33"/>
      <c r="BV24" s="7"/>
      <c r="BW24" s="7"/>
      <c r="BX24" s="7"/>
      <c r="BY24" s="7">
        <f>$BF$14-BF24</f>
        <v>23.552900000000008</v>
      </c>
      <c r="BZ24" s="7"/>
      <c r="CA24" s="7" t="e">
        <f>BY24/#REF!</f>
        <v>#REF!</v>
      </c>
      <c r="CB24" s="7">
        <f t="shared" si="21"/>
        <v>4.470799999999997</v>
      </c>
      <c r="CC24" s="30" t="e">
        <f>CB24/(#REF!-R26)</f>
        <v>#REF!</v>
      </c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A25" s="18"/>
      <c r="B25" s="47" t="s">
        <v>252</v>
      </c>
      <c r="C25" s="47">
        <v>3.7519999999999998E-2</v>
      </c>
      <c r="D25" s="47">
        <v>3.696E-2</v>
      </c>
      <c r="E25" s="47">
        <v>7.9639600000000002</v>
      </c>
      <c r="F25" s="47"/>
      <c r="G25" s="17"/>
      <c r="H25" s="17" t="s">
        <v>225</v>
      </c>
      <c r="I25" s="17" t="s">
        <v>225</v>
      </c>
      <c r="J25" s="17" t="s">
        <v>225</v>
      </c>
      <c r="K25" s="17" t="s">
        <v>225</v>
      </c>
      <c r="L25" s="17" t="s">
        <v>225</v>
      </c>
      <c r="M25" s="17"/>
      <c r="N25" s="17"/>
      <c r="P25" s="2"/>
      <c r="Q25" s="3"/>
      <c r="R25" s="1">
        <f>29.5</f>
        <v>29.5</v>
      </c>
      <c r="S25" s="1" t="s">
        <v>228</v>
      </c>
      <c r="T25" s="1">
        <v>12</v>
      </c>
      <c r="U25" s="1">
        <v>8</v>
      </c>
      <c r="V25" s="1" t="s">
        <v>227</v>
      </c>
      <c r="W25" s="1">
        <v>23.64</v>
      </c>
      <c r="X25" s="1">
        <v>19</v>
      </c>
      <c r="Y25" s="1">
        <v>6.6390000000000002</v>
      </c>
      <c r="Z25" s="1">
        <v>6.7263000000000002</v>
      </c>
      <c r="AA25" s="1">
        <v>8</v>
      </c>
      <c r="AB25" s="1">
        <f t="shared" si="2"/>
        <v>8.7299999999999933E-2</v>
      </c>
      <c r="AC25" s="1">
        <f t="shared" si="3"/>
        <v>10.912499999999991</v>
      </c>
      <c r="AD25" s="1">
        <v>15.3</v>
      </c>
      <c r="AE25" s="1">
        <v>0.64400000000000002</v>
      </c>
      <c r="AF25" s="28">
        <f t="shared" si="4"/>
        <v>4.2091503267973854E-2</v>
      </c>
      <c r="AG25" s="1">
        <f t="shared" si="5"/>
        <v>0.4593235294117643</v>
      </c>
      <c r="AI25" s="29">
        <f t="shared" ref="AI25" si="33">$BF$15-BF25</f>
        <v>16.936599999999984</v>
      </c>
      <c r="AJ25" s="1">
        <f t="shared" si="15"/>
        <v>1.2528813559322033E-2</v>
      </c>
      <c r="AK25" s="29">
        <f t="shared" si="6"/>
        <v>2.1822561789261147E-2</v>
      </c>
      <c r="AL25" s="8">
        <f t="shared" si="7"/>
        <v>0.36991525423728783</v>
      </c>
      <c r="AM25" s="8">
        <f t="shared" si="16"/>
        <v>0.64431467945160192</v>
      </c>
      <c r="AO25" s="29"/>
      <c r="AP25" s="1">
        <f t="shared" si="12"/>
        <v>3.4912999999999954</v>
      </c>
      <c r="AQ25" s="8">
        <f t="shared" si="23"/>
        <v>0.63478181818181734</v>
      </c>
      <c r="AR25" s="8">
        <f t="shared" si="17"/>
        <v>0.63013777103084312</v>
      </c>
      <c r="AS25" s="29">
        <f t="shared" si="18"/>
        <v>0.9926840261993074</v>
      </c>
      <c r="AT25" s="8">
        <f t="shared" si="24"/>
        <v>8.2691261134820934E-2</v>
      </c>
      <c r="AU25" s="34">
        <f t="shared" si="19"/>
        <v>2.3684948625102696E-2</v>
      </c>
      <c r="AV25" s="8"/>
      <c r="AW25" s="8">
        <f t="shared" si="20"/>
        <v>0.66613724124086304</v>
      </c>
      <c r="BD25" s="1">
        <f t="shared" si="8"/>
        <v>0.37519999999999998</v>
      </c>
      <c r="BE25" s="1">
        <f t="shared" si="9"/>
        <v>0.36959999999999998</v>
      </c>
      <c r="BF25" s="1">
        <f t="shared" si="10"/>
        <v>79.639600000000002</v>
      </c>
      <c r="BG25" s="1" t="str">
        <f t="shared" si="0"/>
        <v/>
      </c>
      <c r="BH25" s="1" t="str">
        <f t="shared" si="0"/>
        <v/>
      </c>
      <c r="BI25" s="1" t="str">
        <f t="shared" si="0"/>
        <v/>
      </c>
      <c r="BJ25" s="1" t="str">
        <f t="shared" si="0"/>
        <v/>
      </c>
      <c r="BK25" s="1" t="str">
        <f t="shared" si="0"/>
        <v/>
      </c>
      <c r="BL25" s="1" t="str">
        <f t="shared" si="0"/>
        <v/>
      </c>
      <c r="BM25" s="1" t="str">
        <f t="shared" si="0"/>
        <v/>
      </c>
      <c r="BN25" s="1" t="str">
        <f t="shared" si="0"/>
        <v/>
      </c>
      <c r="BO25" s="1" t="str">
        <f t="shared" si="0"/>
        <v/>
      </c>
      <c r="BP25" s="20"/>
      <c r="BQ25" s="20" t="str">
        <f t="shared" si="29"/>
        <v>r2</v>
      </c>
      <c r="BR25" s="7"/>
      <c r="BS25" s="1" t="str">
        <f t="shared" si="32"/>
        <v>Jeff_SloHot50_Biostat 2L-29-10</v>
      </c>
      <c r="BT25" s="7"/>
      <c r="BU25" s="33"/>
      <c r="BV25" s="7"/>
      <c r="BW25" s="7"/>
      <c r="BX25" s="7"/>
      <c r="BY25" s="7">
        <f>$BF$15-BF25</f>
        <v>16.936599999999984</v>
      </c>
      <c r="BZ25" s="7"/>
      <c r="CA25" s="7" t="e">
        <f>BY25/#REF!</f>
        <v>#REF!</v>
      </c>
      <c r="CB25" s="7">
        <f t="shared" si="21"/>
        <v>3.4912999999999954</v>
      </c>
      <c r="CC25" s="30" t="e">
        <f>CB25/(#REF!-R27)</f>
        <v>#REF!</v>
      </c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29"/>
      <c r="CT25" s="29"/>
      <c r="CU25" s="29"/>
      <c r="CZ25" s="7"/>
      <c r="DA25" s="8"/>
      <c r="DB25" s="7"/>
    </row>
    <row r="26" spans="1:106" x14ac:dyDescent="0.2">
      <c r="B26" s="47"/>
      <c r="C26" s="47"/>
      <c r="D26" s="47"/>
      <c r="E26" s="47"/>
      <c r="F26" s="47"/>
      <c r="G26" s="17"/>
      <c r="H26" s="17" t="s">
        <v>225</v>
      </c>
      <c r="I26" s="17" t="s">
        <v>225</v>
      </c>
      <c r="J26" s="17" t="s">
        <v>225</v>
      </c>
      <c r="K26" s="17" t="s">
        <v>225</v>
      </c>
      <c r="L26" s="17" t="s">
        <v>225</v>
      </c>
      <c r="M26" s="17"/>
      <c r="N26" s="17"/>
      <c r="P26" s="2">
        <v>45666</v>
      </c>
      <c r="Q26" s="3">
        <v>0.3923611111111111</v>
      </c>
      <c r="R26" s="1">
        <v>47.5</v>
      </c>
      <c r="S26" s="1" t="s">
        <v>226</v>
      </c>
      <c r="T26" s="1">
        <v>13</v>
      </c>
      <c r="U26" s="1">
        <v>8</v>
      </c>
      <c r="V26" s="1" t="s">
        <v>227</v>
      </c>
      <c r="AA26" s="1">
        <v>8</v>
      </c>
      <c r="AB26" s="1">
        <f t="shared" si="2"/>
        <v>0</v>
      </c>
      <c r="AC26" s="1">
        <f t="shared" si="3"/>
        <v>0</v>
      </c>
      <c r="AE26" s="1">
        <v>0</v>
      </c>
      <c r="AF26" s="28" t="e">
        <f t="shared" si="4"/>
        <v>#DIV/0!</v>
      </c>
      <c r="AG26" s="1" t="e">
        <f t="shared" si="5"/>
        <v>#DIV/0!</v>
      </c>
      <c r="AI26" s="29" t="e">
        <f t="shared" ref="AI26" si="34">$BF$14-BF26</f>
        <v>#VALUE!</v>
      </c>
      <c r="AJ26" s="1">
        <f t="shared" si="15"/>
        <v>0</v>
      </c>
      <c r="AK26" s="29" t="e">
        <f t="shared" si="6"/>
        <v>#VALUE!</v>
      </c>
      <c r="AL26" s="8">
        <f t="shared" si="7"/>
        <v>0</v>
      </c>
      <c r="AM26" s="8" t="e">
        <f t="shared" si="16"/>
        <v>#VALUE!</v>
      </c>
      <c r="AO26" s="29"/>
      <c r="AP26" s="1" t="e">
        <f t="shared" si="12"/>
        <v>#VALUE!</v>
      </c>
      <c r="AQ26" s="8" t="e">
        <f t="shared" si="23"/>
        <v>#VALUE!</v>
      </c>
      <c r="AR26" s="8" t="e">
        <f t="shared" si="17"/>
        <v>#VALUE!</v>
      </c>
      <c r="AS26" s="29" t="e">
        <f t="shared" si="18"/>
        <v>#VALUE!</v>
      </c>
      <c r="AT26" s="8" t="e">
        <f t="shared" si="24"/>
        <v>#VALUE!</v>
      </c>
      <c r="AU26" s="34" t="e">
        <f t="shared" si="19"/>
        <v>#VALUE!</v>
      </c>
      <c r="AV26" s="8"/>
      <c r="AW26" s="8" t="e">
        <f t="shared" si="20"/>
        <v>#VALUE!</v>
      </c>
      <c r="BD26" s="1" t="str">
        <f t="shared" si="8"/>
        <v/>
      </c>
      <c r="BE26" s="1">
        <f t="shared" si="9"/>
        <v>0</v>
      </c>
      <c r="BF26" s="1" t="str">
        <f t="shared" si="10"/>
        <v/>
      </c>
      <c r="BG26" s="1" t="str">
        <f t="shared" si="0"/>
        <v/>
      </c>
      <c r="BH26" s="1" t="str">
        <f t="shared" si="0"/>
        <v/>
      </c>
      <c r="BI26" s="1" t="str">
        <f t="shared" si="0"/>
        <v/>
      </c>
      <c r="BJ26" s="1" t="str">
        <f t="shared" si="0"/>
        <v/>
      </c>
      <c r="BK26" s="1" t="str">
        <f t="shared" si="0"/>
        <v/>
      </c>
      <c r="BL26" s="1" t="str">
        <f t="shared" si="0"/>
        <v/>
      </c>
      <c r="BM26" s="1" t="str">
        <f t="shared" si="0"/>
        <v/>
      </c>
      <c r="BN26" s="1" t="str">
        <f t="shared" si="0"/>
        <v/>
      </c>
      <c r="BO26" s="1" t="str">
        <f t="shared" si="0"/>
        <v/>
      </c>
      <c r="BP26" s="20"/>
      <c r="BQ26" s="20" t="str">
        <f t="shared" si="29"/>
        <v>r1</v>
      </c>
      <c r="BR26" s="7"/>
      <c r="BS26" s="1" t="str">
        <f t="shared" si="32"/>
        <v>Jeff_SloHot50_Biostat 2L-29-11</v>
      </c>
      <c r="BT26" s="7"/>
      <c r="BU26" s="33"/>
      <c r="BV26" s="7"/>
      <c r="BW26" s="7"/>
      <c r="BX26" s="7"/>
      <c r="BY26" s="7" t="e">
        <f t="shared" ref="BY26:BY29" si="35">$BF$15-BF26</f>
        <v>#VALUE!</v>
      </c>
      <c r="BZ26" s="7"/>
      <c r="CA26" s="7" t="e">
        <f>BY26/R28</f>
        <v>#VALUE!</v>
      </c>
      <c r="CB26" s="7" t="e">
        <f t="shared" si="21"/>
        <v>#VALUE!</v>
      </c>
      <c r="CC26" s="30" t="e">
        <f>CB26/(R28-#REF!)</f>
        <v>#VALUE!</v>
      </c>
      <c r="CD26" s="30"/>
      <c r="CE26" s="36"/>
      <c r="CF26" s="8"/>
      <c r="CG26" s="37"/>
      <c r="CH26" s="37"/>
      <c r="CI26" s="8"/>
      <c r="CN26" s="8"/>
      <c r="CO26" s="29"/>
      <c r="CP26" s="7"/>
      <c r="CQ26" s="7"/>
      <c r="CR26" s="7"/>
      <c r="CS26" s="29"/>
      <c r="CT26" s="29"/>
      <c r="CU26" s="29"/>
      <c r="CY26" s="4"/>
      <c r="CZ26" s="7"/>
      <c r="DA26" s="8"/>
      <c r="DB26" s="7"/>
    </row>
    <row r="27" spans="1:106" x14ac:dyDescent="0.2">
      <c r="B27" s="47" t="s">
        <v>253</v>
      </c>
      <c r="C27" s="47">
        <v>4.1880000000000001E-2</v>
      </c>
      <c r="D27" s="47">
        <v>0.31246000000000002</v>
      </c>
      <c r="E27" s="47">
        <v>6.9424599999999996</v>
      </c>
      <c r="F27" s="47"/>
      <c r="G27" s="17"/>
      <c r="H27" s="17" t="s">
        <v>225</v>
      </c>
      <c r="I27" s="17" t="s">
        <v>225</v>
      </c>
      <c r="J27" s="17" t="s">
        <v>225</v>
      </c>
      <c r="K27" s="17" t="s">
        <v>225</v>
      </c>
      <c r="L27" s="17" t="s">
        <v>225</v>
      </c>
      <c r="M27" s="17"/>
      <c r="N27" s="17"/>
      <c r="P27" s="2"/>
      <c r="Q27" s="3"/>
      <c r="R27" s="1">
        <v>47.5</v>
      </c>
      <c r="S27" s="1" t="s">
        <v>228</v>
      </c>
      <c r="T27" s="1">
        <v>14</v>
      </c>
      <c r="U27" s="1">
        <v>8</v>
      </c>
      <c r="V27" s="1" t="s">
        <v>227</v>
      </c>
      <c r="W27" s="1">
        <v>31.88</v>
      </c>
      <c r="X27" s="1">
        <v>37</v>
      </c>
      <c r="Y27" s="1">
        <v>6.6134000000000004</v>
      </c>
      <c r="Z27" s="1">
        <v>6.7172999999999998</v>
      </c>
      <c r="AA27" s="1">
        <v>8</v>
      </c>
      <c r="AB27" s="1">
        <f t="shared" si="2"/>
        <v>0.10389999999999944</v>
      </c>
      <c r="AC27" s="1">
        <f t="shared" si="3"/>
        <v>12.98749999999993</v>
      </c>
      <c r="AD27" s="1">
        <v>13</v>
      </c>
      <c r="AE27" s="1">
        <v>1.5285000000000002</v>
      </c>
      <c r="AF27" s="28">
        <f t="shared" si="4"/>
        <v>0.11757692307692309</v>
      </c>
      <c r="AG27" s="1">
        <f t="shared" si="5"/>
        <v>1.5270302884615303</v>
      </c>
      <c r="AI27" s="29">
        <f t="shared" ref="AI27" si="36">$BF$15-BF27</f>
        <v>27.151599999999988</v>
      </c>
      <c r="AJ27" s="1">
        <f t="shared" si="15"/>
        <v>6.5781052631578962E-2</v>
      </c>
      <c r="AK27" s="29">
        <f t="shared" si="6"/>
        <v>0.11507977430427679</v>
      </c>
      <c r="AL27" s="8">
        <f t="shared" si="7"/>
        <v>0.27342105263157745</v>
      </c>
      <c r="AM27" s="8">
        <f t="shared" si="16"/>
        <v>0.47833276860295287</v>
      </c>
      <c r="AO27" s="29"/>
      <c r="AP27" s="1">
        <f t="shared" si="12"/>
        <v>10.215000000000003</v>
      </c>
      <c r="AQ27" s="8">
        <f t="shared" si="23"/>
        <v>0.56750000000000023</v>
      </c>
      <c r="AR27" s="8">
        <f t="shared" si="17"/>
        <v>0.20313264806656273</v>
      </c>
      <c r="AS27" s="29">
        <f t="shared" si="18"/>
        <v>0.35794299218777559</v>
      </c>
      <c r="AT27" s="8">
        <f t="shared" si="24"/>
        <v>0.26970141948115511</v>
      </c>
      <c r="AU27" s="34">
        <f t="shared" si="19"/>
        <v>2.640248844651542E-2</v>
      </c>
      <c r="AV27" s="8"/>
      <c r="AW27" s="8">
        <f t="shared" si="20"/>
        <v>0.59341254290722967</v>
      </c>
      <c r="BD27" s="1">
        <f t="shared" si="8"/>
        <v>0.41880000000000001</v>
      </c>
      <c r="BE27" s="1">
        <f t="shared" si="9"/>
        <v>3.1246000000000005</v>
      </c>
      <c r="BF27" s="1">
        <f t="shared" si="10"/>
        <v>69.424599999999998</v>
      </c>
      <c r="BG27" s="1" t="str">
        <f t="shared" si="0"/>
        <v/>
      </c>
      <c r="BH27" s="1" t="str">
        <f t="shared" si="0"/>
        <v/>
      </c>
      <c r="BI27" s="1" t="str">
        <f t="shared" si="0"/>
        <v/>
      </c>
      <c r="BJ27" s="1" t="str">
        <f t="shared" si="0"/>
        <v/>
      </c>
      <c r="BK27" s="1" t="str">
        <f t="shared" si="0"/>
        <v/>
      </c>
      <c r="BL27" s="1" t="str">
        <f t="shared" si="0"/>
        <v/>
      </c>
      <c r="BM27" s="1" t="str">
        <f t="shared" si="0"/>
        <v/>
      </c>
      <c r="BN27" s="1" t="str">
        <f t="shared" si="0"/>
        <v/>
      </c>
      <c r="BO27" s="1" t="str">
        <f t="shared" si="0"/>
        <v/>
      </c>
      <c r="BP27" s="20"/>
      <c r="BQ27" s="20" t="str">
        <f t="shared" si="29"/>
        <v>r2</v>
      </c>
      <c r="BR27" s="7"/>
      <c r="BS27" s="1" t="str">
        <f t="shared" si="32"/>
        <v>Jeff_SloHot50_Biostat 2L-29-12</v>
      </c>
      <c r="BT27" s="7"/>
      <c r="BU27" s="33"/>
      <c r="BV27" s="7"/>
      <c r="BW27" s="7"/>
      <c r="BX27" s="7"/>
      <c r="BY27" s="7">
        <f t="shared" si="35"/>
        <v>27.151599999999988</v>
      </c>
      <c r="BZ27" s="7"/>
      <c r="CA27" s="7">
        <f t="shared" ref="CA27:CA29" si="37">BY27/R29</f>
        <v>0.49819449541284383</v>
      </c>
      <c r="CB27" s="7">
        <f t="shared" si="21"/>
        <v>10.215000000000003</v>
      </c>
      <c r="CC27" s="30" t="e">
        <f>CB27/(R29-#REF!)</f>
        <v>#REF!</v>
      </c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  <c r="DB27" s="7"/>
    </row>
    <row r="28" spans="1:106" x14ac:dyDescent="0.2">
      <c r="B28" s="47"/>
      <c r="C28" s="47"/>
      <c r="D28" s="47"/>
      <c r="E28" s="47"/>
      <c r="F28" s="47"/>
      <c r="G28" s="17"/>
      <c r="H28" s="17" t="s">
        <v>225</v>
      </c>
      <c r="I28" s="17" t="s">
        <v>225</v>
      </c>
      <c r="J28" s="17" t="s">
        <v>225</v>
      </c>
      <c r="K28" s="17" t="s">
        <v>225</v>
      </c>
      <c r="L28" s="17" t="s">
        <v>225</v>
      </c>
      <c r="M28" s="17"/>
      <c r="N28" s="17"/>
      <c r="P28" s="2"/>
      <c r="Q28" s="3">
        <v>0.67708333333333337</v>
      </c>
      <c r="R28" s="1">
        <f>R24+25</f>
        <v>54.5</v>
      </c>
      <c r="S28" s="1" t="s">
        <v>226</v>
      </c>
      <c r="T28" s="1">
        <v>15</v>
      </c>
      <c r="U28" s="1">
        <v>8</v>
      </c>
      <c r="AA28" s="1">
        <v>8</v>
      </c>
      <c r="AB28" s="1">
        <f t="shared" si="2"/>
        <v>0</v>
      </c>
      <c r="AC28" s="1">
        <f t="shared" si="3"/>
        <v>0</v>
      </c>
      <c r="AE28" s="1">
        <v>0</v>
      </c>
      <c r="AF28" s="28" t="e">
        <f t="shared" si="4"/>
        <v>#DIV/0!</v>
      </c>
      <c r="AG28" s="1" t="e">
        <f t="shared" si="5"/>
        <v>#DIV/0!</v>
      </c>
      <c r="AI28" s="29" t="e">
        <f t="shared" ref="AI28" si="38">$BF$14-BF28</f>
        <v>#VALUE!</v>
      </c>
      <c r="AJ28" s="1">
        <f t="shared" si="15"/>
        <v>0</v>
      </c>
      <c r="AK28" s="29" t="e">
        <f t="shared" si="6"/>
        <v>#VALUE!</v>
      </c>
      <c r="AL28" s="8">
        <f t="shared" si="7"/>
        <v>0</v>
      </c>
      <c r="AM28" s="8" t="e">
        <f t="shared" si="16"/>
        <v>#VALUE!</v>
      </c>
      <c r="AO28" s="29"/>
      <c r="AP28" s="1" t="e">
        <f t="shared" si="12"/>
        <v>#VALUE!</v>
      </c>
      <c r="AQ28" s="8" t="e">
        <f t="shared" si="23"/>
        <v>#VALUE!</v>
      </c>
      <c r="AR28" s="8" t="e">
        <f t="shared" si="17"/>
        <v>#VALUE!</v>
      </c>
      <c r="AS28" s="29" t="e">
        <f t="shared" si="18"/>
        <v>#VALUE!</v>
      </c>
      <c r="AT28" s="8" t="e">
        <f t="shared" si="24"/>
        <v>#VALUE!</v>
      </c>
      <c r="AU28" s="34" t="e">
        <f t="shared" si="19"/>
        <v>#VALUE!</v>
      </c>
      <c r="AV28" s="8"/>
      <c r="AW28" s="8" t="e">
        <f t="shared" si="20"/>
        <v>#VALUE!</v>
      </c>
      <c r="BD28" s="1" t="str">
        <f t="shared" si="8"/>
        <v/>
      </c>
      <c r="BE28" s="1">
        <f t="shared" si="9"/>
        <v>0</v>
      </c>
      <c r="BF28" s="1" t="str">
        <f t="shared" si="10"/>
        <v/>
      </c>
      <c r="BG28" s="1" t="str">
        <f t="shared" si="0"/>
        <v/>
      </c>
      <c r="BH28" s="1" t="str">
        <f t="shared" si="0"/>
        <v/>
      </c>
      <c r="BI28" s="1" t="str">
        <f t="shared" si="0"/>
        <v/>
      </c>
      <c r="BJ28" s="1" t="str">
        <f t="shared" si="0"/>
        <v/>
      </c>
      <c r="BK28" s="1" t="str">
        <f t="shared" si="0"/>
        <v/>
      </c>
      <c r="BL28" s="1" t="str">
        <f t="shared" si="0"/>
        <v/>
      </c>
      <c r="BM28" s="1" t="str">
        <f t="shared" si="0"/>
        <v/>
      </c>
      <c r="BN28" s="1" t="str">
        <f t="shared" si="0"/>
        <v/>
      </c>
      <c r="BO28" s="1" t="str">
        <f t="shared" si="0"/>
        <v/>
      </c>
      <c r="BP28" s="20"/>
      <c r="BQ28" s="20" t="str">
        <f t="shared" si="29"/>
        <v>r1</v>
      </c>
      <c r="BR28" s="7"/>
      <c r="BS28" s="1">
        <f t="shared" si="32"/>
        <v>0</v>
      </c>
      <c r="BT28" s="7"/>
      <c r="BU28" s="33"/>
      <c r="BV28" s="7"/>
      <c r="BW28" s="7"/>
      <c r="BX28" s="7"/>
      <c r="BY28" s="7" t="e">
        <f t="shared" si="35"/>
        <v>#VALUE!</v>
      </c>
      <c r="BZ28" s="7"/>
      <c r="CA28" s="7" t="e">
        <f t="shared" si="37"/>
        <v>#VALUE!</v>
      </c>
      <c r="CB28" s="7" t="e">
        <f t="shared" si="21"/>
        <v>#VALUE!</v>
      </c>
      <c r="CC28" s="30" t="e">
        <f>CB28/(R30-R28)</f>
        <v>#VALUE!</v>
      </c>
      <c r="CD28" s="30"/>
      <c r="CE28" s="36"/>
      <c r="CF28" s="8"/>
      <c r="CG28" s="37"/>
      <c r="CH28" s="37"/>
      <c r="CI28" s="8"/>
      <c r="CN28" s="8"/>
      <c r="CO28" s="29"/>
      <c r="CP28" s="7"/>
      <c r="CQ28" s="7"/>
      <c r="CR28" s="7"/>
      <c r="CS28" s="29"/>
      <c r="CT28" s="29"/>
      <c r="CU28" s="29"/>
      <c r="DA28" s="8"/>
      <c r="DB28" s="7"/>
    </row>
    <row r="29" spans="1:106" x14ac:dyDescent="0.2">
      <c r="B29" s="47" t="s">
        <v>254</v>
      </c>
      <c r="C29" s="47">
        <v>4.2560000000000001E-2</v>
      </c>
      <c r="D29" s="47">
        <v>0.45815</v>
      </c>
      <c r="E29" s="47">
        <v>6.58371</v>
      </c>
      <c r="F29" s="47"/>
      <c r="G29" s="17"/>
      <c r="H29" s="17" t="s">
        <v>225</v>
      </c>
      <c r="I29" s="17" t="s">
        <v>225</v>
      </c>
      <c r="J29" s="17" t="s">
        <v>225</v>
      </c>
      <c r="K29" s="17" t="s">
        <v>225</v>
      </c>
      <c r="L29" s="17" t="s">
        <v>225</v>
      </c>
      <c r="M29" s="17"/>
      <c r="N29" s="17"/>
      <c r="P29" s="2"/>
      <c r="Q29" s="3"/>
      <c r="R29" s="1">
        <f>R25+25</f>
        <v>54.5</v>
      </c>
      <c r="S29" s="1" t="s">
        <v>228</v>
      </c>
      <c r="T29" s="1">
        <v>16</v>
      </c>
      <c r="U29" s="1">
        <v>8</v>
      </c>
      <c r="W29" s="1">
        <v>32.92</v>
      </c>
      <c r="Y29" s="1">
        <v>6.6150000000000002</v>
      </c>
      <c r="Z29" s="1">
        <v>6.7226999999999997</v>
      </c>
      <c r="AA29" s="1">
        <v>8</v>
      </c>
      <c r="AB29" s="1">
        <f t="shared" si="2"/>
        <v>0.10769999999999946</v>
      </c>
      <c r="AC29" s="1">
        <f t="shared" si="3"/>
        <v>13.462499999999933</v>
      </c>
      <c r="AD29" s="1">
        <v>12.2</v>
      </c>
      <c r="AE29" s="1">
        <v>1.7580000000000002</v>
      </c>
      <c r="AF29" s="28">
        <f t="shared" si="4"/>
        <v>0.14409836065573772</v>
      </c>
      <c r="AG29" s="1">
        <f t="shared" si="5"/>
        <v>1.9399241803278595</v>
      </c>
      <c r="AI29" s="29">
        <f>$BF$15-BF29</f>
        <v>30.739099999999979</v>
      </c>
      <c r="AJ29" s="1">
        <f t="shared" si="15"/>
        <v>8.4064220183486235E-2</v>
      </c>
      <c r="AK29" s="29">
        <f t="shared" si="6"/>
        <v>0.14904470202445755</v>
      </c>
      <c r="AL29" s="8">
        <f t="shared" si="7"/>
        <v>0.24701834862385197</v>
      </c>
      <c r="AM29" s="8">
        <f t="shared" si="16"/>
        <v>0.43796012244990717</v>
      </c>
      <c r="AO29" s="29"/>
      <c r="AP29" s="1">
        <f t="shared" si="12"/>
        <v>3.5874999999999915</v>
      </c>
      <c r="AQ29" s="8">
        <f t="shared" si="23"/>
        <v>0.51249999999999873</v>
      </c>
      <c r="AR29" s="8">
        <f t="shared" si="17"/>
        <v>0.13240418118467021</v>
      </c>
      <c r="AS29" s="29">
        <f t="shared" si="18"/>
        <v>0.25834962182374738</v>
      </c>
      <c r="AT29" s="8">
        <f t="shared" si="24"/>
        <v>0.40610452961672561</v>
      </c>
      <c r="AU29" s="34">
        <f t="shared" si="19"/>
        <v>0.11319986888271125</v>
      </c>
      <c r="AV29" s="8"/>
      <c r="AW29" s="8">
        <f t="shared" si="20"/>
        <v>0.58700482447436475</v>
      </c>
      <c r="BD29" s="1">
        <f t="shared" si="8"/>
        <v>0.42560000000000003</v>
      </c>
      <c r="BE29" s="1">
        <f t="shared" si="9"/>
        <v>4.5815000000000001</v>
      </c>
      <c r="BF29" s="1">
        <f t="shared" si="10"/>
        <v>65.837100000000007</v>
      </c>
      <c r="BG29" s="1" t="str">
        <f t="shared" si="0"/>
        <v/>
      </c>
      <c r="BH29" s="1" t="str">
        <f t="shared" si="0"/>
        <v/>
      </c>
      <c r="BI29" s="1" t="str">
        <f t="shared" si="0"/>
        <v/>
      </c>
      <c r="BJ29" s="1" t="str">
        <f t="shared" si="0"/>
        <v/>
      </c>
      <c r="BK29" s="1" t="str">
        <f t="shared" si="0"/>
        <v/>
      </c>
      <c r="BL29" s="1" t="str">
        <f t="shared" si="0"/>
        <v/>
      </c>
      <c r="BM29" s="1" t="str">
        <f t="shared" si="0"/>
        <v/>
      </c>
      <c r="BN29" s="1" t="str">
        <f t="shared" si="0"/>
        <v/>
      </c>
      <c r="BO29" s="1" t="str">
        <f t="shared" si="0"/>
        <v/>
      </c>
      <c r="BP29" s="20"/>
      <c r="BQ29" s="20" t="str">
        <f t="shared" si="29"/>
        <v>r2</v>
      </c>
      <c r="BR29" s="7"/>
      <c r="BS29" s="1" t="str">
        <f t="shared" si="32"/>
        <v>Jeff_SloHot50_Biostat 2L-29-14</v>
      </c>
      <c r="BT29" s="7"/>
      <c r="BU29" s="33"/>
      <c r="BV29" s="7"/>
      <c r="BW29" s="7"/>
      <c r="BX29" s="7"/>
      <c r="BY29" s="7">
        <f t="shared" si="35"/>
        <v>30.739099999999979</v>
      </c>
      <c r="BZ29" s="7"/>
      <c r="CA29" s="7">
        <f t="shared" si="37"/>
        <v>0.42693194444444416</v>
      </c>
      <c r="CB29" s="7">
        <f t="shared" si="21"/>
        <v>3.5874999999999915</v>
      </c>
      <c r="CC29" s="30">
        <f t="shared" ref="CC29" si="39">CB29/(R31-R29)</f>
        <v>0.20499999999999952</v>
      </c>
      <c r="CD29" s="30"/>
      <c r="CE29" s="36"/>
      <c r="CF29" s="8"/>
      <c r="CG29" s="37"/>
      <c r="CH29" s="37"/>
      <c r="CI29" s="8"/>
      <c r="CN29" s="8"/>
      <c r="CO29" s="29"/>
      <c r="CP29" s="7"/>
      <c r="CQ29" s="7"/>
      <c r="CR29" s="7"/>
      <c r="CS29" s="29"/>
      <c r="CT29" s="29"/>
      <c r="CU29" s="29"/>
      <c r="CZ29" s="7"/>
      <c r="DA29" s="8"/>
      <c r="DB29" s="7"/>
    </row>
    <row r="30" spans="1:106" x14ac:dyDescent="0.2">
      <c r="B30" s="47"/>
      <c r="C30" s="47"/>
      <c r="D30" s="47"/>
      <c r="E30" s="47"/>
      <c r="F30" s="47"/>
      <c r="G30" s="17"/>
      <c r="H30" s="17" t="s">
        <v>225</v>
      </c>
      <c r="I30" s="17" t="s">
        <v>225</v>
      </c>
      <c r="J30" s="17" t="s">
        <v>225</v>
      </c>
      <c r="K30" s="17" t="s">
        <v>225</v>
      </c>
      <c r="L30" s="17" t="s">
        <v>225</v>
      </c>
      <c r="M30" s="17"/>
      <c r="N30" s="17"/>
      <c r="P30" s="2">
        <v>45667</v>
      </c>
      <c r="Q30" s="3">
        <v>0.40625</v>
      </c>
      <c r="R30" s="1">
        <v>72</v>
      </c>
      <c r="S30" s="1" t="s">
        <v>226</v>
      </c>
      <c r="T30" s="1">
        <v>17</v>
      </c>
      <c r="U30" s="1">
        <v>8</v>
      </c>
      <c r="AA30" s="1">
        <v>8</v>
      </c>
      <c r="AB30" s="1">
        <f t="shared" si="2"/>
        <v>0</v>
      </c>
      <c r="AC30" s="1">
        <f>AB30/(AA30/1000)</f>
        <v>0</v>
      </c>
      <c r="AE30" s="1">
        <v>0</v>
      </c>
      <c r="AF30" s="28" t="e">
        <f t="shared" si="4"/>
        <v>#DIV/0!</v>
      </c>
      <c r="AG30" s="1" t="e">
        <f t="shared" si="5"/>
        <v>#DIV/0!</v>
      </c>
      <c r="AI30" s="29">
        <f>$BF$14-BF30</f>
        <v>96.45450000000001</v>
      </c>
      <c r="AJ30" s="1">
        <f t="shared" si="15"/>
        <v>0</v>
      </c>
      <c r="AK30" s="29">
        <f t="shared" si="6"/>
        <v>0</v>
      </c>
      <c r="AL30" s="8">
        <f t="shared" si="7"/>
        <v>0</v>
      </c>
      <c r="AM30" s="8">
        <f t="shared" si="16"/>
        <v>0</v>
      </c>
      <c r="AO30" s="29"/>
      <c r="AP30" s="1" t="e">
        <f t="shared" si="12"/>
        <v>#VALUE!</v>
      </c>
      <c r="AQ30" s="8" t="e">
        <f t="shared" si="23"/>
        <v>#VALUE!</v>
      </c>
      <c r="AR30" s="8" t="e">
        <f t="shared" si="17"/>
        <v>#VALUE!</v>
      </c>
      <c r="AS30" s="29" t="e">
        <f t="shared" si="18"/>
        <v>#VALUE!</v>
      </c>
      <c r="AT30" s="8" t="e">
        <f t="shared" si="24"/>
        <v>#VALUE!</v>
      </c>
      <c r="AU30" s="34" t="e">
        <f t="shared" si="19"/>
        <v>#VALUE!</v>
      </c>
      <c r="AV30" s="8"/>
      <c r="AW30" s="8">
        <f t="shared" si="20"/>
        <v>0</v>
      </c>
      <c r="BD30" s="1">
        <f>IF(ISNUMBER(C30),C30*1000/100,0)</f>
        <v>0</v>
      </c>
      <c r="BE30" s="1">
        <f t="shared" si="9"/>
        <v>0</v>
      </c>
      <c r="BF30" s="1">
        <f>IF(ISNUMBER(E30),E30*1000/100,0)</f>
        <v>0</v>
      </c>
      <c r="BG30" s="1" t="str">
        <f t="shared" si="10"/>
        <v/>
      </c>
      <c r="BH30" s="1" t="str">
        <f t="shared" si="10"/>
        <v/>
      </c>
      <c r="BI30" s="1" t="str">
        <f t="shared" si="10"/>
        <v/>
      </c>
      <c r="BJ30" s="1" t="str">
        <f t="shared" si="10"/>
        <v/>
      </c>
      <c r="BK30" s="1" t="str">
        <f t="shared" si="10"/>
        <v/>
      </c>
      <c r="BL30" s="1" t="str">
        <f t="shared" si="10"/>
        <v/>
      </c>
      <c r="BM30" s="1" t="str">
        <f t="shared" si="10"/>
        <v/>
      </c>
      <c r="BN30" s="1" t="str">
        <f t="shared" si="10"/>
        <v/>
      </c>
      <c r="BO30" s="1" t="str">
        <f t="shared" si="10"/>
        <v/>
      </c>
      <c r="BP30" s="20"/>
      <c r="BQ30" s="20"/>
      <c r="BR30" s="7"/>
      <c r="BS30" s="1">
        <f t="shared" si="32"/>
        <v>0</v>
      </c>
      <c r="BT30" s="7"/>
      <c r="BU30" s="33"/>
      <c r="BV30" s="7"/>
      <c r="BW30" s="7"/>
      <c r="BX30" s="7"/>
      <c r="BY30" s="7"/>
      <c r="BZ30" s="7"/>
      <c r="CA30" s="7"/>
      <c r="CB30" s="7"/>
      <c r="CC30" s="30"/>
      <c r="CD30" s="30"/>
      <c r="CE30" s="36"/>
      <c r="CF30" s="8"/>
      <c r="CG30" s="37"/>
      <c r="CH30" s="37"/>
      <c r="CI30" s="8"/>
      <c r="CN30" s="8"/>
      <c r="CO30" s="29"/>
      <c r="CP30" s="7"/>
      <c r="CQ30" s="7"/>
      <c r="CR30" s="7"/>
      <c r="CS30" s="29"/>
      <c r="CT30" s="29"/>
      <c r="CU30" s="29"/>
      <c r="CZ30" s="7"/>
      <c r="DA30" s="8"/>
      <c r="DB30" s="7"/>
    </row>
    <row r="31" spans="1:106" x14ac:dyDescent="0.2">
      <c r="B31" s="47" t="s">
        <v>255</v>
      </c>
      <c r="C31" s="47">
        <v>4.4690000000000001E-2</v>
      </c>
      <c r="D31" s="47">
        <v>0.98319999999999996</v>
      </c>
      <c r="E31" s="47">
        <v>5.6604700000000001</v>
      </c>
      <c r="F31" s="17"/>
      <c r="G31" s="17"/>
      <c r="H31" s="17" t="s">
        <v>225</v>
      </c>
      <c r="I31" s="17" t="s">
        <v>225</v>
      </c>
      <c r="J31" s="17" t="s">
        <v>225</v>
      </c>
      <c r="K31" s="17" t="s">
        <v>225</v>
      </c>
      <c r="L31" s="17" t="s">
        <v>225</v>
      </c>
      <c r="M31" s="17"/>
      <c r="N31" s="17"/>
      <c r="P31" s="2"/>
      <c r="Q31" s="3"/>
      <c r="R31" s="1">
        <v>72</v>
      </c>
      <c r="S31" s="1" t="s">
        <v>228</v>
      </c>
      <c r="T31" s="1">
        <v>18</v>
      </c>
      <c r="U31" s="1">
        <v>8</v>
      </c>
      <c r="W31" s="1">
        <v>31.44</v>
      </c>
      <c r="X31" s="1">
        <v>77</v>
      </c>
      <c r="Y31" s="1">
        <v>6.6424000000000003</v>
      </c>
      <c r="Z31" s="1">
        <v>6.7458999999999998</v>
      </c>
      <c r="AA31" s="1">
        <v>8</v>
      </c>
      <c r="AB31" s="1">
        <f t="shared" si="2"/>
        <v>0.10349999999999948</v>
      </c>
      <c r="AC31" s="1">
        <f>AB31/(AA31/1000)</f>
        <v>12.937499999999934</v>
      </c>
      <c r="AD31" s="1">
        <v>17</v>
      </c>
      <c r="AE31" s="1">
        <v>2.8490000000000006</v>
      </c>
      <c r="AF31" s="28">
        <f t="shared" si="4"/>
        <v>0.16758823529411768</v>
      </c>
      <c r="AG31" s="1">
        <f t="shared" si="5"/>
        <v>2.1681727941176363</v>
      </c>
      <c r="AI31" s="29">
        <f t="shared" ref="AI31" si="40">$BF$15-BF31</f>
        <v>39.971499999999985</v>
      </c>
      <c r="AJ31" s="1">
        <f t="shared" si="15"/>
        <v>0.13655555555555554</v>
      </c>
      <c r="AK31" s="29">
        <f t="shared" si="6"/>
        <v>0.2459752573708768</v>
      </c>
      <c r="AL31" s="8">
        <f t="shared" si="7"/>
        <v>0.17968749999999908</v>
      </c>
      <c r="AM31" s="8">
        <f t="shared" si="16"/>
        <v>0.32366811353088926</v>
      </c>
      <c r="AO31" s="29"/>
      <c r="AP31" s="1">
        <f t="shared" si="12"/>
        <v>9.2324000000000055</v>
      </c>
      <c r="AQ31" s="8">
        <f t="shared" si="23"/>
        <v>0.52756571428571464</v>
      </c>
      <c r="AR31" s="8">
        <f t="shared" si="17"/>
        <v>-5.6864953858151539E-2</v>
      </c>
      <c r="AS31" s="29">
        <f t="shared" si="18"/>
        <v>-0.10778743257632374</v>
      </c>
      <c r="AT31" s="8">
        <f t="shared" si="24"/>
        <v>0.56870369568042933</v>
      </c>
      <c r="AU31" s="34">
        <f t="shared" si="19"/>
        <v>6.1598684597767538E-2</v>
      </c>
      <c r="AV31" s="8"/>
      <c r="AW31" s="8">
        <f t="shared" si="20"/>
        <v>0.56964337090176609</v>
      </c>
      <c r="BD31" s="1">
        <f t="shared" ref="BD31:BD33" si="41">IF(ISNUMBER(C31),C31*1000/100,0)</f>
        <v>0.44689999999999996</v>
      </c>
      <c r="BE31" s="1">
        <f t="shared" ref="BE31:BE33" si="42">IF(ISNUMBER(D31),D31*1000/100,0)</f>
        <v>9.831999999999999</v>
      </c>
      <c r="BF31" s="1">
        <f t="shared" ref="BF31:BF33" si="43">IF(ISNUMBER(E31),E31*1000/100,0)</f>
        <v>56.604700000000001</v>
      </c>
      <c r="BG31" s="1" t="str">
        <f t="shared" si="10"/>
        <v/>
      </c>
      <c r="BH31" s="1" t="str">
        <f t="shared" si="10"/>
        <v/>
      </c>
      <c r="BI31" s="1" t="str">
        <f t="shared" si="10"/>
        <v/>
      </c>
      <c r="BJ31" s="1" t="str">
        <f t="shared" si="10"/>
        <v/>
      </c>
      <c r="BK31" s="1" t="str">
        <f t="shared" si="10"/>
        <v/>
      </c>
      <c r="BL31" s="1" t="str">
        <f t="shared" si="10"/>
        <v/>
      </c>
      <c r="BM31" s="1" t="str">
        <f t="shared" si="10"/>
        <v/>
      </c>
      <c r="BN31" s="1" t="str">
        <f t="shared" si="10"/>
        <v/>
      </c>
      <c r="BO31" s="1" t="str">
        <f t="shared" si="10"/>
        <v/>
      </c>
      <c r="BP31" s="20"/>
      <c r="BQ31" s="20"/>
      <c r="BR31" s="7"/>
      <c r="BS31" s="1" t="str">
        <f t="shared" si="32"/>
        <v>Jeff_SloHot50_Biostat 2L-29-16</v>
      </c>
      <c r="BT31" s="38"/>
      <c r="BU31" s="33"/>
      <c r="BV31" s="7"/>
      <c r="BW31" s="7"/>
      <c r="BX31" s="7"/>
      <c r="BY31" s="7"/>
      <c r="BZ31" s="7"/>
      <c r="CA31" s="7"/>
      <c r="CB31" s="7"/>
      <c r="CC31" s="30"/>
      <c r="CD31" s="30"/>
      <c r="CE31" s="36"/>
      <c r="CF31" s="8"/>
      <c r="CG31" s="37"/>
      <c r="CH31" s="37"/>
      <c r="CI31" s="8"/>
      <c r="CN31" s="8"/>
      <c r="CO31" s="29"/>
      <c r="CP31" s="7"/>
      <c r="CQ31" s="7"/>
      <c r="CR31" s="7"/>
      <c r="CS31" s="29"/>
      <c r="CT31" s="29"/>
      <c r="CU31" s="29"/>
      <c r="CZ31" s="7"/>
      <c r="DA31" s="8"/>
      <c r="DB31" s="7"/>
    </row>
    <row r="32" spans="1:106" x14ac:dyDescent="0.2">
      <c r="B32" s="47"/>
      <c r="C32" s="47"/>
      <c r="D32" s="47"/>
      <c r="E32" s="47"/>
      <c r="F32" s="17"/>
      <c r="G32" s="17"/>
      <c r="H32" s="17"/>
      <c r="I32" s="17"/>
      <c r="J32" s="17"/>
      <c r="K32" s="17"/>
      <c r="L32" s="17"/>
      <c r="M32" s="17"/>
      <c r="N32" s="17"/>
      <c r="P32" s="2"/>
      <c r="Q32" s="3">
        <v>0.64583333333333337</v>
      </c>
      <c r="R32" s="1">
        <f>R28+24-0.75</f>
        <v>77.75</v>
      </c>
      <c r="S32" s="46" t="s">
        <v>226</v>
      </c>
      <c r="T32" s="1">
        <v>19</v>
      </c>
      <c r="AA32" s="1">
        <v>8</v>
      </c>
      <c r="AB32" s="1">
        <f t="shared" ref="AB32:AB33" si="44">Z32-Y32</f>
        <v>0</v>
      </c>
      <c r="AC32" s="1">
        <f t="shared" ref="AC32:AC33" si="45">AB32/(AA32/1000)</f>
        <v>0</v>
      </c>
      <c r="AE32" s="1">
        <v>0</v>
      </c>
      <c r="AF32" s="28" t="e">
        <f t="shared" ref="AF32:AF33" si="46">AE32/AD32</f>
        <v>#DIV/0!</v>
      </c>
      <c r="AG32" s="1" t="e">
        <f t="shared" ref="AG32:AG33" si="47">AF32*AC32</f>
        <v>#DIV/0!</v>
      </c>
      <c r="AI32" s="29">
        <f>$BF$14-BF32</f>
        <v>96.45450000000001</v>
      </c>
      <c r="AJ32" s="1">
        <f t="shared" ref="AJ32:AJ33" si="48">BE32/R32</f>
        <v>0</v>
      </c>
      <c r="AK32" s="29">
        <f t="shared" ref="AK32:AK33" si="49">BE32/AI32</f>
        <v>0</v>
      </c>
      <c r="AL32" s="8">
        <f t="shared" ref="AL32:AL33" si="50">AC32/R32</f>
        <v>0</v>
      </c>
      <c r="AM32" s="8">
        <f t="shared" ref="AM32:AM33" si="51">AC32/AI32</f>
        <v>0</v>
      </c>
      <c r="AO32" s="29"/>
      <c r="AP32" s="1">
        <f t="shared" ref="AP32:AP33" si="52">BF30-BF32</f>
        <v>0</v>
      </c>
      <c r="AQ32" s="8">
        <f t="shared" ref="AQ32:AQ33" si="53">AP32/(R32-R30)</f>
        <v>0</v>
      </c>
      <c r="AR32" s="8" t="e">
        <f t="shared" ref="AR32:AR33" si="54">(AC32-AC30)/(AI32-AI30)</f>
        <v>#DIV/0!</v>
      </c>
      <c r="AS32" s="29" t="e">
        <f t="shared" ref="AS32:AS33" si="55">AR32/AQ32</f>
        <v>#DIV/0!</v>
      </c>
      <c r="AT32" s="8" t="e">
        <f t="shared" ref="AT32:AT33" si="56">(BE32-BE30)/(AI32-AI30)</f>
        <v>#DIV/0!</v>
      </c>
      <c r="AU32" s="34" t="e">
        <f t="shared" ref="AU32:AU33" si="57">AT32/AP32</f>
        <v>#DIV/0!</v>
      </c>
      <c r="AV32" s="8"/>
      <c r="AW32" s="8">
        <f t="shared" ref="AW32:AW33" si="58">AK32+AM32</f>
        <v>0</v>
      </c>
      <c r="BD32" s="1">
        <f t="shared" si="41"/>
        <v>0</v>
      </c>
      <c r="BE32" s="1">
        <f t="shared" si="42"/>
        <v>0</v>
      </c>
      <c r="BF32" s="1">
        <f t="shared" si="43"/>
        <v>0</v>
      </c>
      <c r="BG32" s="1" t="str">
        <f t="shared" ref="BD32:BO37" si="59">IF(ISNUMBER(F32),F32*1000/100,"")</f>
        <v/>
      </c>
      <c r="BH32" s="1" t="str">
        <f t="shared" si="59"/>
        <v/>
      </c>
      <c r="BI32" s="1" t="str">
        <f t="shared" si="59"/>
        <v/>
      </c>
      <c r="BJ32" s="1" t="str">
        <f t="shared" si="59"/>
        <v/>
      </c>
      <c r="BK32" s="1" t="str">
        <f t="shared" si="59"/>
        <v/>
      </c>
      <c r="BL32" s="1" t="str">
        <f t="shared" si="59"/>
        <v/>
      </c>
      <c r="BM32" s="1" t="str">
        <f t="shared" si="59"/>
        <v/>
      </c>
      <c r="BN32" s="1" t="str">
        <f t="shared" si="59"/>
        <v/>
      </c>
      <c r="BO32" s="1" t="str">
        <f t="shared" si="59"/>
        <v/>
      </c>
      <c r="BP32" s="20"/>
      <c r="BQ32" s="20"/>
      <c r="BR32" s="7"/>
      <c r="BT32" s="38"/>
      <c r="BU32" s="33"/>
      <c r="BV32" s="7"/>
      <c r="BW32" s="7"/>
      <c r="BX32" s="7"/>
      <c r="BY32" s="7"/>
      <c r="BZ32" s="7"/>
      <c r="CA32" s="7"/>
      <c r="CB32" s="7"/>
      <c r="CC32" s="30"/>
      <c r="CD32" s="30"/>
      <c r="CE32" s="36"/>
      <c r="CF32" s="8"/>
      <c r="CG32" s="37"/>
      <c r="CH32" s="37"/>
      <c r="CI32" s="8"/>
      <c r="CN32" s="8"/>
      <c r="CO32" s="29"/>
      <c r="CP32" s="7"/>
      <c r="CQ32" s="7"/>
      <c r="CR32" s="7"/>
      <c r="CS32" s="29"/>
      <c r="CT32" s="29"/>
      <c r="CU32" s="29"/>
      <c r="CZ32" s="7"/>
      <c r="DA32" s="8"/>
      <c r="DB32" s="7"/>
    </row>
    <row r="33" spans="2:105" x14ac:dyDescent="0.2">
      <c r="B33" s="47" t="s">
        <v>256</v>
      </c>
      <c r="C33" s="47">
        <v>4.7E-2</v>
      </c>
      <c r="D33" s="47">
        <v>1.15524</v>
      </c>
      <c r="E33" s="47">
        <v>5.37601</v>
      </c>
      <c r="F33" s="17"/>
      <c r="G33" s="17"/>
      <c r="H33" s="17"/>
      <c r="I33" s="17"/>
      <c r="J33" s="17"/>
      <c r="K33" s="17"/>
      <c r="L33" s="17"/>
      <c r="M33" s="17"/>
      <c r="N33" s="17"/>
      <c r="P33" s="2"/>
      <c r="Q33" s="3"/>
      <c r="R33" s="1">
        <f>R29+24-0.75</f>
        <v>77.75</v>
      </c>
      <c r="S33" s="46" t="s">
        <v>228</v>
      </c>
      <c r="T33" s="1">
        <v>20</v>
      </c>
      <c r="U33" s="1">
        <v>8</v>
      </c>
      <c r="W33" s="1">
        <v>33.840000000000003</v>
      </c>
      <c r="X33" s="1">
        <v>88</v>
      </c>
      <c r="Y33" s="1">
        <v>6.6505999999999998</v>
      </c>
      <c r="Z33" s="1">
        <v>6.76</v>
      </c>
      <c r="AA33" s="1">
        <v>8</v>
      </c>
      <c r="AB33" s="1">
        <f t="shared" si="44"/>
        <v>0.10939999999999994</v>
      </c>
      <c r="AC33" s="1">
        <f t="shared" si="45"/>
        <v>13.674999999999992</v>
      </c>
      <c r="AD33" s="1">
        <v>16</v>
      </c>
      <c r="AE33" s="1">
        <v>2.1440000000000001</v>
      </c>
      <c r="AF33" s="28">
        <f t="shared" si="46"/>
        <v>0.13400000000000001</v>
      </c>
      <c r="AG33" s="1">
        <f t="shared" si="47"/>
        <v>1.832449999999999</v>
      </c>
      <c r="AI33" s="29">
        <f t="shared" ref="AI33" si="60">$BF$15-BF33</f>
        <v>42.816099999999985</v>
      </c>
      <c r="AJ33" s="1">
        <f t="shared" si="48"/>
        <v>0.14858392282958199</v>
      </c>
      <c r="AK33" s="29">
        <f t="shared" si="49"/>
        <v>0.26981439224964454</v>
      </c>
      <c r="AL33" s="8">
        <f t="shared" si="50"/>
        <v>0.17588424437299024</v>
      </c>
      <c r="AM33" s="8">
        <f t="shared" si="51"/>
        <v>0.31938920172551905</v>
      </c>
      <c r="AO33" s="29"/>
      <c r="AP33" s="1">
        <f t="shared" si="52"/>
        <v>2.8445999999999998</v>
      </c>
      <c r="AQ33" s="8">
        <f t="shared" si="53"/>
        <v>0.49471304347826084</v>
      </c>
      <c r="AR33" s="8">
        <f t="shared" si="54"/>
        <v>0.25926316529566812</v>
      </c>
      <c r="AS33" s="29">
        <f t="shared" si="55"/>
        <v>0.52406777770164237</v>
      </c>
      <c r="AT33" s="8">
        <f t="shared" si="56"/>
        <v>0.60479505027068892</v>
      </c>
      <c r="AU33" s="34">
        <f t="shared" si="57"/>
        <v>0.21261163266212788</v>
      </c>
      <c r="AV33" s="8"/>
      <c r="AW33" s="8">
        <f t="shared" si="58"/>
        <v>0.58920359397516364</v>
      </c>
      <c r="BD33" s="1">
        <f t="shared" si="41"/>
        <v>0.47</v>
      </c>
      <c r="BE33" s="1">
        <f t="shared" si="42"/>
        <v>11.5524</v>
      </c>
      <c r="BF33" s="1">
        <f t="shared" si="43"/>
        <v>53.760100000000001</v>
      </c>
      <c r="BG33" s="1" t="str">
        <f t="shared" si="59"/>
        <v/>
      </c>
      <c r="BH33" s="1" t="str">
        <f t="shared" si="59"/>
        <v/>
      </c>
      <c r="BI33" s="1" t="str">
        <f t="shared" si="59"/>
        <v/>
      </c>
      <c r="BJ33" s="1" t="str">
        <f t="shared" si="59"/>
        <v/>
      </c>
      <c r="BK33" s="1" t="str">
        <f t="shared" si="59"/>
        <v/>
      </c>
      <c r="BL33" s="1" t="str">
        <f t="shared" si="59"/>
        <v/>
      </c>
      <c r="BM33" s="1" t="str">
        <f t="shared" si="59"/>
        <v/>
      </c>
      <c r="BN33" s="1" t="str">
        <f t="shared" si="59"/>
        <v/>
      </c>
      <c r="BO33" s="1" t="str">
        <f t="shared" si="59"/>
        <v/>
      </c>
      <c r="BP33" s="20"/>
      <c r="BQ33" s="20"/>
      <c r="BR33" s="7"/>
      <c r="BU33" s="33"/>
      <c r="BV33" s="7"/>
      <c r="BW33" s="7"/>
      <c r="BX33" s="7"/>
      <c r="BY33" s="7"/>
      <c r="BZ33" s="7"/>
      <c r="CA33" s="7"/>
      <c r="CB33" s="7"/>
      <c r="CC33" s="30"/>
      <c r="CD33" s="30"/>
      <c r="CE33" s="36"/>
      <c r="CF33" s="8"/>
      <c r="CG33" s="37"/>
      <c r="CH33" s="37"/>
      <c r="CI33" s="8"/>
      <c r="CN33" s="8"/>
      <c r="CO33" s="29"/>
      <c r="CP33" s="7"/>
      <c r="CQ33" s="7"/>
      <c r="CR33" s="7"/>
      <c r="CS33" s="39"/>
      <c r="CT33" s="29"/>
      <c r="CU33" s="29"/>
      <c r="CZ33" s="7"/>
      <c r="DA33" s="8"/>
    </row>
    <row r="34" spans="2:105" s="40" customFormat="1" ht="17" thickBot="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"/>
      <c r="P34" s="2"/>
      <c r="Q34" s="3"/>
      <c r="R34" s="1"/>
      <c r="S34" s="1"/>
      <c r="T34" s="1"/>
      <c r="U34" s="1"/>
      <c r="V34" s="1"/>
      <c r="W34" s="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 t="str">
        <f t="shared" si="59"/>
        <v/>
      </c>
      <c r="BH34" s="1" t="str">
        <f t="shared" si="59"/>
        <v/>
      </c>
      <c r="BI34" s="1" t="str">
        <f t="shared" si="59"/>
        <v/>
      </c>
      <c r="BJ34" s="1" t="str">
        <f t="shared" si="59"/>
        <v/>
      </c>
      <c r="BK34" s="1" t="str">
        <f t="shared" si="59"/>
        <v/>
      </c>
      <c r="BL34" s="1" t="str">
        <f t="shared" si="59"/>
        <v/>
      </c>
      <c r="BM34" s="1" t="str">
        <f t="shared" si="59"/>
        <v/>
      </c>
      <c r="BN34" s="1" t="str">
        <f t="shared" si="59"/>
        <v/>
      </c>
      <c r="BO34" s="1" t="str">
        <f t="shared" si="59"/>
        <v/>
      </c>
      <c r="BP34" s="20"/>
      <c r="BQ34" s="20"/>
      <c r="BR34" s="7"/>
      <c r="BS34" s="1"/>
      <c r="BT34" s="1"/>
      <c r="BU34" s="33"/>
      <c r="BV34" s="7"/>
      <c r="BW34" s="7"/>
      <c r="BX34" s="7"/>
      <c r="BY34" s="7"/>
      <c r="BZ34" s="7"/>
      <c r="CA34" s="7"/>
      <c r="CB34" s="7"/>
      <c r="CC34" s="30"/>
      <c r="CD34" s="30"/>
      <c r="CE34" s="36"/>
      <c r="CF34" s="8"/>
      <c r="CG34" s="37"/>
      <c r="CH34" s="37"/>
      <c r="CI34" s="8"/>
      <c r="CJ34" s="1"/>
      <c r="CL34" s="1"/>
      <c r="CM34" s="1"/>
      <c r="CN34" s="8"/>
      <c r="CO34" s="29"/>
      <c r="CP34" s="7"/>
      <c r="CQ34" s="7"/>
      <c r="CR34" s="7"/>
      <c r="CS34" s="41"/>
      <c r="CT34" s="29"/>
      <c r="CU34" s="29"/>
      <c r="CX34" s="1"/>
      <c r="CY34" s="1"/>
      <c r="CZ34" s="7"/>
      <c r="DA34" s="8"/>
    </row>
    <row r="35" spans="2:105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P35" s="2"/>
      <c r="Q35" s="3"/>
      <c r="W35" s="4"/>
      <c r="BD35" s="1" t="str">
        <f t="shared" si="59"/>
        <v/>
      </c>
      <c r="BE35" s="1" t="str">
        <f t="shared" si="59"/>
        <v/>
      </c>
      <c r="BF35" s="1" t="str">
        <f t="shared" si="59"/>
        <v/>
      </c>
      <c r="BG35" s="1" t="str">
        <f t="shared" si="59"/>
        <v/>
      </c>
      <c r="BH35" s="1" t="str">
        <f t="shared" si="59"/>
        <v/>
      </c>
      <c r="BI35" s="1" t="str">
        <f t="shared" si="59"/>
        <v/>
      </c>
      <c r="BJ35" s="1" t="str">
        <f t="shared" si="59"/>
        <v/>
      </c>
      <c r="BK35" s="1" t="str">
        <f t="shared" si="59"/>
        <v/>
      </c>
      <c r="BL35" s="1" t="str">
        <f t="shared" si="59"/>
        <v/>
      </c>
      <c r="BM35" s="1" t="str">
        <f t="shared" si="59"/>
        <v/>
      </c>
      <c r="BN35" s="1" t="str">
        <f t="shared" si="59"/>
        <v/>
      </c>
      <c r="BO35" s="1" t="str">
        <f t="shared" si="59"/>
        <v/>
      </c>
      <c r="BP35" s="20"/>
      <c r="BQ35" s="20"/>
      <c r="BR35" s="7"/>
      <c r="BT35" s="7"/>
      <c r="BU35" s="33"/>
      <c r="BV35" s="7"/>
      <c r="BW35" s="7"/>
      <c r="BX35" s="7"/>
      <c r="BY35" s="7"/>
      <c r="BZ35" s="7"/>
      <c r="CA35" s="7"/>
      <c r="CB35" s="7"/>
      <c r="CC35" s="30"/>
      <c r="CD35" s="30"/>
      <c r="CE35" s="36"/>
      <c r="CF35" s="8"/>
      <c r="CG35" s="37"/>
      <c r="CH35" s="37"/>
      <c r="CI35" s="8"/>
      <c r="CN35" s="8"/>
      <c r="CO35" s="29"/>
      <c r="CP35" s="7"/>
      <c r="CQ35" s="7"/>
      <c r="CR35" s="7"/>
      <c r="CS35" s="29"/>
      <c r="CT35" s="29"/>
      <c r="CU35" s="29"/>
      <c r="CZ35" s="7"/>
      <c r="DA35" s="8"/>
    </row>
    <row r="36" spans="2:105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P36" s="2"/>
      <c r="Q36" s="3"/>
      <c r="BD36" s="1" t="str">
        <f t="shared" si="59"/>
        <v/>
      </c>
      <c r="BE36" s="1" t="str">
        <f t="shared" si="59"/>
        <v/>
      </c>
      <c r="BF36" s="1" t="str">
        <f t="shared" si="59"/>
        <v/>
      </c>
      <c r="BG36" s="1" t="str">
        <f t="shared" si="59"/>
        <v/>
      </c>
      <c r="BH36" s="1" t="str">
        <f t="shared" si="59"/>
        <v/>
      </c>
      <c r="BI36" s="1" t="str">
        <f t="shared" si="59"/>
        <v/>
      </c>
      <c r="BJ36" s="1" t="str">
        <f t="shared" si="59"/>
        <v/>
      </c>
      <c r="BK36" s="1" t="str">
        <f t="shared" si="59"/>
        <v/>
      </c>
      <c r="BL36" s="1" t="str">
        <f t="shared" si="59"/>
        <v/>
      </c>
      <c r="BM36" s="1" t="str">
        <f t="shared" si="59"/>
        <v/>
      </c>
      <c r="BN36" s="1" t="str">
        <f t="shared" si="59"/>
        <v/>
      </c>
      <c r="BO36" s="1" t="str">
        <f t="shared" si="59"/>
        <v/>
      </c>
      <c r="BP36" s="20"/>
      <c r="BR36" s="1"/>
      <c r="BZ36" s="1"/>
      <c r="CA36" s="1"/>
    </row>
    <row r="37" spans="2:105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P37" s="2"/>
      <c r="Q37" s="3"/>
      <c r="BD37" s="1" t="str">
        <f t="shared" si="59"/>
        <v/>
      </c>
      <c r="BE37" s="1" t="str">
        <f t="shared" si="59"/>
        <v/>
      </c>
      <c r="BF37" s="1" t="str">
        <f t="shared" si="59"/>
        <v/>
      </c>
      <c r="BG37" s="1" t="str">
        <f t="shared" si="59"/>
        <v/>
      </c>
      <c r="BH37" s="1" t="str">
        <f t="shared" si="59"/>
        <v/>
      </c>
      <c r="BI37" s="1" t="str">
        <f t="shared" si="59"/>
        <v/>
      </c>
      <c r="BJ37" s="1" t="str">
        <f t="shared" si="59"/>
        <v/>
      </c>
      <c r="BK37" s="1" t="str">
        <f t="shared" si="59"/>
        <v/>
      </c>
      <c r="BL37" s="1" t="str">
        <f t="shared" si="59"/>
        <v/>
      </c>
      <c r="BM37" s="1" t="str">
        <f t="shared" si="59"/>
        <v/>
      </c>
      <c r="BN37" s="1" t="str">
        <f t="shared" si="59"/>
        <v/>
      </c>
      <c r="BO37" s="1" t="str">
        <f t="shared" si="59"/>
        <v/>
      </c>
      <c r="BP37" s="20"/>
      <c r="BR37" s="1"/>
      <c r="BZ37" s="1"/>
      <c r="CA37" s="1"/>
    </row>
    <row r="38" spans="2:105" x14ac:dyDescent="0.2">
      <c r="L38" s="17"/>
      <c r="M38" s="17"/>
      <c r="BP38" s="20"/>
      <c r="BR38" s="1"/>
      <c r="BZ38" s="1"/>
      <c r="CA38" s="1"/>
    </row>
    <row r="39" spans="2:105" x14ac:dyDescent="0.2">
      <c r="L39" s="17"/>
      <c r="M39" s="17"/>
      <c r="BP39" s="20"/>
      <c r="BR39" s="1"/>
      <c r="BZ39" s="1"/>
      <c r="CA39" s="1"/>
    </row>
    <row r="40" spans="2:105" x14ac:dyDescent="0.2">
      <c r="BP40" s="20"/>
      <c r="BR40" s="1"/>
      <c r="BZ40" s="1"/>
      <c r="CA40" s="1"/>
    </row>
    <row r="41" spans="2:105" x14ac:dyDescent="0.2">
      <c r="BP41" s="20"/>
      <c r="BR41" s="1"/>
      <c r="BZ41" s="1"/>
      <c r="CA41" s="1"/>
    </row>
    <row r="42" spans="2:105" x14ac:dyDescent="0.2">
      <c r="BP42" s="20"/>
      <c r="BR42" s="1"/>
      <c r="BZ42" s="1"/>
      <c r="CA42" s="1"/>
    </row>
    <row r="43" spans="2:105" x14ac:dyDescent="0.2">
      <c r="BP43" s="20"/>
      <c r="BR43" s="1"/>
      <c r="BZ43" s="1"/>
      <c r="CA43" s="1"/>
    </row>
    <row r="44" spans="2:105" x14ac:dyDescent="0.2">
      <c r="BP44" s="20"/>
      <c r="BR44" s="1"/>
      <c r="BZ44" s="1"/>
      <c r="CA44" s="1"/>
    </row>
    <row r="45" spans="2:105" x14ac:dyDescent="0.2">
      <c r="BP45" s="20"/>
      <c r="BR45" s="1"/>
      <c r="BZ45" s="1"/>
      <c r="CA45" s="1"/>
    </row>
    <row r="46" spans="2:105" x14ac:dyDescent="0.2">
      <c r="BP46" s="20"/>
      <c r="BR46" s="1"/>
      <c r="BZ46" s="1"/>
      <c r="CA46" s="1"/>
    </row>
    <row r="47" spans="2:105" x14ac:dyDescent="0.2">
      <c r="BP47" s="20"/>
      <c r="BR47" s="1"/>
      <c r="BZ47" s="1"/>
      <c r="CA47" s="1"/>
    </row>
    <row r="48" spans="2:105" x14ac:dyDescent="0.2">
      <c r="BP48" s="20"/>
      <c r="BR48" s="1"/>
      <c r="BZ48" s="1"/>
      <c r="CA48" s="1"/>
    </row>
    <row r="49" spans="68:79" x14ac:dyDescent="0.2">
      <c r="BP49" s="20"/>
      <c r="BR49" s="1"/>
      <c r="BZ49" s="1"/>
      <c r="CA49" s="1"/>
    </row>
    <row r="50" spans="68:79" x14ac:dyDescent="0.2">
      <c r="BP50" s="20"/>
      <c r="BR50" s="1"/>
      <c r="BZ50" s="1"/>
      <c r="CA50" s="1"/>
    </row>
    <row r="51" spans="68:79" x14ac:dyDescent="0.2">
      <c r="BP51" s="20"/>
      <c r="BR51" s="1"/>
      <c r="BZ51" s="1"/>
      <c r="CA51" s="1"/>
    </row>
    <row r="52" spans="68:79" x14ac:dyDescent="0.2">
      <c r="BP52" s="20"/>
      <c r="BR52" s="1"/>
      <c r="BZ52" s="1"/>
      <c r="CA52" s="1"/>
    </row>
    <row r="53" spans="68:79" x14ac:dyDescent="0.2">
      <c r="BP53" s="20"/>
      <c r="BR53" s="1"/>
      <c r="BZ53" s="1"/>
      <c r="CA53" s="1"/>
    </row>
    <row r="54" spans="68:79" x14ac:dyDescent="0.2">
      <c r="BP54" s="20"/>
      <c r="BR54" s="1"/>
      <c r="BZ54" s="1"/>
      <c r="CA54" s="1"/>
    </row>
    <row r="55" spans="68:79" x14ac:dyDescent="0.2">
      <c r="BP55" s="20"/>
      <c r="BR55" s="1"/>
      <c r="BZ55" s="1"/>
      <c r="CA55" s="1"/>
    </row>
    <row r="56" spans="68:79" x14ac:dyDescent="0.2">
      <c r="BP56" s="20"/>
      <c r="BR56" s="1"/>
      <c r="BZ56" s="1"/>
      <c r="CA56" s="1"/>
    </row>
    <row r="57" spans="68:79" x14ac:dyDescent="0.2">
      <c r="BP57" s="20"/>
      <c r="BR57" s="1"/>
      <c r="BZ57" s="1"/>
      <c r="CA57" s="1"/>
    </row>
    <row r="58" spans="68:79" x14ac:dyDescent="0.2">
      <c r="BP58" s="20"/>
      <c r="BR58" s="1"/>
      <c r="BZ58" s="1"/>
      <c r="CA58" s="1"/>
    </row>
    <row r="59" spans="68:79" x14ac:dyDescent="0.2">
      <c r="BP59" s="20"/>
      <c r="BR59" s="1"/>
      <c r="BZ59" s="1"/>
      <c r="CA59" s="1"/>
    </row>
    <row r="60" spans="68:79" x14ac:dyDescent="0.2">
      <c r="BP60" s="20"/>
      <c r="BR60" s="1"/>
      <c r="BZ60" s="1"/>
      <c r="CA60" s="1"/>
    </row>
    <row r="61" spans="68:79" x14ac:dyDescent="0.2">
      <c r="BP61" s="20"/>
      <c r="BR61" s="1"/>
      <c r="BZ61" s="1"/>
      <c r="CA61" s="1"/>
    </row>
    <row r="62" spans="68:79" x14ac:dyDescent="0.2">
      <c r="BP62" s="20"/>
      <c r="BR62" s="1"/>
      <c r="BZ62" s="1"/>
      <c r="CA62" s="1"/>
    </row>
    <row r="63" spans="68:79" x14ac:dyDescent="0.2">
      <c r="BP63" s="20"/>
      <c r="BR63" s="1"/>
      <c r="BZ63" s="1"/>
      <c r="CA63" s="1"/>
    </row>
    <row r="64" spans="68:79" x14ac:dyDescent="0.2">
      <c r="BP64" s="20"/>
      <c r="BR64" s="1"/>
      <c r="BZ64" s="1"/>
      <c r="CA64" s="1"/>
    </row>
    <row r="65" spans="21:105" x14ac:dyDescent="0.2">
      <c r="BP65" s="20"/>
      <c r="BR65" s="1"/>
      <c r="BZ65" s="1"/>
      <c r="CA65" s="1"/>
    </row>
    <row r="66" spans="21:105" x14ac:dyDescent="0.2">
      <c r="BP66" s="20"/>
      <c r="BR66" s="1"/>
      <c r="BZ66" s="1"/>
      <c r="CA66" s="1"/>
    </row>
    <row r="67" spans="21:105" x14ac:dyDescent="0.2">
      <c r="BP67" s="20"/>
      <c r="BR67" s="1"/>
      <c r="BZ67" s="1"/>
      <c r="CA67" s="1"/>
      <c r="CB67" s="7"/>
      <c r="CC67" s="36"/>
      <c r="CD67" s="42"/>
      <c r="CH67" s="37"/>
      <c r="CI67" s="8"/>
      <c r="CN67" s="29"/>
      <c r="CO67" s="29"/>
      <c r="CP67" s="7"/>
      <c r="CQ67" s="7"/>
      <c r="CR67" s="7"/>
      <c r="CS67" s="29"/>
      <c r="CT67" s="29"/>
      <c r="CU67" s="29"/>
      <c r="CZ67" s="7"/>
      <c r="DA67" s="7"/>
    </row>
    <row r="68" spans="21:105" x14ac:dyDescent="0.2">
      <c r="BR68" s="1"/>
      <c r="BU68" s="18"/>
      <c r="BZ68" s="1"/>
      <c r="CA68" s="1"/>
      <c r="CC68" s="31"/>
      <c r="CD68" s="43"/>
    </row>
    <row r="71" spans="21:105" x14ac:dyDescent="0.2">
      <c r="U71" s="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0BA5-E1E8-463D-9E03-629D26DBB84D}">
  <dimension ref="A2:U34"/>
  <sheetViews>
    <sheetView topLeftCell="A4" zoomScaleNormal="100" workbookViewId="0">
      <selection activeCell="L15" sqref="L15:L34"/>
    </sheetView>
  </sheetViews>
  <sheetFormatPr baseColWidth="10" defaultColWidth="12.5" defaultRowHeight="16" x14ac:dyDescent="0.2"/>
  <cols>
    <col min="1" max="16384" width="12.5" style="1"/>
  </cols>
  <sheetData>
    <row r="2" spans="1:21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x14ac:dyDescent="0.2">
      <c r="A3" s="1" t="s">
        <v>229</v>
      </c>
      <c r="B3">
        <v>0.89</v>
      </c>
      <c r="C3">
        <v>1.03</v>
      </c>
      <c r="D3">
        <v>0.86</v>
      </c>
      <c r="E3">
        <v>0.93899999999999995</v>
      </c>
      <c r="F3" s="44"/>
      <c r="G3" s="44"/>
      <c r="H3">
        <v>0.90100000000000002</v>
      </c>
      <c r="I3">
        <v>0.84899999999999998</v>
      </c>
      <c r="J3">
        <v>0.82299999999999995</v>
      </c>
      <c r="K3">
        <v>0.85899999999999999</v>
      </c>
      <c r="L3">
        <v>0.9</v>
      </c>
      <c r="M3">
        <v>0.45100000000000001</v>
      </c>
      <c r="N3" s="44"/>
      <c r="O3">
        <v>0.81699999999999995</v>
      </c>
      <c r="P3" s="44"/>
      <c r="Q3">
        <v>0.877</v>
      </c>
      <c r="R3" s="44"/>
      <c r="S3">
        <v>0.89100000000000001</v>
      </c>
      <c r="U3">
        <v>0.755</v>
      </c>
    </row>
    <row r="4" spans="1:21" x14ac:dyDescent="0.2">
      <c r="A4" s="1" t="s">
        <v>230</v>
      </c>
      <c r="B4" t="s">
        <v>231</v>
      </c>
      <c r="C4" t="s">
        <v>231</v>
      </c>
      <c r="D4" t="s">
        <v>231</v>
      </c>
      <c r="E4" t="s">
        <v>231</v>
      </c>
      <c r="F4" s="44"/>
      <c r="G4" s="44"/>
      <c r="H4" t="s">
        <v>257</v>
      </c>
      <c r="I4" t="s">
        <v>257</v>
      </c>
      <c r="J4" t="s">
        <v>231</v>
      </c>
      <c r="K4" t="s">
        <v>231</v>
      </c>
      <c r="L4" t="s">
        <v>231</v>
      </c>
      <c r="M4" t="s">
        <v>231</v>
      </c>
      <c r="N4" s="44"/>
      <c r="O4" t="s">
        <v>231</v>
      </c>
      <c r="P4" s="44"/>
      <c r="Q4" t="s">
        <v>231</v>
      </c>
      <c r="R4" s="44"/>
      <c r="S4" t="s">
        <v>231</v>
      </c>
      <c r="U4" t="s">
        <v>231</v>
      </c>
    </row>
    <row r="5" spans="1:21" x14ac:dyDescent="0.2">
      <c r="A5" s="1" t="s">
        <v>232</v>
      </c>
      <c r="B5">
        <v>0.17899999999999999</v>
      </c>
      <c r="C5">
        <v>0.182</v>
      </c>
      <c r="D5">
        <v>0.19400000000000001</v>
      </c>
      <c r="E5">
        <v>0.20599999999999999</v>
      </c>
      <c r="F5" s="44"/>
      <c r="G5" s="44"/>
      <c r="H5">
        <v>0.20499999999999999</v>
      </c>
      <c r="I5">
        <v>0.191</v>
      </c>
      <c r="J5">
        <v>0.42699999999999999</v>
      </c>
      <c r="K5">
        <v>0.378</v>
      </c>
      <c r="L5">
        <v>0.41099999999999998</v>
      </c>
      <c r="M5">
        <v>0.20300000000000001</v>
      </c>
      <c r="N5" s="44"/>
      <c r="O5">
        <v>0.51600000000000001</v>
      </c>
      <c r="P5" s="44"/>
      <c r="Q5">
        <v>0.57999999999999996</v>
      </c>
      <c r="R5" s="44"/>
      <c r="S5">
        <v>0.89500000000000002</v>
      </c>
      <c r="U5">
        <v>0.68799999999999994</v>
      </c>
    </row>
    <row r="6" spans="1:21" x14ac:dyDescent="0.2">
      <c r="A6" s="1" t="s">
        <v>233</v>
      </c>
      <c r="B6" t="s">
        <v>231</v>
      </c>
      <c r="C6" t="s">
        <v>231</v>
      </c>
      <c r="D6">
        <v>1.6E-2</v>
      </c>
      <c r="E6">
        <v>2.1000000000000001E-2</v>
      </c>
      <c r="F6" s="44"/>
      <c r="G6" s="44"/>
      <c r="H6">
        <v>3.2000000000000001E-2</v>
      </c>
      <c r="I6">
        <v>5.1999999999999998E-2</v>
      </c>
      <c r="J6">
        <v>0.14599999999999999</v>
      </c>
      <c r="K6">
        <v>0.14899999999999999</v>
      </c>
      <c r="L6">
        <v>0.124</v>
      </c>
      <c r="M6">
        <v>8.5000000000000006E-2</v>
      </c>
      <c r="N6" s="44"/>
      <c r="O6">
        <v>0.22700000000000001</v>
      </c>
      <c r="P6" s="44"/>
      <c r="Q6">
        <v>0.26700000000000002</v>
      </c>
      <c r="R6" s="44"/>
      <c r="S6">
        <v>0.45600000000000002</v>
      </c>
      <c r="U6">
        <v>0.35799999999999998</v>
      </c>
    </row>
    <row r="7" spans="1:21" x14ac:dyDescent="0.2">
      <c r="A7" s="1" t="s">
        <v>234</v>
      </c>
      <c r="B7">
        <v>0.13300000000000001</v>
      </c>
      <c r="C7">
        <v>0.13800000000000001</v>
      </c>
      <c r="D7">
        <v>0.128</v>
      </c>
      <c r="E7">
        <v>0.13400000000000001</v>
      </c>
      <c r="F7" s="44"/>
      <c r="G7" s="44"/>
      <c r="H7">
        <v>0.11799999999999999</v>
      </c>
      <c r="I7">
        <v>0.10299999999999999</v>
      </c>
      <c r="J7">
        <v>0.22800000000000001</v>
      </c>
      <c r="K7">
        <v>0.22</v>
      </c>
      <c r="L7">
        <v>0.22</v>
      </c>
      <c r="M7">
        <v>0.13</v>
      </c>
      <c r="N7" s="44"/>
      <c r="O7">
        <v>0.32900000000000001</v>
      </c>
      <c r="P7" s="44"/>
      <c r="Q7">
        <v>0.374</v>
      </c>
      <c r="R7" s="44"/>
      <c r="S7">
        <v>0.57199999999999995</v>
      </c>
      <c r="U7">
        <v>0.433</v>
      </c>
    </row>
    <row r="8" spans="1:21" x14ac:dyDescent="0.2">
      <c r="A8" s="1" t="s">
        <v>235</v>
      </c>
      <c r="B8">
        <v>2.1999999999999999E-2</v>
      </c>
      <c r="C8">
        <v>1.7999999999999999E-2</v>
      </c>
      <c r="D8">
        <v>7.0999999999999994E-2</v>
      </c>
      <c r="E8">
        <v>8.4000000000000005E-2</v>
      </c>
      <c r="F8" s="44"/>
      <c r="G8" s="44"/>
      <c r="H8">
        <v>0.125</v>
      </c>
      <c r="I8">
        <v>0.18099999999999999</v>
      </c>
      <c r="J8">
        <v>1.25</v>
      </c>
      <c r="K8">
        <v>1.1599999999999999</v>
      </c>
      <c r="L8">
        <v>0.91400000000000003</v>
      </c>
      <c r="M8">
        <v>0.65100000000000002</v>
      </c>
      <c r="N8" s="44"/>
      <c r="O8">
        <v>1.5720000000000001</v>
      </c>
      <c r="P8" s="44"/>
      <c r="Q8">
        <v>1.8440000000000001</v>
      </c>
      <c r="R8" s="44"/>
      <c r="S8">
        <v>3.0470000000000002</v>
      </c>
      <c r="U8">
        <v>2.2770000000000001</v>
      </c>
    </row>
    <row r="9" spans="1:21" x14ac:dyDescent="0.2">
      <c r="A9" s="1" t="s">
        <v>236</v>
      </c>
      <c r="B9">
        <v>4.5999999999999999E-2</v>
      </c>
      <c r="C9">
        <v>4.4999999999999998E-2</v>
      </c>
      <c r="D9">
        <v>0.14799999999999999</v>
      </c>
      <c r="E9">
        <v>0.17399999999999999</v>
      </c>
      <c r="F9" s="44"/>
      <c r="G9" s="44"/>
      <c r="H9">
        <v>0.189</v>
      </c>
      <c r="I9">
        <v>0.247</v>
      </c>
      <c r="J9">
        <v>0.373</v>
      </c>
      <c r="K9">
        <v>0.35199999999999998</v>
      </c>
      <c r="L9">
        <v>0.29599999999999999</v>
      </c>
      <c r="M9">
        <v>0.19500000000000001</v>
      </c>
      <c r="N9" s="44"/>
      <c r="O9">
        <v>0.34899999999999998</v>
      </c>
      <c r="P9" s="44"/>
      <c r="Q9">
        <v>0.371</v>
      </c>
      <c r="R9" s="44"/>
      <c r="S9">
        <v>0.60499999999999998</v>
      </c>
      <c r="U9">
        <v>0.441</v>
      </c>
    </row>
    <row r="10" spans="1:21" x14ac:dyDescent="0.2">
      <c r="A10" s="1" t="s">
        <v>237</v>
      </c>
      <c r="B10" t="s">
        <v>231</v>
      </c>
      <c r="C10" t="s">
        <v>231</v>
      </c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s="44"/>
      <c r="O10" t="s">
        <v>231</v>
      </c>
      <c r="P10" s="44"/>
      <c r="Q10" t="s">
        <v>231</v>
      </c>
      <c r="R10" s="44"/>
      <c r="S10" t="s">
        <v>231</v>
      </c>
      <c r="U10" t="s">
        <v>231</v>
      </c>
    </row>
    <row r="11" spans="1:21" x14ac:dyDescent="0.2">
      <c r="A11" s="1" t="s">
        <v>238</v>
      </c>
      <c r="B11" t="s">
        <v>231</v>
      </c>
      <c r="C11" t="s">
        <v>231</v>
      </c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3.7999999999999999E-2</v>
      </c>
      <c r="K11">
        <v>3.2000000000000001E-2</v>
      </c>
      <c r="L11">
        <v>3.4000000000000002E-2</v>
      </c>
      <c r="M11">
        <v>2.4E-2</v>
      </c>
      <c r="N11" s="44"/>
      <c r="O11">
        <v>6.4000000000000001E-2</v>
      </c>
      <c r="P11" s="44"/>
      <c r="Q11">
        <v>0.08</v>
      </c>
      <c r="R11" s="44"/>
      <c r="S11">
        <v>0.123</v>
      </c>
      <c r="U11">
        <v>9.0999999999999998E-2</v>
      </c>
    </row>
    <row r="14" spans="1:21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21" x14ac:dyDescent="0.2">
      <c r="A15">
        <v>0.89</v>
      </c>
      <c r="B15" t="s">
        <v>231</v>
      </c>
      <c r="C15">
        <v>0.17899999999999999</v>
      </c>
      <c r="D15" t="s">
        <v>231</v>
      </c>
      <c r="E15">
        <v>0.13300000000000001</v>
      </c>
      <c r="F15">
        <v>2.1999999999999999E-2</v>
      </c>
      <c r="G15">
        <v>4.5999999999999999E-2</v>
      </c>
      <c r="H15" t="s">
        <v>231</v>
      </c>
      <c r="I15" t="s">
        <v>231</v>
      </c>
      <c r="K15" s="1">
        <f>SUM(B15:I15)</f>
        <v>0.38</v>
      </c>
      <c r="L15" s="1">
        <f>K15*0.5</f>
        <v>0.19</v>
      </c>
    </row>
    <row r="16" spans="1:21" x14ac:dyDescent="0.2">
      <c r="A16">
        <v>1.03</v>
      </c>
      <c r="B16" t="s">
        <v>231</v>
      </c>
      <c r="C16">
        <v>0.182</v>
      </c>
      <c r="D16" t="s">
        <v>231</v>
      </c>
      <c r="E16">
        <v>0.13800000000000001</v>
      </c>
      <c r="F16">
        <v>1.7999999999999999E-2</v>
      </c>
      <c r="G16">
        <v>4.4999999999999998E-2</v>
      </c>
      <c r="H16" t="s">
        <v>231</v>
      </c>
      <c r="I16" t="s">
        <v>231</v>
      </c>
      <c r="K16" s="1">
        <f t="shared" ref="K16:K34" si="0">SUM(B16:I16)</f>
        <v>0.38300000000000001</v>
      </c>
      <c r="L16" s="1">
        <f t="shared" ref="L16:L34" si="1">K16*0.5</f>
        <v>0.1915</v>
      </c>
    </row>
    <row r="17" spans="1:12" x14ac:dyDescent="0.2">
      <c r="A17">
        <v>0.86</v>
      </c>
      <c r="B17" t="s">
        <v>231</v>
      </c>
      <c r="C17">
        <v>0.19400000000000001</v>
      </c>
      <c r="D17">
        <v>1.6E-2</v>
      </c>
      <c r="E17">
        <v>0.128</v>
      </c>
      <c r="F17">
        <v>7.0999999999999994E-2</v>
      </c>
      <c r="G17">
        <v>0.14799999999999999</v>
      </c>
      <c r="H17" t="s">
        <v>231</v>
      </c>
      <c r="I17" t="s">
        <v>231</v>
      </c>
      <c r="K17" s="1">
        <f t="shared" si="0"/>
        <v>0.55700000000000005</v>
      </c>
      <c r="L17" s="1">
        <f t="shared" si="1"/>
        <v>0.27850000000000003</v>
      </c>
    </row>
    <row r="18" spans="1:12" x14ac:dyDescent="0.2">
      <c r="A18">
        <v>0.93899999999999995</v>
      </c>
      <c r="B18" t="s">
        <v>231</v>
      </c>
      <c r="C18">
        <v>0.20599999999999999</v>
      </c>
      <c r="D18">
        <v>2.1000000000000001E-2</v>
      </c>
      <c r="E18">
        <v>0.13400000000000001</v>
      </c>
      <c r="F18">
        <v>8.4000000000000005E-2</v>
      </c>
      <c r="G18">
        <v>0.17399999999999999</v>
      </c>
      <c r="H18" t="s">
        <v>231</v>
      </c>
      <c r="I18" t="s">
        <v>231</v>
      </c>
      <c r="K18" s="1">
        <f t="shared" si="0"/>
        <v>0.61899999999999999</v>
      </c>
      <c r="L18" s="1">
        <f t="shared" si="1"/>
        <v>0.3095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0.90100000000000002</v>
      </c>
      <c r="B21" t="s">
        <v>257</v>
      </c>
      <c r="C21">
        <v>0.20499999999999999</v>
      </c>
      <c r="D21">
        <v>3.2000000000000001E-2</v>
      </c>
      <c r="E21">
        <v>0.11799999999999999</v>
      </c>
      <c r="F21">
        <v>0.125</v>
      </c>
      <c r="G21">
        <v>0.189</v>
      </c>
      <c r="H21" t="s">
        <v>231</v>
      </c>
      <c r="I21" t="s">
        <v>231</v>
      </c>
      <c r="K21" s="1">
        <f t="shared" si="0"/>
        <v>0.66900000000000004</v>
      </c>
      <c r="L21" s="1">
        <f t="shared" si="1"/>
        <v>0.33450000000000002</v>
      </c>
    </row>
    <row r="22" spans="1:12" x14ac:dyDescent="0.2">
      <c r="A22">
        <v>0.84899999999999998</v>
      </c>
      <c r="B22" t="s">
        <v>257</v>
      </c>
      <c r="C22">
        <v>0.191</v>
      </c>
      <c r="D22">
        <v>5.1999999999999998E-2</v>
      </c>
      <c r="E22">
        <v>0.10299999999999999</v>
      </c>
      <c r="F22">
        <v>0.18099999999999999</v>
      </c>
      <c r="G22">
        <v>0.247</v>
      </c>
      <c r="H22" t="s">
        <v>231</v>
      </c>
      <c r="I22" t="s">
        <v>231</v>
      </c>
      <c r="K22" s="1">
        <f t="shared" si="0"/>
        <v>0.77399999999999991</v>
      </c>
      <c r="L22" s="1">
        <f t="shared" si="1"/>
        <v>0.38699999999999996</v>
      </c>
    </row>
    <row r="23" spans="1:12" x14ac:dyDescent="0.2">
      <c r="A23">
        <v>0.82299999999999995</v>
      </c>
      <c r="B23" t="s">
        <v>231</v>
      </c>
      <c r="C23">
        <v>0.42699999999999999</v>
      </c>
      <c r="D23">
        <v>0.14599999999999999</v>
      </c>
      <c r="E23">
        <v>0.22800000000000001</v>
      </c>
      <c r="F23">
        <v>1.25</v>
      </c>
      <c r="G23">
        <v>0.373</v>
      </c>
      <c r="H23" t="s">
        <v>231</v>
      </c>
      <c r="I23">
        <v>3.7999999999999999E-2</v>
      </c>
      <c r="K23" s="1">
        <f t="shared" si="0"/>
        <v>2.4620000000000002</v>
      </c>
      <c r="L23" s="1">
        <f t="shared" si="1"/>
        <v>1.2310000000000001</v>
      </c>
    </row>
    <row r="24" spans="1:12" x14ac:dyDescent="0.2">
      <c r="A24">
        <v>0.85899999999999999</v>
      </c>
      <c r="B24" t="s">
        <v>231</v>
      </c>
      <c r="C24">
        <v>0.378</v>
      </c>
      <c r="D24">
        <v>0.14899999999999999</v>
      </c>
      <c r="E24">
        <v>0.22</v>
      </c>
      <c r="F24">
        <v>1.1599999999999999</v>
      </c>
      <c r="G24">
        <v>0.35199999999999998</v>
      </c>
      <c r="H24" t="s">
        <v>231</v>
      </c>
      <c r="I24">
        <v>3.2000000000000001E-2</v>
      </c>
      <c r="K24" s="1">
        <f t="shared" si="0"/>
        <v>2.2909999999999999</v>
      </c>
      <c r="L24" s="1">
        <f t="shared" si="1"/>
        <v>1.1455</v>
      </c>
    </row>
    <row r="25" spans="1:12" x14ac:dyDescent="0.2">
      <c r="A25">
        <v>0.9</v>
      </c>
      <c r="B25" t="s">
        <v>231</v>
      </c>
      <c r="C25">
        <v>0.41099999999999998</v>
      </c>
      <c r="D25">
        <v>0.124</v>
      </c>
      <c r="E25">
        <v>0.22</v>
      </c>
      <c r="F25">
        <v>0.91400000000000003</v>
      </c>
      <c r="G25">
        <v>0.29599999999999999</v>
      </c>
      <c r="H25" t="s">
        <v>231</v>
      </c>
      <c r="I25">
        <v>3.4000000000000002E-2</v>
      </c>
      <c r="K25" s="1">
        <f t="shared" si="0"/>
        <v>1.9990000000000001</v>
      </c>
      <c r="L25" s="1">
        <f t="shared" si="1"/>
        <v>0.99950000000000006</v>
      </c>
    </row>
    <row r="26" spans="1:12" x14ac:dyDescent="0.2">
      <c r="A26">
        <v>0.45100000000000001</v>
      </c>
      <c r="B26" t="s">
        <v>231</v>
      </c>
      <c r="C26">
        <v>0.20300000000000001</v>
      </c>
      <c r="D26">
        <v>8.5000000000000006E-2</v>
      </c>
      <c r="E26">
        <v>0.13</v>
      </c>
      <c r="F26">
        <v>0.65100000000000002</v>
      </c>
      <c r="G26">
        <v>0.19500000000000001</v>
      </c>
      <c r="H26" t="s">
        <v>231</v>
      </c>
      <c r="I26">
        <v>2.4E-2</v>
      </c>
      <c r="K26" s="1">
        <f t="shared" si="0"/>
        <v>1.288</v>
      </c>
      <c r="L26" s="1">
        <f t="shared" si="1"/>
        <v>0.64400000000000002</v>
      </c>
    </row>
    <row r="27" spans="1:12" x14ac:dyDescent="0.2">
      <c r="A27" s="44"/>
      <c r="B27" s="44"/>
      <c r="C27" s="44"/>
      <c r="D27" s="44"/>
      <c r="E27" s="44"/>
      <c r="F27" s="44"/>
      <c r="G27" s="44"/>
      <c r="H27" s="44"/>
      <c r="I27" s="44"/>
      <c r="K27" s="1">
        <f t="shared" si="0"/>
        <v>0</v>
      </c>
      <c r="L27" s="1">
        <f t="shared" si="1"/>
        <v>0</v>
      </c>
    </row>
    <row r="28" spans="1:12" x14ac:dyDescent="0.2">
      <c r="A28">
        <v>0.81699999999999995</v>
      </c>
      <c r="B28" t="s">
        <v>231</v>
      </c>
      <c r="C28">
        <v>0.51600000000000001</v>
      </c>
      <c r="D28">
        <v>0.22700000000000001</v>
      </c>
      <c r="E28">
        <v>0.32900000000000001</v>
      </c>
      <c r="F28">
        <v>1.5720000000000001</v>
      </c>
      <c r="G28">
        <v>0.34899999999999998</v>
      </c>
      <c r="H28" t="s">
        <v>231</v>
      </c>
      <c r="I28">
        <v>6.4000000000000001E-2</v>
      </c>
      <c r="K28" s="1">
        <f t="shared" si="0"/>
        <v>3.0570000000000004</v>
      </c>
      <c r="L28" s="1">
        <f t="shared" si="1"/>
        <v>1.5285000000000002</v>
      </c>
    </row>
    <row r="29" spans="1:12" x14ac:dyDescent="0.2">
      <c r="A29" s="44"/>
      <c r="B29" s="44"/>
      <c r="C29" s="44"/>
      <c r="D29" s="44"/>
      <c r="E29" s="44"/>
      <c r="F29" s="44"/>
      <c r="G29" s="44"/>
      <c r="H29" s="44"/>
      <c r="I29" s="44"/>
      <c r="K29" s="1">
        <f t="shared" si="0"/>
        <v>0</v>
      </c>
      <c r="L29" s="1">
        <f t="shared" si="1"/>
        <v>0</v>
      </c>
    </row>
    <row r="30" spans="1:12" x14ac:dyDescent="0.2">
      <c r="A30">
        <v>0.877</v>
      </c>
      <c r="B30" t="s">
        <v>231</v>
      </c>
      <c r="C30">
        <v>0.57999999999999996</v>
      </c>
      <c r="D30">
        <v>0.26700000000000002</v>
      </c>
      <c r="E30">
        <v>0.374</v>
      </c>
      <c r="F30">
        <v>1.8440000000000001</v>
      </c>
      <c r="G30">
        <v>0.371</v>
      </c>
      <c r="H30" t="s">
        <v>231</v>
      </c>
      <c r="I30">
        <v>0.08</v>
      </c>
      <c r="K30" s="1">
        <f t="shared" si="0"/>
        <v>3.5160000000000005</v>
      </c>
      <c r="L30" s="1">
        <f t="shared" si="1"/>
        <v>1.7580000000000002</v>
      </c>
    </row>
    <row r="31" spans="1:12" x14ac:dyDescent="0.2">
      <c r="A31" s="44"/>
      <c r="B31" s="44"/>
      <c r="C31" s="44"/>
      <c r="D31" s="44"/>
      <c r="E31" s="44"/>
      <c r="F31" s="44"/>
      <c r="G31" s="44"/>
      <c r="H31" s="44"/>
      <c r="I31" s="44"/>
      <c r="K31" s="1">
        <f t="shared" si="0"/>
        <v>0</v>
      </c>
      <c r="L31" s="1">
        <f t="shared" si="1"/>
        <v>0</v>
      </c>
    </row>
    <row r="32" spans="1:12" x14ac:dyDescent="0.2">
      <c r="A32">
        <v>0.89100000000000001</v>
      </c>
      <c r="B32" t="s">
        <v>231</v>
      </c>
      <c r="C32">
        <v>0.89500000000000002</v>
      </c>
      <c r="D32">
        <v>0.45600000000000002</v>
      </c>
      <c r="E32">
        <v>0.57199999999999995</v>
      </c>
      <c r="F32">
        <v>3.0470000000000002</v>
      </c>
      <c r="G32">
        <v>0.60499999999999998</v>
      </c>
      <c r="H32" t="s">
        <v>231</v>
      </c>
      <c r="I32">
        <v>0.123</v>
      </c>
      <c r="K32" s="1">
        <f t="shared" si="0"/>
        <v>5.6980000000000013</v>
      </c>
      <c r="L32" s="1">
        <f t="shared" si="1"/>
        <v>2.8490000000000006</v>
      </c>
    </row>
    <row r="33" spans="1:12" x14ac:dyDescent="0.2">
      <c r="K33" s="1">
        <f t="shared" si="0"/>
        <v>0</v>
      </c>
      <c r="L33" s="1">
        <f t="shared" si="1"/>
        <v>0</v>
      </c>
    </row>
    <row r="34" spans="1:12" x14ac:dyDescent="0.2">
      <c r="A34">
        <v>0.755</v>
      </c>
      <c r="B34" t="s">
        <v>231</v>
      </c>
      <c r="C34">
        <v>0.68799999999999994</v>
      </c>
      <c r="D34">
        <v>0.35799999999999998</v>
      </c>
      <c r="E34">
        <v>0.433</v>
      </c>
      <c r="F34">
        <v>2.2770000000000001</v>
      </c>
      <c r="G34">
        <v>0.441</v>
      </c>
      <c r="H34" t="s">
        <v>231</v>
      </c>
      <c r="I34">
        <v>9.0999999999999998E-2</v>
      </c>
      <c r="K34" s="1">
        <f t="shared" si="0"/>
        <v>4.2880000000000003</v>
      </c>
      <c r="L34" s="1">
        <f t="shared" si="1"/>
        <v>2.1440000000000001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A565-7505-41B6-BBEC-DD6AB6FC1846}">
  <dimension ref="A1"/>
  <sheetViews>
    <sheetView workbookViewId="0">
      <selection sqref="A1:E8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B252-C8DF-4EA8-BBFA-8500EC40EFF1}">
  <dimension ref="A1"/>
  <sheetViews>
    <sheetView workbookViewId="0">
      <selection activeCell="C30" sqref="C30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2025-01-11T00:31:09Z</dcterms:created>
  <dcterms:modified xsi:type="dcterms:W3CDTF">2025-02-06T21:53:10Z</dcterms:modified>
</cp:coreProperties>
</file>