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hreeYeast/2024_PPI_threeYeast/Experiments/Biostat2L/Biostat2L_30/"/>
    </mc:Choice>
  </mc:AlternateContent>
  <xr:revisionPtr revIDLastSave="0" documentId="8_{C3E78B58-C729-ED4F-ADC2-CB3A26EF9DD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ummary Export906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1" l="1"/>
  <c r="Q31" i="1"/>
  <c r="P30" i="1"/>
  <c r="S11" i="1"/>
  <c r="R10" i="1"/>
  <c r="Q9" i="1"/>
  <c r="P8" i="1"/>
</calcChain>
</file>

<file path=xl/sharedStrings.xml><?xml version="1.0" encoding="utf-8"?>
<sst xmlns="http://schemas.openxmlformats.org/spreadsheetml/2006/main" count="300" uniqueCount="51">
  <si>
    <t>#</t>
  </si>
  <si>
    <t xml:space="preserve">Sample Set Summary March08 </t>
  </si>
  <si>
    <t>Project Name:    Genaral2021_Aug</t>
  </si>
  <si>
    <t>Reported by User:    System</t>
  </si>
  <si>
    <t>Sample Set Name 250117_SloHot_Jeff</t>
  </si>
  <si>
    <t>Sample Set Start Date 1/17/2025 2:15:30 PM PST</t>
  </si>
  <si>
    <t>Sample Set Finish Date</t>
  </si>
  <si>
    <t>Component Summary For Amount</t>
  </si>
  <si>
    <t>SampleName</t>
  </si>
  <si>
    <t>Maltose</t>
  </si>
  <si>
    <t>trehalose</t>
  </si>
  <si>
    <t>Citric Acid</t>
  </si>
  <si>
    <t>Glucose</t>
  </si>
  <si>
    <t>Xylose</t>
  </si>
  <si>
    <t>Erythritol</t>
  </si>
  <si>
    <t>Lactic Acid</t>
  </si>
  <si>
    <t>Glycerol</t>
  </si>
  <si>
    <t>Acetic Acid</t>
  </si>
  <si>
    <t>methanol</t>
  </si>
  <si>
    <t>ethanol</t>
  </si>
  <si>
    <t>Jef_SloHot50_Glucose(0.494817Ck1</t>
  </si>
  <si>
    <t xml:space="preserve"> </t>
  </si>
  <si>
    <t>Jeff_SloHot50_3HP Ck1</t>
  </si>
  <si>
    <t>Jeff_SloHot50_Citric(0.9681) Ck1</t>
  </si>
  <si>
    <t>Jeff_SloHot50_Maltos Ck1</t>
  </si>
  <si>
    <t>Jeff_SloHot50_Biostat 2L-30-1</t>
  </si>
  <si>
    <t>Jeff_SloHot50_Biostat 2L-30-2</t>
  </si>
  <si>
    <t>Jeff_SloHot50_Biostat 2L-30-3</t>
  </si>
  <si>
    <t>Jeff_SloHot50_Biostat 2L-30-4</t>
  </si>
  <si>
    <t>Jeff_SloHot50_Biostat 2L-30-5</t>
  </si>
  <si>
    <t>Jeff_SloHot50_Biostat 2L-30-6</t>
  </si>
  <si>
    <t>Jeff_SloHot50_Biostat 2L-30-7</t>
  </si>
  <si>
    <t>Jeff_SloHot50_Biostat 2L-30-8</t>
  </si>
  <si>
    <t>Jeff_SloHot50_Biostat 2L-30-9</t>
  </si>
  <si>
    <t>Jeff_SloHot50_Biostat 2L-30-10</t>
  </si>
  <si>
    <t>Jeff_SloHot50_Biostat 2L-30-11</t>
  </si>
  <si>
    <t>Jeff_SloHot50_Biostat 2L-30-12</t>
  </si>
  <si>
    <t>Jeff_SloHot50_Biostat 2L-30-13</t>
  </si>
  <si>
    <t>Jeff_SloHot50_Biostat 2L-30-14</t>
  </si>
  <si>
    <t>Jeff_SloHot50_Biostat 2L-30-15</t>
  </si>
  <si>
    <t>Jeff_SloHot50_Biostat 2L-30-16</t>
  </si>
  <si>
    <t>Jeff_SloHot50_Biostat 2L-30-17</t>
  </si>
  <si>
    <t>Jeff_SloHot50_Biostat 2L-30-18</t>
  </si>
  <si>
    <t>Jef_SloHot50_Glucose(0.494817Ck2</t>
  </si>
  <si>
    <t>Jeff_SloHot50_3HP Ck2</t>
  </si>
  <si>
    <t>Jeff_SloHot50_Citric(1.0125) Ck2</t>
  </si>
  <si>
    <t>results in wt %</t>
  </si>
  <si>
    <t>Results in g/L</t>
  </si>
  <si>
    <t>3-Hydroxy-propionic Acid</t>
  </si>
  <si>
    <t>Check solutions</t>
  </si>
  <si>
    <t>3HP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</si>
</sst>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8" fillId="34" borderId="11" xfId="0" applyFont="1" applyFill="1" applyBorder="1"/>
    <xf numFmtId="0" fontId="0" fillId="0" borderId="10" xfId="0" applyBorder="1" applyAlignment="1">
      <alignment wrapText="1"/>
    </xf>
    <xf numFmtId="1" fontId="0" fillId="0" borderId="10" xfId="0" applyNumberFormat="1" applyBorder="1"/>
    <xf numFmtId="0" fontId="0" fillId="33" borderId="10" xfId="0" applyFill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topLeftCell="A5" workbookViewId="0">
      <selection activeCell="E26" sqref="E26"/>
    </sheetView>
  </sheetViews>
  <sheetFormatPr baseColWidth="10" defaultColWidth="8.83203125" defaultRowHeight="15" x14ac:dyDescent="0.2"/>
  <cols>
    <col min="2" max="2" width="35.83203125" customWidth="1"/>
    <col min="14" max="14" width="14.33203125" customWidth="1"/>
  </cols>
  <sheetData>
    <row r="1" spans="1:19" x14ac:dyDescent="0.2">
      <c r="A1" t="s">
        <v>0</v>
      </c>
      <c r="B1" t="s">
        <v>1</v>
      </c>
    </row>
    <row r="2" spans="1:19" x14ac:dyDescent="0.2">
      <c r="A2" t="s">
        <v>2</v>
      </c>
      <c r="B2" t="s">
        <v>3</v>
      </c>
    </row>
    <row r="3" spans="1:19" x14ac:dyDescent="0.2">
      <c r="A3" t="s">
        <v>4</v>
      </c>
      <c r="P3" t="s">
        <v>49</v>
      </c>
    </row>
    <row r="4" spans="1:19" x14ac:dyDescent="0.2">
      <c r="A4" t="s">
        <v>5</v>
      </c>
      <c r="P4" s="1" t="s">
        <v>12</v>
      </c>
      <c r="Q4" s="1" t="s">
        <v>50</v>
      </c>
      <c r="R4" s="1" t="s">
        <v>11</v>
      </c>
      <c r="S4" s="1" t="s">
        <v>9</v>
      </c>
    </row>
    <row r="5" spans="1:19" ht="16" thickBot="1" x14ac:dyDescent="0.25">
      <c r="A5" t="s">
        <v>6</v>
      </c>
      <c r="P5" s="1">
        <v>0.49481700000000001</v>
      </c>
      <c r="Q5" s="1">
        <v>0.85260000000000002</v>
      </c>
      <c r="R5" s="1">
        <v>0.96809999999999996</v>
      </c>
      <c r="S5" s="1">
        <v>0.73392000000000002</v>
      </c>
    </row>
    <row r="6" spans="1:19" x14ac:dyDescent="0.2">
      <c r="A6" t="s">
        <v>7</v>
      </c>
      <c r="C6" s="5" t="s">
        <v>46</v>
      </c>
      <c r="D6" s="6"/>
      <c r="E6" s="6"/>
      <c r="F6" s="6"/>
      <c r="G6" s="6"/>
      <c r="H6" s="6"/>
      <c r="I6" s="6"/>
      <c r="J6" s="6"/>
      <c r="K6" s="6"/>
      <c r="L6" s="6"/>
      <c r="M6" s="6"/>
      <c r="N6" s="2" t="s">
        <v>47</v>
      </c>
    </row>
    <row r="7" spans="1:19" ht="32" x14ac:dyDescent="0.2">
      <c r="A7" s="1" t="s">
        <v>0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17</v>
      </c>
      <c r="L7" s="1" t="s">
        <v>18</v>
      </c>
      <c r="M7" s="1" t="s">
        <v>19</v>
      </c>
      <c r="N7" s="3" t="s">
        <v>48</v>
      </c>
    </row>
    <row r="8" spans="1:19" x14ac:dyDescent="0.2">
      <c r="A8" s="1">
        <v>1</v>
      </c>
      <c r="B8" s="1" t="s">
        <v>20</v>
      </c>
      <c r="C8" s="1" t="s">
        <v>21</v>
      </c>
      <c r="D8" s="1" t="s">
        <v>21</v>
      </c>
      <c r="E8" s="1" t="s">
        <v>21</v>
      </c>
      <c r="F8" s="1">
        <v>0.49475999999999998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P8" s="4">
        <f>F8/$P$5*100</f>
        <v>99.988480589793795</v>
      </c>
    </row>
    <row r="9" spans="1:19" x14ac:dyDescent="0.2">
      <c r="A9" s="1">
        <v>2</v>
      </c>
      <c r="B9" s="1" t="s">
        <v>22</v>
      </c>
      <c r="C9" s="1" t="s">
        <v>21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>
        <v>0.82101000000000002</v>
      </c>
      <c r="Q9" s="4">
        <f>N9/$Q$5*100</f>
        <v>96.294862772695282</v>
      </c>
    </row>
    <row r="10" spans="1:19" x14ac:dyDescent="0.2">
      <c r="A10" s="1">
        <v>3</v>
      </c>
      <c r="B10" s="1" t="s">
        <v>23</v>
      </c>
      <c r="C10" s="1" t="s">
        <v>21</v>
      </c>
      <c r="D10" s="1" t="s">
        <v>21</v>
      </c>
      <c r="E10" s="1">
        <v>1.0414399999999999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  <c r="R10" s="4">
        <f>E10/$R$5*100</f>
        <v>107.57566367110836</v>
      </c>
    </row>
    <row r="11" spans="1:19" x14ac:dyDescent="0.2">
      <c r="A11" s="1">
        <v>4</v>
      </c>
      <c r="B11" s="1" t="s">
        <v>24</v>
      </c>
      <c r="C11" s="1">
        <v>0.74412999999999996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21</v>
      </c>
      <c r="S11" s="4">
        <f>C11/$S$5*100</f>
        <v>101.39115979943318</v>
      </c>
    </row>
    <row r="12" spans="1:19" x14ac:dyDescent="0.2">
      <c r="A12" s="1">
        <v>5</v>
      </c>
      <c r="B12" s="1" t="s">
        <v>25</v>
      </c>
      <c r="C12" s="1" t="s">
        <v>21</v>
      </c>
      <c r="D12" s="1">
        <v>9.75E-3</v>
      </c>
      <c r="E12" s="1" t="s">
        <v>21</v>
      </c>
      <c r="F12" s="1">
        <v>9.6601099999999995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</row>
    <row r="13" spans="1:19" x14ac:dyDescent="0.2">
      <c r="A13" s="1">
        <v>6</v>
      </c>
      <c r="B13" s="1" t="s">
        <v>26</v>
      </c>
      <c r="C13" s="1" t="s">
        <v>21</v>
      </c>
      <c r="D13" s="1">
        <v>9.0799999999999995E-3</v>
      </c>
      <c r="E13" s="1" t="s">
        <v>21</v>
      </c>
      <c r="F13" s="1">
        <v>9.6671399999999998</v>
      </c>
      <c r="G13" s="1" t="s">
        <v>21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21</v>
      </c>
    </row>
    <row r="14" spans="1:19" x14ac:dyDescent="0.2">
      <c r="A14" s="1">
        <v>7</v>
      </c>
      <c r="B14" s="1" t="s">
        <v>27</v>
      </c>
      <c r="C14" s="1" t="s">
        <v>21</v>
      </c>
      <c r="D14" s="1">
        <v>9.9900000000000006E-3</v>
      </c>
      <c r="E14" s="1" t="s">
        <v>21</v>
      </c>
      <c r="F14" s="1">
        <v>9.6200500000000009</v>
      </c>
      <c r="G14" s="1" t="s">
        <v>21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21</v>
      </c>
    </row>
    <row r="15" spans="1:19" x14ac:dyDescent="0.2">
      <c r="A15" s="1">
        <v>8</v>
      </c>
      <c r="B15" s="1" t="s">
        <v>28</v>
      </c>
      <c r="C15" s="1" t="s">
        <v>21</v>
      </c>
      <c r="D15" s="1">
        <v>7.5799999999999999E-3</v>
      </c>
      <c r="E15" s="1" t="s">
        <v>21</v>
      </c>
      <c r="F15" s="1">
        <v>9.6171900000000008</v>
      </c>
      <c r="G15" s="1" t="s">
        <v>21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21</v>
      </c>
    </row>
    <row r="16" spans="1:19" x14ac:dyDescent="0.2">
      <c r="A16" s="1">
        <v>9</v>
      </c>
      <c r="B16" s="1" t="s">
        <v>29</v>
      </c>
      <c r="C16" s="1" t="s">
        <v>21</v>
      </c>
      <c r="D16" s="1">
        <v>8.8900000000000003E-3</v>
      </c>
      <c r="E16" s="1" t="s">
        <v>21</v>
      </c>
      <c r="F16" s="1">
        <v>9.6450099999999992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21</v>
      </c>
    </row>
    <row r="17" spans="1:18" x14ac:dyDescent="0.2">
      <c r="A17" s="1">
        <v>10</v>
      </c>
      <c r="B17" s="1" t="s">
        <v>30</v>
      </c>
      <c r="C17" s="1" t="s">
        <v>21</v>
      </c>
      <c r="D17" s="1">
        <v>1.06E-2</v>
      </c>
      <c r="E17" s="1" t="s">
        <v>21</v>
      </c>
      <c r="F17" s="1">
        <v>9.5691900000000008</v>
      </c>
      <c r="G17" s="1" t="s">
        <v>21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21</v>
      </c>
    </row>
    <row r="18" spans="1:18" x14ac:dyDescent="0.2">
      <c r="A18" s="1">
        <v>11</v>
      </c>
      <c r="B18" s="1" t="s">
        <v>31</v>
      </c>
      <c r="C18" s="1" t="s">
        <v>21</v>
      </c>
      <c r="D18" s="1">
        <v>8.7399999999999995E-3</v>
      </c>
      <c r="E18" s="1" t="s">
        <v>21</v>
      </c>
      <c r="F18" s="1">
        <v>9.5537899999999993</v>
      </c>
      <c r="G18" s="1" t="s">
        <v>21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21</v>
      </c>
    </row>
    <row r="19" spans="1:18" x14ac:dyDescent="0.2">
      <c r="A19" s="1">
        <v>12</v>
      </c>
      <c r="B19" s="1" t="s">
        <v>32</v>
      </c>
      <c r="C19" s="1" t="s">
        <v>21</v>
      </c>
      <c r="D19" s="1">
        <v>1.091E-2</v>
      </c>
      <c r="E19" s="1" t="s">
        <v>21</v>
      </c>
      <c r="F19" s="1">
        <v>9.5339500000000008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</row>
    <row r="20" spans="1:18" x14ac:dyDescent="0.2">
      <c r="A20" s="1">
        <v>13</v>
      </c>
      <c r="B20" s="1" t="s">
        <v>33</v>
      </c>
      <c r="C20" s="1" t="s">
        <v>21</v>
      </c>
      <c r="D20" s="1">
        <v>3.6569999999999998E-2</v>
      </c>
      <c r="E20" s="1">
        <v>0.27772999999999998</v>
      </c>
      <c r="F20" s="1">
        <v>7.4713599999999998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</row>
    <row r="21" spans="1:18" x14ac:dyDescent="0.2">
      <c r="A21" s="1">
        <v>14</v>
      </c>
      <c r="B21" s="1" t="s">
        <v>34</v>
      </c>
      <c r="C21" s="1" t="s">
        <v>21</v>
      </c>
      <c r="D21" s="1">
        <v>3.2750000000000001E-2</v>
      </c>
      <c r="E21" s="1">
        <v>1.038E-2</v>
      </c>
      <c r="F21" s="1">
        <v>8.2870399999999993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</row>
    <row r="22" spans="1:18" x14ac:dyDescent="0.2">
      <c r="A22" s="1">
        <v>15</v>
      </c>
      <c r="B22" s="1" t="s">
        <v>35</v>
      </c>
      <c r="C22" s="1" t="s">
        <v>21</v>
      </c>
      <c r="D22" s="1">
        <v>3.6020000000000003E-2</v>
      </c>
      <c r="E22" s="1">
        <v>0.69628999999999996</v>
      </c>
      <c r="F22" s="1">
        <v>6.5603999999999996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21</v>
      </c>
    </row>
    <row r="23" spans="1:18" x14ac:dyDescent="0.2">
      <c r="A23" s="1">
        <v>16</v>
      </c>
      <c r="B23" s="1" t="s">
        <v>36</v>
      </c>
      <c r="C23" s="1" t="s">
        <v>21</v>
      </c>
      <c r="D23" s="1">
        <v>3.4470000000000001E-2</v>
      </c>
      <c r="E23" s="1">
        <v>5.8749999999999997E-2</v>
      </c>
      <c r="F23" s="1">
        <v>7.8193099999999998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</row>
    <row r="24" spans="1:18" x14ac:dyDescent="0.2">
      <c r="A24" s="1">
        <v>17</v>
      </c>
      <c r="B24" s="1" t="s">
        <v>37</v>
      </c>
      <c r="C24" s="1" t="s">
        <v>21</v>
      </c>
      <c r="D24" s="1">
        <v>3.3160000000000002E-2</v>
      </c>
      <c r="E24" s="1">
        <v>1.6698599999999999</v>
      </c>
      <c r="F24" s="1">
        <v>4.7626999999999997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</row>
    <row r="25" spans="1:18" x14ac:dyDescent="0.2">
      <c r="A25" s="1">
        <v>18</v>
      </c>
      <c r="B25" s="1" t="s">
        <v>38</v>
      </c>
      <c r="C25" s="1" t="s">
        <v>21</v>
      </c>
      <c r="D25" s="1">
        <v>3.422E-2</v>
      </c>
      <c r="E25" s="1">
        <v>0.33534999999999998</v>
      </c>
      <c r="F25" s="1">
        <v>6.8581099999999999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</row>
    <row r="26" spans="1:18" x14ac:dyDescent="0.2">
      <c r="A26" s="1">
        <v>19</v>
      </c>
      <c r="B26" s="1" t="s">
        <v>39</v>
      </c>
      <c r="C26" s="1" t="s">
        <v>21</v>
      </c>
      <c r="D26" s="1">
        <v>3.3570000000000003E-2</v>
      </c>
      <c r="E26" s="1">
        <v>2.0690599999999999</v>
      </c>
      <c r="F26" s="1">
        <v>4.1429499999999999</v>
      </c>
      <c r="G26" s="1" t="s">
        <v>21</v>
      </c>
      <c r="H26" s="1" t="s">
        <v>21</v>
      </c>
      <c r="I26" s="1" t="s">
        <v>21</v>
      </c>
      <c r="J26" s="1" t="s">
        <v>21</v>
      </c>
      <c r="K26" s="1" t="s">
        <v>21</v>
      </c>
      <c r="L26" s="1" t="s">
        <v>21</v>
      </c>
      <c r="M26" s="1" t="s">
        <v>21</v>
      </c>
      <c r="N26" s="1" t="s">
        <v>21</v>
      </c>
    </row>
    <row r="27" spans="1:18" x14ac:dyDescent="0.2">
      <c r="A27" s="1">
        <v>20</v>
      </c>
      <c r="B27" s="1" t="s">
        <v>40</v>
      </c>
      <c r="C27" s="1" t="s">
        <v>21</v>
      </c>
      <c r="D27" s="1">
        <v>3.7719999999999997E-2</v>
      </c>
      <c r="E27" s="1">
        <v>0.49673</v>
      </c>
      <c r="F27" s="1">
        <v>6.50509</v>
      </c>
      <c r="G27" s="1" t="s">
        <v>21</v>
      </c>
      <c r="H27" s="1" t="s">
        <v>21</v>
      </c>
      <c r="I27" s="1" t="s">
        <v>21</v>
      </c>
      <c r="J27" s="1" t="s">
        <v>21</v>
      </c>
      <c r="K27" s="1" t="s">
        <v>21</v>
      </c>
      <c r="L27" s="1" t="s">
        <v>21</v>
      </c>
      <c r="M27" s="1" t="s">
        <v>21</v>
      </c>
      <c r="N27" s="1" t="s">
        <v>21</v>
      </c>
    </row>
    <row r="28" spans="1:18" x14ac:dyDescent="0.2">
      <c r="A28" s="1">
        <v>21</v>
      </c>
      <c r="B28" s="1" t="s">
        <v>41</v>
      </c>
      <c r="C28" s="1" t="s">
        <v>21</v>
      </c>
      <c r="D28" s="1">
        <v>3.3849999999999998E-2</v>
      </c>
      <c r="E28" s="1">
        <v>2.9017400000000002</v>
      </c>
      <c r="F28" s="1">
        <v>2.8608699999999998</v>
      </c>
      <c r="G28" s="1">
        <v>0.17141000000000001</v>
      </c>
      <c r="H28" s="1" t="s">
        <v>21</v>
      </c>
      <c r="I28" s="1" t="s">
        <v>21</v>
      </c>
      <c r="J28" s="1" t="s">
        <v>21</v>
      </c>
      <c r="K28" s="1" t="s">
        <v>21</v>
      </c>
      <c r="L28" s="1" t="s">
        <v>21</v>
      </c>
      <c r="M28" s="1" t="s">
        <v>21</v>
      </c>
      <c r="N28" s="1" t="s">
        <v>21</v>
      </c>
    </row>
    <row r="29" spans="1:18" x14ac:dyDescent="0.2">
      <c r="A29" s="1">
        <v>22</v>
      </c>
      <c r="B29" s="1" t="s">
        <v>42</v>
      </c>
      <c r="C29" s="1" t="s">
        <v>21</v>
      </c>
      <c r="D29" s="1">
        <v>4.1230000000000003E-2</v>
      </c>
      <c r="E29" s="1">
        <v>1.0251699999999999</v>
      </c>
      <c r="F29" s="1">
        <v>5.5730500000000003</v>
      </c>
      <c r="G29" s="1" t="s">
        <v>21</v>
      </c>
      <c r="H29" s="1" t="s">
        <v>21</v>
      </c>
      <c r="I29" s="1" t="s">
        <v>21</v>
      </c>
      <c r="J29" s="1" t="s">
        <v>21</v>
      </c>
      <c r="K29" s="1" t="s">
        <v>21</v>
      </c>
      <c r="L29" s="1" t="s">
        <v>21</v>
      </c>
      <c r="M29" s="1" t="s">
        <v>21</v>
      </c>
      <c r="N29" s="1" t="s">
        <v>21</v>
      </c>
    </row>
    <row r="30" spans="1:18" x14ac:dyDescent="0.2">
      <c r="A30" s="1">
        <v>23</v>
      </c>
      <c r="B30" s="1" t="s">
        <v>43</v>
      </c>
      <c r="C30" s="1" t="s">
        <v>21</v>
      </c>
      <c r="D30" s="1" t="s">
        <v>21</v>
      </c>
      <c r="E30" s="1" t="s">
        <v>21</v>
      </c>
      <c r="F30" s="1">
        <v>0.49714999999999998</v>
      </c>
      <c r="G30" s="1" t="s">
        <v>21</v>
      </c>
      <c r="H30" s="1" t="s">
        <v>21</v>
      </c>
      <c r="I30" s="1" t="s">
        <v>21</v>
      </c>
      <c r="J30" s="1" t="s">
        <v>21</v>
      </c>
      <c r="K30" s="1" t="s">
        <v>21</v>
      </c>
      <c r="L30" s="1" t="s">
        <v>21</v>
      </c>
      <c r="M30" s="1" t="s">
        <v>21</v>
      </c>
      <c r="N30" s="1" t="s">
        <v>21</v>
      </c>
      <c r="P30" s="4">
        <f>F30/$P$5*100</f>
        <v>100.4714874387905</v>
      </c>
    </row>
    <row r="31" spans="1:18" x14ac:dyDescent="0.2">
      <c r="A31" s="1">
        <v>24</v>
      </c>
      <c r="B31" s="1" t="s">
        <v>44</v>
      </c>
      <c r="C31" s="1" t="s">
        <v>21</v>
      </c>
      <c r="D31" s="1" t="s">
        <v>21</v>
      </c>
      <c r="E31" s="1" t="s">
        <v>21</v>
      </c>
      <c r="F31" s="1" t="s">
        <v>21</v>
      </c>
      <c r="G31" s="1" t="s">
        <v>21</v>
      </c>
      <c r="H31" s="1" t="s">
        <v>21</v>
      </c>
      <c r="I31" s="1" t="s">
        <v>21</v>
      </c>
      <c r="J31" s="1" t="s">
        <v>21</v>
      </c>
      <c r="K31" s="1" t="s">
        <v>21</v>
      </c>
      <c r="L31" s="1" t="s">
        <v>21</v>
      </c>
      <c r="M31" s="1" t="s">
        <v>21</v>
      </c>
      <c r="N31" s="1">
        <v>0.84750999999999999</v>
      </c>
      <c r="Q31" s="4">
        <f>N31/$Q$5*100</f>
        <v>99.403002580342488</v>
      </c>
    </row>
    <row r="32" spans="1:18" x14ac:dyDescent="0.2">
      <c r="A32" s="1">
        <v>25</v>
      </c>
      <c r="B32" s="1" t="s">
        <v>45</v>
      </c>
      <c r="C32" s="1" t="s">
        <v>21</v>
      </c>
      <c r="D32" s="1" t="s">
        <v>21</v>
      </c>
      <c r="E32" s="1">
        <v>1.04172</v>
      </c>
      <c r="F32" s="1" t="s">
        <v>21</v>
      </c>
      <c r="G32" s="1" t="s">
        <v>21</v>
      </c>
      <c r="H32" s="1" t="s">
        <v>21</v>
      </c>
      <c r="I32" s="1" t="s">
        <v>21</v>
      </c>
      <c r="J32" s="1" t="s">
        <v>21</v>
      </c>
      <c r="K32" s="1" t="s">
        <v>21</v>
      </c>
      <c r="L32" s="1" t="s">
        <v>21</v>
      </c>
      <c r="M32" s="1" t="s">
        <v>21</v>
      </c>
      <c r="N32" s="1" t="s">
        <v>21</v>
      </c>
      <c r="R32" s="4">
        <f>E32/$R$5*100</f>
        <v>107.60458630306786</v>
      </c>
    </row>
  </sheetData>
  <mergeCells count="1">
    <mergeCell ref="C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Export90612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Czajka, Jeffrey J</cp:lastModifiedBy>
  <dcterms:created xsi:type="dcterms:W3CDTF">2025-01-18T23:51:43Z</dcterms:created>
  <dcterms:modified xsi:type="dcterms:W3CDTF">2025-01-19T20:28:23Z</dcterms:modified>
</cp:coreProperties>
</file>