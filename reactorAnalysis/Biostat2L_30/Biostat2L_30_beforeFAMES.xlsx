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0/"/>
    </mc:Choice>
  </mc:AlternateContent>
  <xr:revisionPtr revIDLastSave="0" documentId="14_{8298E6D6-AF10-1645-9AC6-E33D385B84ED}" xr6:coauthVersionLast="47" xr6:coauthVersionMax="47" xr10:uidLastSave="{00000000-0000-0000-0000-000000000000}"/>
  <bookViews>
    <workbookView xWindow="0" yWindow="760" windowWidth="30240" windowHeight="17380" activeTab="5" xr2:uid="{025B6E46-3BE5-43AA-8DFD-D9CF1AB06735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7" l="1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F14" i="7"/>
  <c r="AB21" i="7"/>
  <c r="L32" i="8"/>
  <c r="K32" i="8"/>
  <c r="K15" i="8"/>
  <c r="L15" i="8"/>
  <c r="K16" i="8"/>
  <c r="L16" i="8" s="1"/>
  <c r="K17" i="8"/>
  <c r="L17" i="8" s="1"/>
  <c r="K18" i="8"/>
  <c r="L18" i="8" s="1"/>
  <c r="K19" i="8"/>
  <c r="L19" i="8"/>
  <c r="K20" i="8"/>
  <c r="L20" i="8" s="1"/>
  <c r="K21" i="8"/>
  <c r="L21" i="8" s="1"/>
  <c r="K22" i="8"/>
  <c r="L22" i="8"/>
  <c r="K23" i="8"/>
  <c r="L23" i="8"/>
  <c r="BE24" i="7" l="1"/>
  <c r="R29" i="7"/>
  <c r="R24" i="7"/>
  <c r="R28" i="7" s="1"/>
  <c r="BF31" i="7"/>
  <c r="BE31" i="7"/>
  <c r="BD31" i="7"/>
  <c r="BF30" i="7"/>
  <c r="BD30" i="7"/>
  <c r="K31" i="8" l="1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U71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O34" i="7"/>
  <c r="BN34" i="7"/>
  <c r="BM34" i="7"/>
  <c r="BL34" i="7"/>
  <c r="BK34" i="7"/>
  <c r="BJ34" i="7"/>
  <c r="BI34" i="7"/>
  <c r="BH34" i="7"/>
  <c r="BG34" i="7"/>
  <c r="BO33" i="7"/>
  <c r="BN33" i="7"/>
  <c r="BM33" i="7"/>
  <c r="BL33" i="7"/>
  <c r="BK33" i="7"/>
  <c r="BJ33" i="7"/>
  <c r="BI33" i="7"/>
  <c r="BH33" i="7"/>
  <c r="BG33" i="7"/>
  <c r="BO32" i="7"/>
  <c r="BN32" i="7"/>
  <c r="BM32" i="7"/>
  <c r="BL32" i="7"/>
  <c r="BK32" i="7"/>
  <c r="BJ32" i="7"/>
  <c r="BI32" i="7"/>
  <c r="BH32" i="7"/>
  <c r="BG32" i="7"/>
  <c r="BS31" i="7"/>
  <c r="BO31" i="7"/>
  <c r="BN31" i="7"/>
  <c r="BM31" i="7"/>
  <c r="BL31" i="7"/>
  <c r="BK31" i="7"/>
  <c r="BJ31" i="7"/>
  <c r="BI31" i="7"/>
  <c r="BH31" i="7"/>
  <c r="BG31" i="7"/>
  <c r="AF31" i="7"/>
  <c r="AB31" i="7"/>
  <c r="AC31" i="7" s="1"/>
  <c r="BS30" i="7"/>
  <c r="BO30" i="7"/>
  <c r="BN30" i="7"/>
  <c r="BM30" i="7"/>
  <c r="BL30" i="7"/>
  <c r="BK30" i="7"/>
  <c r="BJ30" i="7"/>
  <c r="BI30" i="7"/>
  <c r="BH30" i="7"/>
  <c r="BG30" i="7"/>
  <c r="BE30" i="7"/>
  <c r="AF30" i="7"/>
  <c r="AB30" i="7"/>
  <c r="AC30" i="7" s="1"/>
  <c r="BS29" i="7"/>
  <c r="BQ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AF29" i="7"/>
  <c r="AB29" i="7"/>
  <c r="AC29" i="7" s="1"/>
  <c r="BS28" i="7"/>
  <c r="BQ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AF28" i="7"/>
  <c r="AB28" i="7"/>
  <c r="AC28" i="7" s="1"/>
  <c r="BS27" i="7"/>
  <c r="BQ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AF27" i="7"/>
  <c r="AB27" i="7"/>
  <c r="AC27" i="7" s="1"/>
  <c r="BS26" i="7"/>
  <c r="BQ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AF26" i="7"/>
  <c r="AB26" i="7"/>
  <c r="AC26" i="7" s="1"/>
  <c r="BS25" i="7"/>
  <c r="BQ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AF25" i="7"/>
  <c r="AB25" i="7"/>
  <c r="AC25" i="7" s="1"/>
  <c r="BS24" i="7"/>
  <c r="BQ24" i="7"/>
  <c r="BO24" i="7"/>
  <c r="BN24" i="7"/>
  <c r="BM24" i="7"/>
  <c r="BL24" i="7"/>
  <c r="BK24" i="7"/>
  <c r="BJ24" i="7"/>
  <c r="BI24" i="7"/>
  <c r="BH24" i="7"/>
  <c r="BG24" i="7"/>
  <c r="BF24" i="7"/>
  <c r="AP26" i="7" s="1"/>
  <c r="BD24" i="7"/>
  <c r="AF24" i="7"/>
  <c r="AB24" i="7"/>
  <c r="AC24" i="7" s="1"/>
  <c r="BS23" i="7"/>
  <c r="BQ23" i="7"/>
  <c r="BO23" i="7"/>
  <c r="BN23" i="7"/>
  <c r="BM23" i="7"/>
  <c r="BL23" i="7"/>
  <c r="BK23" i="7"/>
  <c r="BJ23" i="7"/>
  <c r="BI23" i="7"/>
  <c r="BH23" i="7"/>
  <c r="BG23" i="7"/>
  <c r="BF23" i="7"/>
  <c r="AP25" i="7" s="1"/>
  <c r="BE23" i="7"/>
  <c r="BD23" i="7"/>
  <c r="AF23" i="7"/>
  <c r="AB23" i="7"/>
  <c r="AC23" i="7" s="1"/>
  <c r="BS22" i="7"/>
  <c r="BQ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AF22" i="7"/>
  <c r="AB22" i="7"/>
  <c r="AC22" i="7" s="1"/>
  <c r="BS21" i="7"/>
  <c r="BQ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AF21" i="7"/>
  <c r="AC21" i="7"/>
  <c r="BS20" i="7"/>
  <c r="BQ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AF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BF19" i="7"/>
  <c r="AP21" i="7" s="1"/>
  <c r="BE19" i="7"/>
  <c r="BD19" i="7"/>
  <c r="AF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AF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BF17" i="7"/>
  <c r="AP19" i="7" s="1"/>
  <c r="AQ19" i="7" s="1"/>
  <c r="BE17" i="7"/>
  <c r="AJ17" i="7" s="1"/>
  <c r="BD17" i="7"/>
  <c r="AF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AJ16" i="7"/>
  <c r="AF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AF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AJ14" i="7" s="1"/>
  <c r="BD14" i="7"/>
  <c r="AB14" i="7"/>
  <c r="AC14" i="7" s="1"/>
  <c r="D19" i="6"/>
  <c r="D13" i="6"/>
  <c r="D16" i="6" s="1"/>
  <c r="L61" i="3"/>
  <c r="K61" i="3"/>
  <c r="I61" i="3" s="1"/>
  <c r="J61" i="3"/>
  <c r="H61" i="3" s="1"/>
  <c r="L55" i="3"/>
  <c r="K55" i="3"/>
  <c r="J55" i="3"/>
  <c r="I55" i="3"/>
  <c r="H55" i="3"/>
  <c r="G55" i="3"/>
  <c r="P52" i="3"/>
  <c r="P51" i="3"/>
  <c r="P50" i="3"/>
  <c r="P49" i="3"/>
  <c r="N49" i="3"/>
  <c r="M49" i="3"/>
  <c r="L49" i="3"/>
  <c r="K49" i="3"/>
  <c r="I49" i="3" s="1"/>
  <c r="J49" i="3"/>
  <c r="T35" i="3"/>
  <c r="X24" i="3"/>
  <c r="T21" i="3"/>
  <c r="C16" i="3"/>
  <c r="E16" i="3" s="1"/>
  <c r="B13" i="3"/>
  <c r="C13" i="3" s="1"/>
  <c r="D13" i="3" s="1"/>
  <c r="T11" i="3"/>
  <c r="D7" i="3"/>
  <c r="M6" i="3"/>
  <c r="H6" i="3" s="1"/>
  <c r="L6" i="3"/>
  <c r="G6" i="3" s="1"/>
  <c r="K6" i="3"/>
  <c r="F6" i="3" s="1"/>
  <c r="J6" i="3"/>
  <c r="D6" i="3"/>
  <c r="AB4" i="3"/>
  <c r="AB3" i="3"/>
  <c r="AP20" i="7" l="1"/>
  <c r="AG15" i="7"/>
  <c r="AP24" i="7"/>
  <c r="AI31" i="7"/>
  <c r="AK31" i="7" s="1"/>
  <c r="AP31" i="7"/>
  <c r="AP30" i="7"/>
  <c r="AP22" i="7"/>
  <c r="AQ22" i="7" s="1"/>
  <c r="AP27" i="7"/>
  <c r="BY22" i="7"/>
  <c r="AP23" i="7"/>
  <c r="AQ23" i="7" s="1"/>
  <c r="AP28" i="7"/>
  <c r="AP29" i="7"/>
  <c r="AI15" i="7"/>
  <c r="AM15" i="7" s="1"/>
  <c r="AI14" i="7"/>
  <c r="AK14" i="7" s="1"/>
  <c r="AP18" i="7"/>
  <c r="AQ18" i="7" s="1"/>
  <c r="AG26" i="7"/>
  <c r="AG14" i="7"/>
  <c r="AG30" i="7"/>
  <c r="AG21" i="7"/>
  <c r="AG29" i="7"/>
  <c r="AG20" i="7"/>
  <c r="AG28" i="7"/>
  <c r="AG27" i="7"/>
  <c r="AG25" i="7"/>
  <c r="AG18" i="7"/>
  <c r="AG24" i="7"/>
  <c r="AG16" i="7"/>
  <c r="AQ25" i="7"/>
  <c r="AQ21" i="7"/>
  <c r="AJ18" i="7"/>
  <c r="AQ20" i="7"/>
  <c r="AL19" i="7"/>
  <c r="AG31" i="7"/>
  <c r="AM31" i="7"/>
  <c r="AW31" i="7" s="1"/>
  <c r="AG19" i="7"/>
  <c r="AL20" i="7"/>
  <c r="CD17" i="7"/>
  <c r="AL17" i="7"/>
  <c r="CD22" i="7"/>
  <c r="AG17" i="7"/>
  <c r="AJ20" i="7"/>
  <c r="AG22" i="7"/>
  <c r="AL23" i="7"/>
  <c r="CD23" i="7"/>
  <c r="AL18" i="7"/>
  <c r="AG23" i="7"/>
  <c r="AL15" i="7"/>
  <c r="AL27" i="7"/>
  <c r="AJ25" i="7"/>
  <c r="AK21" i="7"/>
  <c r="AL25" i="7"/>
  <c r="AL14" i="7"/>
  <c r="BY14" i="7"/>
  <c r="CA14" i="7" s="1"/>
  <c r="AJ15" i="7"/>
  <c r="BY17" i="7"/>
  <c r="AI19" i="7"/>
  <c r="AM19" i="7" s="1"/>
  <c r="AI21" i="7"/>
  <c r="AR21" i="7" s="1"/>
  <c r="AI24" i="7"/>
  <c r="AK24" i="7" s="1"/>
  <c r="AI26" i="7"/>
  <c r="AI28" i="7"/>
  <c r="AI30" i="7"/>
  <c r="AI16" i="7"/>
  <c r="AK16" i="7" s="1"/>
  <c r="AJ19" i="7"/>
  <c r="AJ21" i="7"/>
  <c r="BY15" i="7"/>
  <c r="CA15" i="7" s="1"/>
  <c r="BY19" i="7"/>
  <c r="BY21" i="7"/>
  <c r="AI23" i="7"/>
  <c r="AK23" i="7" s="1"/>
  <c r="BY24" i="7"/>
  <c r="BY26" i="7"/>
  <c r="BY28" i="7"/>
  <c r="CD16" i="7"/>
  <c r="BY16" i="7"/>
  <c r="AP17" i="7"/>
  <c r="AQ17" i="7" s="1"/>
  <c r="AL21" i="7"/>
  <c r="AJ23" i="7"/>
  <c r="AL16" i="7"/>
  <c r="AI18" i="7"/>
  <c r="AI20" i="7"/>
  <c r="AK20" i="7" s="1"/>
  <c r="AI22" i="7"/>
  <c r="AK22" i="7" s="1"/>
  <c r="BY23" i="7"/>
  <c r="AI25" i="7"/>
  <c r="AI27" i="7"/>
  <c r="AI29" i="7"/>
  <c r="AR31" i="7" s="1"/>
  <c r="AP16" i="7"/>
  <c r="AQ16" i="7" s="1"/>
  <c r="AI17" i="7"/>
  <c r="AK17" i="7" s="1"/>
  <c r="BY18" i="7"/>
  <c r="BY20" i="7"/>
  <c r="BY25" i="7"/>
  <c r="BY27" i="7"/>
  <c r="BY29" i="7"/>
  <c r="G49" i="3"/>
  <c r="I6" i="3"/>
  <c r="H49" i="3"/>
  <c r="G61" i="3"/>
  <c r="CB22" i="7" l="1"/>
  <c r="AR30" i="7"/>
  <c r="AT28" i="7"/>
  <c r="AU28" i="7" s="1"/>
  <c r="AT27" i="7"/>
  <c r="AU27" i="7"/>
  <c r="AR26" i="7"/>
  <c r="AT31" i="7"/>
  <c r="AU31" i="7" s="1"/>
  <c r="AK15" i="7"/>
  <c r="AM14" i="7"/>
  <c r="AT18" i="7"/>
  <c r="AU18" i="7" s="1"/>
  <c r="AK18" i="7"/>
  <c r="AM28" i="7"/>
  <c r="AM26" i="7"/>
  <c r="AT25" i="7"/>
  <c r="AU25" i="7" s="1"/>
  <c r="AM24" i="7"/>
  <c r="AW24" i="7" s="1"/>
  <c r="AR16" i="7"/>
  <c r="AS16" i="7" s="1"/>
  <c r="AR20" i="7"/>
  <c r="AS20" i="7" s="1"/>
  <c r="AT26" i="7"/>
  <c r="AU26" i="7" s="1"/>
  <c r="AT24" i="7"/>
  <c r="AU24" i="7" s="1"/>
  <c r="AS21" i="7"/>
  <c r="AQ27" i="7"/>
  <c r="CB21" i="7"/>
  <c r="CC21" i="7" s="1"/>
  <c r="CA21" i="7"/>
  <c r="CB19" i="7"/>
  <c r="CC19" i="7" s="1"/>
  <c r="CA19" i="7"/>
  <c r="CB17" i="7"/>
  <c r="CC17" i="7" s="1"/>
  <c r="CA17" i="7"/>
  <c r="AM25" i="7"/>
  <c r="AT17" i="7"/>
  <c r="AU17" i="7" s="1"/>
  <c r="AR28" i="7"/>
  <c r="AR22" i="7"/>
  <c r="AS22" i="7" s="1"/>
  <c r="AT23" i="7"/>
  <c r="AU23" i="7" s="1"/>
  <c r="CA25" i="7"/>
  <c r="CB25" i="7"/>
  <c r="CC25" i="7" s="1"/>
  <c r="AR29" i="7"/>
  <c r="CA16" i="7"/>
  <c r="CB16" i="7"/>
  <c r="CC16" i="7" s="1"/>
  <c r="AM29" i="7"/>
  <c r="AR25" i="7"/>
  <c r="AS25" i="7" s="1"/>
  <c r="AR24" i="7"/>
  <c r="AJ22" i="7"/>
  <c r="AL22" i="7"/>
  <c r="AM16" i="7"/>
  <c r="AW16" i="7" s="1"/>
  <c r="CA18" i="7"/>
  <c r="CB18" i="7"/>
  <c r="CC18" i="7" s="1"/>
  <c r="AT30" i="7"/>
  <c r="AU30" i="7" s="1"/>
  <c r="AT21" i="7"/>
  <c r="AU21" i="7" s="1"/>
  <c r="AK26" i="7"/>
  <c r="AK19" i="7"/>
  <c r="AW19" i="7" s="1"/>
  <c r="AK25" i="7"/>
  <c r="AT16" i="7"/>
  <c r="AU16" i="7" s="1"/>
  <c r="AR19" i="7"/>
  <c r="AS19" i="7" s="1"/>
  <c r="AK27" i="7"/>
  <c r="CB28" i="7"/>
  <c r="AM27" i="7"/>
  <c r="AM21" i="7"/>
  <c r="AW21" i="7" s="1"/>
  <c r="AK28" i="7"/>
  <c r="CB23" i="7"/>
  <c r="CC23" i="7" s="1"/>
  <c r="CA23" i="7"/>
  <c r="AM30" i="7"/>
  <c r="AT22" i="7"/>
  <c r="AU22" i="7" s="1"/>
  <c r="CB26" i="7"/>
  <c r="AT19" i="7"/>
  <c r="AU19" i="7" s="1"/>
  <c r="AM18" i="7"/>
  <c r="AR23" i="7"/>
  <c r="AS23" i="7" s="1"/>
  <c r="AM17" i="7"/>
  <c r="AW17" i="7" s="1"/>
  <c r="CE22" i="7"/>
  <c r="CA20" i="7"/>
  <c r="CB20" i="7"/>
  <c r="CC20" i="7" s="1"/>
  <c r="AR27" i="7"/>
  <c r="CB29" i="7"/>
  <c r="AK29" i="7"/>
  <c r="AT29" i="7"/>
  <c r="AU29" i="7" s="1"/>
  <c r="AT20" i="7"/>
  <c r="AU20" i="7" s="1"/>
  <c r="CB24" i="7"/>
  <c r="CA24" i="7"/>
  <c r="AJ27" i="7"/>
  <c r="AK30" i="7"/>
  <c r="AR17" i="7"/>
  <c r="AS17" i="7" s="1"/>
  <c r="AM20" i="7"/>
  <c r="AW20" i="7" s="1"/>
  <c r="CB27" i="7"/>
  <c r="CC27" i="7" s="1"/>
  <c r="AR18" i="7"/>
  <c r="AS18" i="7" s="1"/>
  <c r="AM23" i="7"/>
  <c r="AW23" i="7" s="1"/>
  <c r="AM22" i="7"/>
  <c r="AW22" i="7" s="1"/>
  <c r="AW29" i="7" l="1"/>
  <c r="AW18" i="7"/>
  <c r="AS27" i="7"/>
  <c r="AW28" i="7"/>
  <c r="CE17" i="7"/>
  <c r="AW26" i="7"/>
  <c r="CE23" i="7"/>
  <c r="AW30" i="7"/>
  <c r="AJ29" i="7"/>
  <c r="CC29" i="7"/>
  <c r="AQ29" i="7"/>
  <c r="AS29" i="7" s="1"/>
  <c r="AL29" i="7"/>
  <c r="AW25" i="7"/>
  <c r="CA27" i="7"/>
  <c r="CC24" i="7"/>
  <c r="AQ24" i="7"/>
  <c r="AS24" i="7" s="1"/>
  <c r="AL24" i="7"/>
  <c r="AJ24" i="7"/>
  <c r="AW27" i="7"/>
  <c r="CE16" i="7"/>
  <c r="CA22" i="7" l="1"/>
  <c r="AL26" i="7"/>
  <c r="AJ26" i="7"/>
  <c r="AQ26" i="7"/>
  <c r="AS26" i="7" s="1"/>
  <c r="CC22" i="7"/>
  <c r="AJ31" i="7"/>
  <c r="AL31" i="7"/>
  <c r="AQ31" i="7"/>
  <c r="AS31" i="7" s="1"/>
  <c r="CA29" i="7"/>
  <c r="AQ28" i="7" l="1"/>
  <c r="AS28" i="7" s="1"/>
  <c r="AJ28" i="7"/>
  <c r="AL28" i="7"/>
  <c r="CA26" i="7"/>
  <c r="CC26" i="7"/>
  <c r="AQ30" i="7" l="1"/>
  <c r="AS30" i="7" s="1"/>
  <c r="AJ30" i="7"/>
  <c r="AL30" i="7"/>
  <c r="CA28" i="7"/>
  <c r="CC28" i="7"/>
</calcChain>
</file>

<file path=xl/sharedStrings.xml><?xml version="1.0" encoding="utf-8"?>
<sst xmlns="http://schemas.openxmlformats.org/spreadsheetml/2006/main" count="579" uniqueCount="259">
  <si>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</si>
  <si>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</si>
  <si>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</si>
  <si>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</si>
  <si>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</si>
  <si>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</si>
  <si>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</si>
  <si>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</si>
  <si>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</si>
  <si>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</si>
  <si>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</si>
  <si>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</si>
  <si>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</si>
  <si>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</si>
  <si>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</si>
  <si>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</si>
  <si>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</si>
  <si>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</si>
  <si>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</si>
  <si>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</si>
  <si>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</si>
  <si>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</si>
  <si>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</si>
  <si>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</si>
  <si>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</si>
  <si>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</si>
  <si>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</si>
  <si>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</si>
  <si>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</si>
  <si>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</si>
  <si>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</si>
  <si>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</si>
  <si>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</si>
  <si>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</si>
  <si>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</si>
  <si>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</si>
  <si>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</si>
  <si>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</si>
  <si>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</si>
  <si>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</si>
  <si>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</si>
  <si>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</si>
  <si>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</si>
  <si>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</si>
  <si>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</si>
  <si>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</si>
  <si>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</si>
  <si>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</si>
  <si>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</si>
  <si>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</si>
  <si>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</si>
  <si>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</si>
  <si>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</si>
  <si>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</si>
  <si>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</si>
  <si>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</si>
  <si>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</si>
  <si>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</si>
  <si>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</si>
  <si>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</si>
  <si>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</si>
  <si>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</si>
  <si>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</si>
  <si>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</si>
  <si>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</si>
  <si>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</si>
  <si>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</si>
  <si>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</si>
  <si>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</si>
  <si>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</si>
  <si>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</si>
  <si>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</si>
  <si>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</si>
  <si>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</si>
  <si>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</si>
  <si>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</si>
  <si>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</si>
  <si>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</si>
  <si>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</si>
  <si>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</si>
  <si>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</si>
  <si>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</si>
  <si>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</si>
  <si>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</si>
  <si>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</si>
  <si>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</si>
  <si>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</si>
  <si>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</si>
  <si>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</si>
  <si>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</si>
  <si>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</si>
  <si>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</si>
  <si>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</si>
  <si>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</si>
  <si>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</si>
  <si>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</si>
  <si>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</si>
  <si>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</si>
  <si>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</si>
  <si>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</si>
  <si>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</si>
  <si>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</si>
  <si>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</si>
  <si>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</si>
  <si>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</si>
  <si>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</si>
  <si>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</si>
  <si>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</si>
  <si>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</si>
  <si>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</si>
  <si>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</si>
  <si>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</si>
  <si>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</si>
  <si>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</si>
  <si>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</si>
  <si>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</si>
  <si>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</si>
  <si>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</si>
  <si>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</si>
  <si>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</si>
  <si>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</si>
  <si>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</si>
  <si>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</si>
  <si>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</si>
  <si>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</si>
  <si>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</si>
  <si>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</si>
  <si>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</si>
  <si>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</si>
  <si>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</si>
  <si>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</si>
  <si>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</si>
  <si>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</si>
  <si>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</si>
  <si>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</si>
  <si>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</si>
  <si>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</si>
  <si>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</si>
  <si>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</si>
  <si>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</si>
  <si>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</si>
  <si>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</si>
  <si>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</si>
  <si>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</si>
  <si>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</si>
  <si>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</si>
  <si>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</si>
  <si>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</si>
  <si>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</si>
  <si>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</si>
  <si>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</si>
  <si>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</si>
  <si>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</si>
  <si>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</si>
  <si>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</si>
  <si>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</si>
  <si>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</si>
  <si>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</si>
  <si>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</si>
  <si>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</si>
  <si>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</si>
  <si>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</si>
  <si>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</si>
  <si>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</si>
  <si>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</si>
  <si>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</si>
  <si>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</si>
  <si>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</si>
  <si>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</si>
  <si>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</si>
  <si>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</si>
  <si>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</si>
  <si>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</si>
  <si>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</si>
  <si>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</si>
  <si>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</si>
  <si>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</si>
  <si>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</si>
  <si>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</si>
  <si>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</si>
  <si>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</si>
  <si>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</si>
  <si>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</si>
  <si>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</si>
  <si>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</si>
  <si>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</si>
  <si>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</si>
  <si>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</si>
  <si>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</si>
  <si>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</si>
  <si>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</si>
  <si>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</si>
  <si>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</si>
  <si>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</si>
  <si>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</si>
  <si>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</si>
  <si>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</si>
  <si>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</si>
  <si>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</si>
  <si>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</si>
  <si>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</si>
  <si>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</si>
  <si>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</si>
  <si>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</si>
  <si>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</si>
  <si>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</si>
  <si>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</si>
  <si>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</si>
  <si>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</si>
  <si>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</si>
  <si>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</si>
  <si>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</si>
  <si>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</si>
  <si>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</si>
  <si>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</si>
  <si>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</si>
  <si>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</si>
  <si>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</si>
  <si>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</si>
  <si>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</si>
  <si>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</si>
  <si>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</si>
  <si>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</si>
  <si>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</si>
  <si>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</si>
  <si>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</si>
  <si>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</si>
  <si>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</si>
  <si>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</si>
  <si>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</si>
  <si>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</si>
  <si>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</si>
  <si>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</si>
  <si>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</si>
  <si>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</si>
  <si>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</si>
  <si>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</si>
  <si>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</si>
  <si>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</si>
  <si>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</si>
  <si>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</si>
  <si>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2L-30-1</t>
  </si>
  <si>
    <t>Jeff_SloHot50_Biostat 2L-30-2</t>
  </si>
  <si>
    <t>Jeff_SloHot50_Biostat 2L-30-3</t>
  </si>
  <si>
    <t>Jeff_SloHot50_Biostat 2L-30-4</t>
  </si>
  <si>
    <t>Jeff_SloHot50_Biostat 2L-30-5</t>
  </si>
  <si>
    <t>Jeff_SloHot50_Biostat 2L-30-6</t>
  </si>
  <si>
    <t>Jeff_SloHot50_Biostat 2L-30-7</t>
  </si>
  <si>
    <t>Jeff_SloHot50_Biostat 2L-30-8</t>
  </si>
  <si>
    <t>Jeff_SloHot50_Biostat 2L-30-9</t>
  </si>
  <si>
    <t>Jeff_SloHot50_Biostat 2L-30-10</t>
  </si>
  <si>
    <t>Jeff_SloHot50_Biostat 2L-30-11</t>
  </si>
  <si>
    <t>Jeff_SloHot50_Biostat 2L-30-12</t>
  </si>
  <si>
    <t>Jeff_SloHot50_Biostat 2L-30-13</t>
  </si>
  <si>
    <t>Jeff_SloHot50_Biostat 2L-30-14</t>
  </si>
  <si>
    <t>Jeff_SloHot50_Biostat 2L-30-15</t>
  </si>
  <si>
    <t>Jeff_SloHot50_Biostat 2L-30-16</t>
  </si>
  <si>
    <t>Jeff_SloHot50_Biostat 2L-30-17</t>
  </si>
  <si>
    <t>Jeff_SloHot50_Biostat 2L-30-18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</si>
</sst>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166" fontId="3" fillId="0" borderId="0" xfId="4" applyNumberFormat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14" fontId="1" fillId="0" borderId="0" xfId="1" applyNumberFormat="1" applyFont="1"/>
    <xf numFmtId="0" fontId="1" fillId="0" borderId="0" xfId="1" applyFont="1"/>
    <xf numFmtId="0" fontId="0" fillId="0" borderId="4" xfId="0" applyBorder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5">
    <cellStyle name="Calculation 2" xfId="3" xr:uid="{66267FEE-D929-4171-A488-CA7E8E73D076}"/>
    <cellStyle name="Good 2" xfId="2" xr:uid="{BB8929C1-DC4A-4C80-9F36-39627D5F9C52}"/>
    <cellStyle name="Normal" xfId="0" builtinId="0"/>
    <cellStyle name="Normal 2" xfId="1" xr:uid="{685F35BD-F959-487C-830C-6DD7469CDCB7}"/>
    <cellStyle name="Percent 2" xfId="4" xr:uid="{904B81D6-53F2-48A2-AF92-1714E0D8A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178B-8CE0-457A-88B9-0B15B9AF79EA}">
  <dimension ref="A3:R31"/>
  <sheetViews>
    <sheetView workbookViewId="0">
      <selection activeCell="H9" sqref="H9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9EB-1582-49D0-823E-5FAD6AA18F04}">
  <dimension ref="A1:AB84"/>
  <sheetViews>
    <sheetView topLeftCell="A44" workbookViewId="0">
      <selection activeCell="H49" sqref="H49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1DC1-4586-4E44-BD14-806570BE42CB}">
  <dimension ref="A1:B5"/>
  <sheetViews>
    <sheetView workbookViewId="0">
      <selection activeCell="D33" sqref="D33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13EF-2AD4-4010-BC6A-619B9AA2BD3A}">
  <dimension ref="A2:E9"/>
  <sheetViews>
    <sheetView workbookViewId="0">
      <selection activeCell="F24" sqref="F2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9246-6A58-4F3E-88E9-0E79E0376135}">
  <dimension ref="B4:I25"/>
  <sheetViews>
    <sheetView workbookViewId="0">
      <selection activeCell="I13" sqref="I13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092D-D928-4676-9F3D-870AD67C22BE}">
  <dimension ref="A2:DB76"/>
  <sheetViews>
    <sheetView showGridLines="0" tabSelected="1" topLeftCell="O4" zoomScale="88" zoomScaleNormal="125" workbookViewId="0">
      <selection activeCell="Z35" sqref="Z35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8" t="s">
        <v>168</v>
      </c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15"/>
      <c r="BQ12" s="49" t="s">
        <v>169</v>
      </c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47" t="s">
        <v>241</v>
      </c>
      <c r="C14" s="47">
        <v>9.75E-3</v>
      </c>
      <c r="D14" s="47" t="s">
        <v>225</v>
      </c>
      <c r="E14" s="47">
        <v>9.6601099999999995</v>
      </c>
      <c r="F14" s="47"/>
      <c r="G14" s="47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45">
        <v>45671</v>
      </c>
      <c r="Q14" s="3">
        <v>0.41666666666666669</v>
      </c>
      <c r="R14" s="1">
        <v>0.5</v>
      </c>
      <c r="S14" s="1" t="s">
        <v>226</v>
      </c>
      <c r="T14" s="1">
        <v>1</v>
      </c>
      <c r="V14" s="1" t="s">
        <v>227</v>
      </c>
      <c r="W14" s="1">
        <v>0.40300000000000002</v>
      </c>
      <c r="X14" s="1">
        <v>0</v>
      </c>
      <c r="Y14" s="1">
        <v>6.62</v>
      </c>
      <c r="Z14" s="1">
        <v>6.6299000000000001</v>
      </c>
      <c r="AA14" s="1">
        <v>8</v>
      </c>
      <c r="AB14" s="1">
        <f>Z14-Y14</f>
        <v>9.9000000000000199E-3</v>
      </c>
      <c r="AC14" s="1">
        <f>AB14/(AA14/1000)</f>
        <v>1.2375000000000025</v>
      </c>
      <c r="AD14" s="1">
        <v>1.4</v>
      </c>
      <c r="AE14" s="1">
        <f>FAMES!L15</f>
        <v>0.30000000000000004</v>
      </c>
      <c r="AF14" s="28">
        <f>AE14/AD14</f>
        <v>0.21428571428571433</v>
      </c>
      <c r="AG14" s="1">
        <f>AF14*AC14</f>
        <v>0.26517857142857204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2.475000000000005</v>
      </c>
      <c r="AM14" s="1" t="e">
        <f>AC14/AI14</f>
        <v>#DIV/0!</v>
      </c>
      <c r="AO14" s="29"/>
      <c r="BD14" s="1">
        <f>IF(ISNUMBER(C14),C14*1000/100,"")</f>
        <v>9.7500000000000003E-2</v>
      </c>
      <c r="BE14" s="1">
        <f>IF(ISNUMBER(D14),D14*1000/100,0)</f>
        <v>0</v>
      </c>
      <c r="BF14" s="1">
        <f>IF(ISNUMBER(E14),E14*1000/100,"")</f>
        <v>96.601099999999988</v>
      </c>
      <c r="BG14" s="1" t="str">
        <f t="shared" ref="BG14:BO29" si="0">IF(ISNUMBER(F14),F14*1000/100,"")</f>
        <v/>
      </c>
      <c r="BH14" s="1" t="str">
        <f t="shared" si="0"/>
        <v/>
      </c>
      <c r="BI14" s="1" t="str">
        <f t="shared" si="0"/>
        <v/>
      </c>
      <c r="BJ14" s="1" t="str">
        <f t="shared" si="0"/>
        <v/>
      </c>
      <c r="BK14" s="1" t="str">
        <f t="shared" si="0"/>
        <v/>
      </c>
      <c r="BL14" s="1" t="str">
        <f t="shared" si="0"/>
        <v/>
      </c>
      <c r="BM14" s="1" t="str">
        <f t="shared" si="0"/>
        <v/>
      </c>
      <c r="BN14" s="1" t="str">
        <f t="shared" si="0"/>
        <v/>
      </c>
      <c r="BO14" s="1" t="str">
        <f t="shared" si="0"/>
        <v/>
      </c>
      <c r="BP14" s="20"/>
      <c r="BQ14" s="20" t="str">
        <f>S14</f>
        <v>r1</v>
      </c>
      <c r="BR14" s="7"/>
      <c r="BS14" s="1" t="str">
        <f t="shared" ref="BS14:BS21" si="1">B14</f>
        <v>Jeff_SloHot50_Biostat 2L-30-1</v>
      </c>
      <c r="BU14" s="18"/>
      <c r="BW14" s="7"/>
      <c r="BX14" s="7"/>
      <c r="BY14" s="7">
        <f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47" t="s">
        <v>242</v>
      </c>
      <c r="C15" s="47">
        <v>9.0799999999999995E-3</v>
      </c>
      <c r="D15" s="47" t="s">
        <v>225</v>
      </c>
      <c r="E15" s="47">
        <v>9.6671399999999998</v>
      </c>
      <c r="F15" s="47"/>
      <c r="G15" s="47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P15" s="2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0.47399999999999998</v>
      </c>
      <c r="X15" s="1">
        <v>0</v>
      </c>
      <c r="Y15" s="1">
        <v>6.6128999999999998</v>
      </c>
      <c r="Z15" s="1">
        <v>6.6205999999999996</v>
      </c>
      <c r="AA15" s="1">
        <v>8</v>
      </c>
      <c r="AB15" s="1">
        <f t="shared" ref="AB15:AB31" si="2">Z15-Y15</f>
        <v>7.6999999999998181E-3</v>
      </c>
      <c r="AC15" s="1">
        <f t="shared" ref="AC15:AC29" si="3">AB15/(AA15/1000)</f>
        <v>0.96249999999997726</v>
      </c>
      <c r="AD15" s="1">
        <v>1.4</v>
      </c>
      <c r="AE15" s="1">
        <f>FAMES!L16</f>
        <v>0.23499999999999999</v>
      </c>
      <c r="AF15" s="28">
        <f t="shared" ref="AF15:AF31" si="4">AE15/AD15</f>
        <v>0.16785714285714287</v>
      </c>
      <c r="AG15" s="1">
        <f t="shared" ref="AG15:AG31" si="5">AF15*AC15</f>
        <v>0.1615624999999962</v>
      </c>
      <c r="AI15" s="29">
        <f>$BF$15-BF15</f>
        <v>0</v>
      </c>
      <c r="AJ15" s="1">
        <f>BE15/R15</f>
        <v>0</v>
      </c>
      <c r="AK15" s="29" t="e">
        <f t="shared" ref="AK15:AK31" si="6">BE15/AI15</f>
        <v>#DIV/0!</v>
      </c>
      <c r="AL15" s="8">
        <f t="shared" ref="AL15:AL31" si="7">AC15/R15</f>
        <v>1.9249999999999545</v>
      </c>
      <c r="AM15" s="1" t="e">
        <f>AC15/AI15</f>
        <v>#DIV/0!</v>
      </c>
      <c r="AO15" s="29"/>
      <c r="BD15" s="1">
        <f t="shared" ref="BD15:BD29" si="8">IF(ISNUMBER(C15),C15*1000/100,"")</f>
        <v>9.0800000000000006E-2</v>
      </c>
      <c r="BE15" s="1">
        <f t="shared" ref="BE15:BE30" si="9">IF(ISNUMBER(D15),D15*1000/100,0)</f>
        <v>0</v>
      </c>
      <c r="BF15" s="1">
        <f t="shared" ref="BF15:BO31" si="10">IF(ISNUMBER(E15),E15*1000/100,"")</f>
        <v>96.671399999999991</v>
      </c>
      <c r="BG15" s="1" t="str">
        <f t="shared" si="0"/>
        <v/>
      </c>
      <c r="BH15" s="1" t="str">
        <f t="shared" si="0"/>
        <v/>
      </c>
      <c r="BI15" s="1" t="str">
        <f t="shared" si="0"/>
        <v/>
      </c>
      <c r="BJ15" s="1" t="str">
        <f t="shared" si="0"/>
        <v/>
      </c>
      <c r="BK15" s="1" t="str">
        <f t="shared" si="0"/>
        <v/>
      </c>
      <c r="BL15" s="1" t="str">
        <f t="shared" si="0"/>
        <v/>
      </c>
      <c r="BM15" s="1" t="str">
        <f t="shared" si="0"/>
        <v/>
      </c>
      <c r="BN15" s="1" t="str">
        <f t="shared" si="0"/>
        <v/>
      </c>
      <c r="BO15" s="1" t="str">
        <f t="shared" si="0"/>
        <v/>
      </c>
      <c r="BP15" s="20"/>
      <c r="BQ15" s="20" t="str">
        <f>S15</f>
        <v>r2</v>
      </c>
      <c r="BR15" s="7"/>
      <c r="BS15" s="1" t="str">
        <f t="shared" si="1"/>
        <v>Jeff_SloHot50_Biostat 2L-30-2</v>
      </c>
      <c r="BT15" s="29"/>
      <c r="BU15" s="33"/>
      <c r="BW15" s="7"/>
      <c r="BX15" s="7"/>
      <c r="BY15" s="7">
        <f>$BF$15-BF15</f>
        <v>0</v>
      </c>
      <c r="BZ15" s="7"/>
      <c r="CA15" s="7">
        <f t="shared" ref="CA15" si="11">BY15/R15</f>
        <v>0</v>
      </c>
      <c r="CB15" s="7"/>
      <c r="CC15" s="30"/>
      <c r="CD15" s="31"/>
      <c r="CE15" s="31"/>
      <c r="CG15" s="32"/>
      <c r="CH15" s="32"/>
    </row>
    <row r="16" spans="1:106" x14ac:dyDescent="0.2">
      <c r="A16" s="17"/>
      <c r="B16" s="47" t="s">
        <v>243</v>
      </c>
      <c r="C16" s="47">
        <v>9.9900000000000006E-3</v>
      </c>
      <c r="D16" s="47" t="s">
        <v>225</v>
      </c>
      <c r="E16" s="47">
        <v>9.6200500000000009</v>
      </c>
      <c r="F16" s="47"/>
      <c r="G16" s="47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Q16" s="3">
        <v>0.54166666666666663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1.244</v>
      </c>
      <c r="X16" s="1">
        <v>1</v>
      </c>
      <c r="Y16" s="1">
        <v>6.6497999999999999</v>
      </c>
      <c r="Z16" s="1">
        <v>6.6546000000000003</v>
      </c>
      <c r="AA16" s="1">
        <v>8</v>
      </c>
      <c r="AB16" s="1">
        <f t="shared" si="2"/>
        <v>4.8000000000003595E-3</v>
      </c>
      <c r="AC16" s="1">
        <f t="shared" si="3"/>
        <v>0.60000000000004494</v>
      </c>
      <c r="AD16" s="1">
        <v>5.0999999999999996</v>
      </c>
      <c r="AE16" s="1">
        <f>FAMES!L17</f>
        <v>0.33899999999999997</v>
      </c>
      <c r="AF16" s="28">
        <f>AE16/AD16</f>
        <v>6.6470588235294115E-2</v>
      </c>
      <c r="AG16" s="1">
        <f t="shared" si="5"/>
        <v>3.9882352941179457E-2</v>
      </c>
      <c r="AI16" s="29">
        <f>$BF$14-BF16</f>
        <v>0.40059999999998297</v>
      </c>
      <c r="AJ16" s="1">
        <f>BE16/R16</f>
        <v>0</v>
      </c>
      <c r="AK16" s="29">
        <f t="shared" si="6"/>
        <v>0</v>
      </c>
      <c r="AL16" s="8">
        <f t="shared" si="7"/>
        <v>0.17142857142858428</v>
      </c>
      <c r="AM16" s="8">
        <f>AC16/AI16</f>
        <v>1.4977533699452583</v>
      </c>
      <c r="AO16" s="29"/>
      <c r="AP16" s="1">
        <f t="shared" ref="AP16:AP31" si="12">BF14-BF16</f>
        <v>0.40059999999998297</v>
      </c>
      <c r="AQ16" s="8">
        <f>AP16/(R16-R14)</f>
        <v>0.13353333333332765</v>
      </c>
      <c r="AR16" s="8">
        <f>(AC16-AC14)/(AI16-AI14)</f>
        <v>-1.5913629555666118</v>
      </c>
      <c r="AS16" s="29">
        <f>AR16/AQ16</f>
        <v>-11.917346147528804</v>
      </c>
      <c r="AT16" s="8">
        <f>(BE16-BE14)/(AI16-AI14)</f>
        <v>0</v>
      </c>
      <c r="AU16" s="34">
        <f>AT16/AP16</f>
        <v>0</v>
      </c>
      <c r="AV16" s="8"/>
      <c r="AW16" s="8">
        <f>AK16+AM16</f>
        <v>1.4977533699452583</v>
      </c>
      <c r="BD16" s="1">
        <f t="shared" si="8"/>
        <v>9.9900000000000003E-2</v>
      </c>
      <c r="BE16" s="1">
        <f t="shared" si="9"/>
        <v>0</v>
      </c>
      <c r="BF16" s="1">
        <f t="shared" si="10"/>
        <v>96.200500000000005</v>
      </c>
      <c r="BG16" s="1" t="str">
        <f t="shared" si="0"/>
        <v/>
      </c>
      <c r="BH16" s="1" t="str">
        <f t="shared" si="0"/>
        <v/>
      </c>
      <c r="BI16" s="1" t="str">
        <f t="shared" si="0"/>
        <v/>
      </c>
      <c r="BJ16" s="1" t="str">
        <f t="shared" si="0"/>
        <v/>
      </c>
      <c r="BK16" s="1" t="str">
        <f t="shared" si="0"/>
        <v/>
      </c>
      <c r="BL16" s="1" t="str">
        <f t="shared" si="0"/>
        <v/>
      </c>
      <c r="BM16" s="1" t="str">
        <f t="shared" si="0"/>
        <v/>
      </c>
      <c r="BN16" s="1" t="str">
        <f t="shared" si="0"/>
        <v/>
      </c>
      <c r="BO16" s="1" t="str">
        <f t="shared" si="0"/>
        <v/>
      </c>
      <c r="BP16" s="20"/>
      <c r="BQ16" s="20" t="str">
        <f t="shared" ref="BQ16:BQ21" si="13">S16</f>
        <v>r1</v>
      </c>
      <c r="BR16" s="7"/>
      <c r="BS16" s="1" t="str">
        <f t="shared" si="1"/>
        <v>Jeff_SloHot50_Biostat 2L-30-3</v>
      </c>
      <c r="BT16" s="29"/>
      <c r="BU16" s="33"/>
      <c r="BV16" s="7"/>
      <c r="BW16" s="35"/>
      <c r="BX16" s="35"/>
      <c r="BY16" s="7">
        <f>$BF$14-BF16</f>
        <v>0.40059999999998297</v>
      </c>
      <c r="BZ16" s="7"/>
      <c r="CA16" s="7">
        <f t="shared" ref="CA16:CA21" si="14">BY16/R18</f>
        <v>8.9022222222218436E-2</v>
      </c>
      <c r="CB16" s="7">
        <f>BY16-BY14</f>
        <v>0.40059999999998297</v>
      </c>
      <c r="CC16" s="30">
        <f>CB16/(R18-R14)</f>
        <v>0.10014999999999574</v>
      </c>
      <c r="CD16" s="30">
        <f>AC16-AC14</f>
        <v>-0.63749999999995755</v>
      </c>
      <c r="CE16" s="36">
        <f>CD16/CB16</f>
        <v>-1.5913629555666118</v>
      </c>
      <c r="CF16" s="8"/>
      <c r="CG16" s="37"/>
      <c r="CH16" s="32"/>
      <c r="CI16" s="32"/>
      <c r="CN16" s="29"/>
      <c r="CO16" s="29"/>
      <c r="CP16" s="7"/>
      <c r="CQ16" s="7"/>
      <c r="CR16" s="7"/>
      <c r="CS16" s="29"/>
      <c r="CZ16" s="7"/>
      <c r="DA16" s="7"/>
      <c r="DB16" s="7"/>
    </row>
    <row r="17" spans="1:106" x14ac:dyDescent="0.2">
      <c r="A17" s="17"/>
      <c r="B17" s="47" t="s">
        <v>244</v>
      </c>
      <c r="C17" s="47">
        <v>7.5799999999999999E-3</v>
      </c>
      <c r="D17" s="47" t="s">
        <v>225</v>
      </c>
      <c r="E17" s="47">
        <v>9.6171900000000008</v>
      </c>
      <c r="F17" s="47"/>
      <c r="G17" s="47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1.23</v>
      </c>
      <c r="X17" s="1">
        <v>0</v>
      </c>
      <c r="Y17" s="1">
        <v>6.6420000000000003</v>
      </c>
      <c r="Z17" s="1">
        <v>6.6448999999999998</v>
      </c>
      <c r="AA17" s="1">
        <v>8</v>
      </c>
      <c r="AB17" s="1">
        <f t="shared" si="2"/>
        <v>2.8999999999994586E-3</v>
      </c>
      <c r="AC17" s="1">
        <f t="shared" si="3"/>
        <v>0.36249999999993232</v>
      </c>
      <c r="AD17" s="1">
        <v>1.3</v>
      </c>
      <c r="AE17" s="1">
        <f>FAMES!L18</f>
        <v>0.26349999999999996</v>
      </c>
      <c r="AF17" s="28">
        <f t="shared" si="4"/>
        <v>0.20269230769230764</v>
      </c>
      <c r="AG17" s="1">
        <f t="shared" si="5"/>
        <v>7.3475961538447807E-2</v>
      </c>
      <c r="AI17" s="29">
        <f>$BF$15-BF17</f>
        <v>0.4994999999999834</v>
      </c>
      <c r="AJ17" s="1">
        <f t="shared" ref="AJ17:AJ31" si="15">BE17/R17</f>
        <v>0</v>
      </c>
      <c r="AK17" s="29">
        <f t="shared" si="6"/>
        <v>0</v>
      </c>
      <c r="AL17" s="8">
        <f t="shared" si="7"/>
        <v>0.10357142857140923</v>
      </c>
      <c r="AM17" s="8">
        <f t="shared" ref="AM17:AM31" si="16">AC17/AI17</f>
        <v>0.72572572572561433</v>
      </c>
      <c r="AO17" s="29"/>
      <c r="AP17" s="1">
        <f t="shared" si="12"/>
        <v>0.4994999999999834</v>
      </c>
      <c r="AQ17" s="8">
        <f>AP17/(R17-R15)</f>
        <v>0.16649999999999446</v>
      </c>
      <c r="AR17" s="8">
        <f t="shared" ref="AR17:AR31" si="17">(AC17-AC15)/(AI17-AI15)</f>
        <v>-1.2012012012013311</v>
      </c>
      <c r="AS17" s="29">
        <f t="shared" ref="AS17:AS31" si="18">AR17/AQ17</f>
        <v>-7.2144216288370639</v>
      </c>
      <c r="AT17" s="8">
        <f>(BE17-BE15)/(AI17-AI15)</f>
        <v>0</v>
      </c>
      <c r="AU17" s="34">
        <f t="shared" ref="AU17:AU31" si="19">AT17/AP17</f>
        <v>0</v>
      </c>
      <c r="AV17" s="8"/>
      <c r="AW17" s="8">
        <f t="shared" ref="AW17:AW31" si="20">AK17+AM17</f>
        <v>0.72572572572561433</v>
      </c>
      <c r="BD17" s="1">
        <f t="shared" si="8"/>
        <v>7.5800000000000006E-2</v>
      </c>
      <c r="BE17" s="1">
        <f t="shared" si="9"/>
        <v>0</v>
      </c>
      <c r="BF17" s="1">
        <f t="shared" si="10"/>
        <v>96.171900000000008</v>
      </c>
      <c r="BG17" s="1" t="str">
        <f t="shared" si="0"/>
        <v/>
      </c>
      <c r="BH17" s="1" t="str">
        <f t="shared" si="0"/>
        <v/>
      </c>
      <c r="BI17" s="1" t="str">
        <f t="shared" si="0"/>
        <v/>
      </c>
      <c r="BJ17" s="1" t="str">
        <f t="shared" si="0"/>
        <v/>
      </c>
      <c r="BK17" s="1" t="str">
        <f t="shared" si="0"/>
        <v/>
      </c>
      <c r="BL17" s="1" t="str">
        <f t="shared" si="0"/>
        <v/>
      </c>
      <c r="BM17" s="1" t="str">
        <f t="shared" si="0"/>
        <v/>
      </c>
      <c r="BN17" s="1" t="str">
        <f t="shared" si="0"/>
        <v/>
      </c>
      <c r="BO17" s="1" t="str">
        <f t="shared" si="0"/>
        <v/>
      </c>
      <c r="BP17" s="20"/>
      <c r="BQ17" s="20" t="str">
        <f t="shared" si="13"/>
        <v>r2</v>
      </c>
      <c r="BR17" s="7"/>
      <c r="BS17" s="1" t="str">
        <f t="shared" si="1"/>
        <v>Jeff_SloHot50_Biostat 2L-30-4</v>
      </c>
      <c r="BT17" s="29"/>
      <c r="BU17" s="33"/>
      <c r="BV17" s="7"/>
      <c r="BW17" s="35"/>
      <c r="BX17" s="35"/>
      <c r="BY17" s="7">
        <f>$BF$15-BF17</f>
        <v>0.4994999999999834</v>
      </c>
      <c r="BZ17" s="7"/>
      <c r="CA17" s="7">
        <f t="shared" si="14"/>
        <v>0.11099999999999631</v>
      </c>
      <c r="CB17" s="7">
        <f t="shared" ref="CB17:CB29" si="21">BY17-BY15</f>
        <v>0.4994999999999834</v>
      </c>
      <c r="CC17" s="30">
        <f>CB17/(R19-R15)</f>
        <v>0.12487499999999585</v>
      </c>
      <c r="CD17" s="30">
        <f>AC17-AC15</f>
        <v>-0.60000000000004494</v>
      </c>
      <c r="CE17" s="36">
        <f>CD17/CB17</f>
        <v>-1.2012012012013311</v>
      </c>
      <c r="CF17" s="8"/>
      <c r="CG17" s="37"/>
      <c r="CH17" s="37"/>
      <c r="CI17" s="32"/>
      <c r="CN17" s="29"/>
      <c r="CO17" s="29"/>
      <c r="CP17" s="7"/>
      <c r="CQ17" s="7"/>
      <c r="CR17" s="7"/>
      <c r="CS17" s="29"/>
      <c r="CZ17" s="7"/>
      <c r="DA17" s="7"/>
      <c r="DB17" s="7"/>
    </row>
    <row r="18" spans="1:106" x14ac:dyDescent="0.2">
      <c r="A18" s="17"/>
      <c r="B18" s="47" t="s">
        <v>245</v>
      </c>
      <c r="C18" s="47">
        <v>8.8900000000000003E-3</v>
      </c>
      <c r="D18" s="47" t="s">
        <v>225</v>
      </c>
      <c r="E18" s="47">
        <v>9.6450099999999992</v>
      </c>
      <c r="F18" s="47"/>
      <c r="G18" s="47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0.58333333333333337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1.585</v>
      </c>
      <c r="AA18" s="1">
        <v>8</v>
      </c>
      <c r="AB18" s="1">
        <f t="shared" si="2"/>
        <v>0</v>
      </c>
      <c r="AC18" s="1">
        <f t="shared" si="3"/>
        <v>0</v>
      </c>
      <c r="AE18" s="1">
        <f>FAMES!L19</f>
        <v>0</v>
      </c>
      <c r="AF18" s="28" t="e">
        <f t="shared" si="4"/>
        <v>#DIV/0!</v>
      </c>
      <c r="AG18" s="1" t="e">
        <f t="shared" si="5"/>
        <v>#DIV/0!</v>
      </c>
      <c r="AI18" s="29">
        <f t="shared" ref="AI18" si="22">$BF$14-BF18</f>
        <v>0.15100000000001046</v>
      </c>
      <c r="AJ18" s="1">
        <f t="shared" si="15"/>
        <v>0</v>
      </c>
      <c r="AK18" s="29">
        <f t="shared" si="6"/>
        <v>0</v>
      </c>
      <c r="AL18" s="8">
        <f t="shared" si="7"/>
        <v>0</v>
      </c>
      <c r="AM18" s="8">
        <f t="shared" si="16"/>
        <v>0</v>
      </c>
      <c r="AO18" s="29"/>
      <c r="AP18" s="1">
        <f t="shared" si="12"/>
        <v>-0.24959999999997251</v>
      </c>
      <c r="AQ18" s="8">
        <f t="shared" ref="AQ18:AQ31" si="23">AP18/(R18-R16)</f>
        <v>-0.24959999999997251</v>
      </c>
      <c r="AR18" s="8">
        <f t="shared" si="17"/>
        <v>2.4038461538465987</v>
      </c>
      <c r="AS18" s="29">
        <f t="shared" si="18"/>
        <v>-9.6307938856044206</v>
      </c>
      <c r="AT18" s="8">
        <f t="shared" ref="AT18:AT31" si="24">(BE18-BE16)/(AI18-AI16)</f>
        <v>0</v>
      </c>
      <c r="AU18" s="34">
        <f t="shared" si="19"/>
        <v>0</v>
      </c>
      <c r="AV18" s="8"/>
      <c r="AW18" s="8">
        <f t="shared" si="20"/>
        <v>0</v>
      </c>
      <c r="BD18" s="1">
        <f t="shared" si="8"/>
        <v>8.8900000000000007E-2</v>
      </c>
      <c r="BE18" s="1">
        <f t="shared" si="9"/>
        <v>0</v>
      </c>
      <c r="BF18" s="1">
        <f t="shared" si="10"/>
        <v>96.450099999999978</v>
      </c>
      <c r="BG18" s="1" t="str">
        <f t="shared" si="0"/>
        <v/>
      </c>
      <c r="BH18" s="1" t="str">
        <f t="shared" si="0"/>
        <v/>
      </c>
      <c r="BI18" s="1" t="str">
        <f t="shared" si="0"/>
        <v/>
      </c>
      <c r="BJ18" s="1" t="str">
        <f t="shared" si="0"/>
        <v/>
      </c>
      <c r="BK18" s="1" t="str">
        <f t="shared" si="0"/>
        <v/>
      </c>
      <c r="BL18" s="1" t="str">
        <f t="shared" si="0"/>
        <v/>
      </c>
      <c r="BM18" s="1" t="str">
        <f t="shared" si="0"/>
        <v/>
      </c>
      <c r="BN18" s="1" t="str">
        <f t="shared" si="0"/>
        <v/>
      </c>
      <c r="BO18" s="1" t="str">
        <f t="shared" si="0"/>
        <v/>
      </c>
      <c r="BP18" s="20"/>
      <c r="BQ18" s="20" t="str">
        <f t="shared" si="13"/>
        <v>r1</v>
      </c>
      <c r="BR18" s="7"/>
      <c r="BS18" s="1" t="str">
        <f t="shared" si="1"/>
        <v>Jeff_SloHot50_Biostat 2L-30-5</v>
      </c>
      <c r="BT18" s="29"/>
      <c r="BU18" s="33"/>
      <c r="BV18" s="7"/>
      <c r="BW18" s="35"/>
      <c r="BX18" s="7"/>
      <c r="BY18" s="7">
        <f>$BF$14-BF18</f>
        <v>0.15100000000001046</v>
      </c>
      <c r="BZ18" s="7"/>
      <c r="CA18" s="7">
        <f t="shared" si="14"/>
        <v>2.7454545454547355E-2</v>
      </c>
      <c r="CB18" s="7">
        <f t="shared" si="21"/>
        <v>-0.24959999999997251</v>
      </c>
      <c r="CC18" s="30">
        <f>CB18/(R20-R18)</f>
        <v>-0.24959999999997251</v>
      </c>
      <c r="CD18" s="30"/>
      <c r="CE18" s="36"/>
      <c r="CF18" s="8"/>
      <c r="CG18" s="37"/>
      <c r="CH18" s="37"/>
      <c r="CI18" s="8"/>
      <c r="CN18" s="29"/>
      <c r="CO18" s="29"/>
      <c r="CP18" s="7"/>
      <c r="CQ18" s="7"/>
      <c r="CR18" s="7"/>
      <c r="CS18" s="29"/>
      <c r="CT18" s="29"/>
      <c r="CU18" s="29"/>
      <c r="CZ18" s="7"/>
      <c r="DA18" s="7"/>
      <c r="DB18" s="7"/>
    </row>
    <row r="19" spans="1:106" x14ac:dyDescent="0.2">
      <c r="A19" s="17"/>
      <c r="B19" s="47" t="s">
        <v>246</v>
      </c>
      <c r="C19" s="47">
        <v>1.06E-2</v>
      </c>
      <c r="D19" s="47" t="s">
        <v>225</v>
      </c>
      <c r="E19" s="47">
        <v>9.5691900000000008</v>
      </c>
      <c r="F19" s="47"/>
      <c r="G19" s="47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W19" s="1">
        <v>1.605</v>
      </c>
      <c r="AA19" s="1">
        <v>8</v>
      </c>
      <c r="AB19" s="1">
        <f t="shared" si="2"/>
        <v>0</v>
      </c>
      <c r="AC19" s="1">
        <f t="shared" si="3"/>
        <v>0</v>
      </c>
      <c r="AE19" s="1">
        <f>FAMES!L20</f>
        <v>0</v>
      </c>
      <c r="AF19" s="28" t="e">
        <f t="shared" si="4"/>
        <v>#DIV/0!</v>
      </c>
      <c r="AG19" s="1" t="e">
        <f t="shared" si="5"/>
        <v>#DIV/0!</v>
      </c>
      <c r="AI19" s="29">
        <f t="shared" ref="AI19" si="25">$BF$15-BF19</f>
        <v>0.97949999999998738</v>
      </c>
      <c r="AJ19" s="1">
        <f t="shared" si="15"/>
        <v>0</v>
      </c>
      <c r="AK19" s="29">
        <f t="shared" si="6"/>
        <v>0</v>
      </c>
      <c r="AL19" s="8">
        <f t="shared" si="7"/>
        <v>0</v>
      </c>
      <c r="AM19" s="8">
        <f t="shared" si="16"/>
        <v>0</v>
      </c>
      <c r="AO19" s="29"/>
      <c r="AP19" s="1">
        <f t="shared" si="12"/>
        <v>0.48000000000000398</v>
      </c>
      <c r="AQ19" s="8">
        <f t="shared" si="23"/>
        <v>0.48000000000000398</v>
      </c>
      <c r="AR19" s="8">
        <f t="shared" si="17"/>
        <v>-0.75520833333318604</v>
      </c>
      <c r="AS19" s="29">
        <f t="shared" si="18"/>
        <v>-1.5733506944441245</v>
      </c>
      <c r="AT19" s="8">
        <f t="shared" si="24"/>
        <v>0</v>
      </c>
      <c r="AU19" s="34">
        <f t="shared" si="19"/>
        <v>0</v>
      </c>
      <c r="AV19" s="8"/>
      <c r="AW19" s="8">
        <f t="shared" si="20"/>
        <v>0</v>
      </c>
      <c r="BD19" s="1">
        <f t="shared" si="8"/>
        <v>0.106</v>
      </c>
      <c r="BE19" s="1">
        <f t="shared" si="9"/>
        <v>0</v>
      </c>
      <c r="BF19" s="1">
        <f t="shared" si="10"/>
        <v>95.691900000000004</v>
      </c>
      <c r="BG19" s="1" t="str">
        <f t="shared" si="0"/>
        <v/>
      </c>
      <c r="BH19" s="1" t="str">
        <f t="shared" si="0"/>
        <v/>
      </c>
      <c r="BI19" s="1" t="str">
        <f t="shared" si="0"/>
        <v/>
      </c>
      <c r="BJ19" s="1" t="str">
        <f t="shared" si="0"/>
        <v/>
      </c>
      <c r="BK19" s="1" t="str">
        <f t="shared" si="0"/>
        <v/>
      </c>
      <c r="BL19" s="1" t="str">
        <f t="shared" si="0"/>
        <v/>
      </c>
      <c r="BM19" s="1" t="str">
        <f t="shared" si="0"/>
        <v/>
      </c>
      <c r="BN19" s="1" t="str">
        <f t="shared" si="0"/>
        <v/>
      </c>
      <c r="BO19" s="1" t="str">
        <f t="shared" si="0"/>
        <v/>
      </c>
      <c r="BP19" s="20"/>
      <c r="BQ19" s="20" t="str">
        <f t="shared" si="13"/>
        <v>r2</v>
      </c>
      <c r="BR19" s="7"/>
      <c r="BS19" s="1" t="str">
        <f t="shared" si="1"/>
        <v>Jeff_SloHot50_Biostat 2L-30-6</v>
      </c>
      <c r="BT19" s="29"/>
      <c r="BU19" s="33"/>
      <c r="BV19" s="7"/>
      <c r="BW19" s="35"/>
      <c r="BX19" s="7"/>
      <c r="BY19" s="7">
        <f>$BF$15-BF19</f>
        <v>0.97949999999998738</v>
      </c>
      <c r="BZ19" s="7"/>
      <c r="CA19" s="7">
        <f t="shared" si="14"/>
        <v>0.1780909090909068</v>
      </c>
      <c r="CB19" s="7">
        <f t="shared" si="21"/>
        <v>0.48000000000000398</v>
      </c>
      <c r="CC19" s="30">
        <f>CB19/(R21-R19)</f>
        <v>0.48000000000000398</v>
      </c>
      <c r="CD19" s="30"/>
      <c r="CE19" s="36"/>
      <c r="CF19" s="8"/>
      <c r="CG19" s="37"/>
      <c r="CH19" s="37"/>
      <c r="CI19" s="8"/>
      <c r="CN19" s="29"/>
      <c r="CO19" s="29"/>
      <c r="CP19" s="7"/>
      <c r="CQ19" s="7"/>
      <c r="CR19" s="7"/>
      <c r="CS19" s="29"/>
      <c r="CT19" s="29"/>
      <c r="CU19" s="29"/>
      <c r="CZ19" s="7"/>
      <c r="DA19" s="7"/>
      <c r="DB19" s="7"/>
    </row>
    <row r="20" spans="1:106" x14ac:dyDescent="0.2">
      <c r="B20" s="47" t="s">
        <v>247</v>
      </c>
      <c r="C20" s="47">
        <v>8.7399999999999995E-3</v>
      </c>
      <c r="D20" s="47" t="s">
        <v>225</v>
      </c>
      <c r="E20" s="47">
        <v>9.5537899999999993</v>
      </c>
      <c r="F20" s="47"/>
      <c r="G20" s="47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0.625</v>
      </c>
      <c r="R20" s="1">
        <v>5.5</v>
      </c>
      <c r="S20" s="1" t="s">
        <v>226</v>
      </c>
      <c r="T20" s="1">
        <v>7</v>
      </c>
      <c r="U20" s="1">
        <v>8</v>
      </c>
      <c r="V20" s="1" t="s">
        <v>227</v>
      </c>
      <c r="W20" s="1">
        <v>23.2</v>
      </c>
      <c r="X20" s="1">
        <v>2</v>
      </c>
      <c r="Y20" s="1">
        <v>6.6165000000000003</v>
      </c>
      <c r="Z20" s="1">
        <v>6.6378000000000004</v>
      </c>
      <c r="AA20" s="1">
        <v>8</v>
      </c>
      <c r="AB20" s="1">
        <f t="shared" si="2"/>
        <v>2.1300000000000097E-2</v>
      </c>
      <c r="AC20" s="1">
        <f t="shared" si="3"/>
        <v>2.6625000000000121</v>
      </c>
      <c r="AD20" s="1">
        <v>8.9</v>
      </c>
      <c r="AE20" s="1">
        <f>FAMES!L21</f>
        <v>0.54499999999999993</v>
      </c>
      <c r="AF20" s="28">
        <f t="shared" si="4"/>
        <v>6.1235955056179764E-2</v>
      </c>
      <c r="AG20" s="1">
        <f t="shared" si="5"/>
        <v>0.16304073033707936</v>
      </c>
      <c r="AI20" s="29">
        <f t="shared" ref="AI20" si="26">$BF$14-BF20</f>
        <v>1.0631999999999948</v>
      </c>
      <c r="AJ20" s="1">
        <f t="shared" si="15"/>
        <v>0</v>
      </c>
      <c r="AK20" s="29">
        <f t="shared" si="6"/>
        <v>0</v>
      </c>
      <c r="AL20" s="8">
        <f t="shared" si="7"/>
        <v>0.48409090909091129</v>
      </c>
      <c r="AM20" s="8">
        <f t="shared" si="16"/>
        <v>2.5042325056433645</v>
      </c>
      <c r="AO20" s="29"/>
      <c r="AP20" s="1">
        <f t="shared" si="12"/>
        <v>0.91219999999998436</v>
      </c>
      <c r="AQ20" s="8">
        <f t="shared" si="23"/>
        <v>0.91219999999998436</v>
      </c>
      <c r="AR20" s="8">
        <f t="shared" si="17"/>
        <v>2.9187678140759239</v>
      </c>
      <c r="AS20" s="29">
        <f t="shared" si="18"/>
        <v>3.1997016159569984</v>
      </c>
      <c r="AT20" s="8">
        <f t="shared" si="24"/>
        <v>0</v>
      </c>
      <c r="AU20" s="34">
        <f t="shared" si="19"/>
        <v>0</v>
      </c>
      <c r="AV20" s="8"/>
      <c r="AW20" s="8">
        <f t="shared" si="20"/>
        <v>2.5042325056433645</v>
      </c>
      <c r="BD20" s="1">
        <f t="shared" si="8"/>
        <v>8.7400000000000005E-2</v>
      </c>
      <c r="BE20" s="1">
        <f t="shared" si="9"/>
        <v>0</v>
      </c>
      <c r="BF20" s="1">
        <f t="shared" si="10"/>
        <v>95.537899999999993</v>
      </c>
      <c r="BG20" s="1" t="str">
        <f t="shared" si="0"/>
        <v/>
      </c>
      <c r="BH20" s="1" t="str">
        <f t="shared" si="0"/>
        <v/>
      </c>
      <c r="BI20" s="1" t="str">
        <f t="shared" si="0"/>
        <v/>
      </c>
      <c r="BJ20" s="1" t="str">
        <f t="shared" si="0"/>
        <v/>
      </c>
      <c r="BK20" s="1" t="str">
        <f t="shared" si="0"/>
        <v/>
      </c>
      <c r="BL20" s="1" t="str">
        <f t="shared" si="0"/>
        <v/>
      </c>
      <c r="BM20" s="1" t="str">
        <f t="shared" si="0"/>
        <v/>
      </c>
      <c r="BN20" s="1" t="str">
        <f t="shared" si="0"/>
        <v/>
      </c>
      <c r="BO20" s="1" t="str">
        <f t="shared" si="0"/>
        <v/>
      </c>
      <c r="BP20" s="20"/>
      <c r="BQ20" s="20" t="str">
        <f t="shared" si="13"/>
        <v>r1</v>
      </c>
      <c r="BR20" s="7"/>
      <c r="BS20" s="1" t="str">
        <f t="shared" si="1"/>
        <v>Jeff_SloHot50_Biostat 2L-30-7</v>
      </c>
      <c r="BT20" s="29"/>
      <c r="BU20" s="33"/>
      <c r="BV20" s="7"/>
      <c r="BW20" s="35"/>
      <c r="BX20" s="7"/>
      <c r="BY20" s="7">
        <f>$BF$14-BF20</f>
        <v>1.0631999999999948</v>
      </c>
      <c r="BZ20" s="7"/>
      <c r="CA20" s="7">
        <f t="shared" si="14"/>
        <v>4.4299999999999784E-2</v>
      </c>
      <c r="CB20" s="7">
        <f t="shared" si="21"/>
        <v>0.91219999999998436</v>
      </c>
      <c r="CC20" s="30">
        <f>CB20/(R22-R20)</f>
        <v>4.9308108108107263E-2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7"/>
      <c r="DB20" s="7"/>
    </row>
    <row r="21" spans="1:106" x14ac:dyDescent="0.2">
      <c r="B21" s="47" t="s">
        <v>248</v>
      </c>
      <c r="C21" s="47">
        <v>1.091E-2</v>
      </c>
      <c r="D21" s="47" t="s">
        <v>225</v>
      </c>
      <c r="E21" s="47">
        <v>9.5339500000000008</v>
      </c>
      <c r="F21" s="47"/>
      <c r="G21" s="47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V21" s="1" t="s">
        <v>227</v>
      </c>
      <c r="W21" s="1">
        <v>20.76</v>
      </c>
      <c r="X21" s="1">
        <v>2</v>
      </c>
      <c r="Y21" s="4">
        <v>6.6098999999999997</v>
      </c>
      <c r="Z21" s="4">
        <v>6.6233000000000004</v>
      </c>
      <c r="AA21" s="1">
        <v>8</v>
      </c>
      <c r="AB21" s="1">
        <f>Z21-Y21</f>
        <v>1.3400000000000745E-2</v>
      </c>
      <c r="AC21" s="4">
        <f t="shared" si="3"/>
        <v>1.6750000000000931</v>
      </c>
      <c r="AD21" s="1">
        <v>8.5</v>
      </c>
      <c r="AE21" s="1">
        <f>FAMES!L22</f>
        <v>0.51450000000000007</v>
      </c>
      <c r="AF21" s="28">
        <f t="shared" si="4"/>
        <v>6.0529411764705887E-2</v>
      </c>
      <c r="AG21" s="1">
        <f t="shared" si="5"/>
        <v>0.10138676470588799</v>
      </c>
      <c r="AI21" s="29">
        <f t="shared" ref="AI21" si="27">$BF$15-BF21</f>
        <v>1.3318999999999903</v>
      </c>
      <c r="AJ21" s="1">
        <f t="shared" si="15"/>
        <v>0</v>
      </c>
      <c r="AK21" s="29">
        <f t="shared" si="6"/>
        <v>0</v>
      </c>
      <c r="AL21" s="8">
        <f t="shared" si="7"/>
        <v>0.30454545454547149</v>
      </c>
      <c r="AM21" s="8">
        <f t="shared" si="16"/>
        <v>1.2576019220663002</v>
      </c>
      <c r="AO21" s="29"/>
      <c r="AP21" s="1">
        <f t="shared" si="12"/>
        <v>0.35240000000000293</v>
      </c>
      <c r="AQ21" s="8">
        <f t="shared" si="23"/>
        <v>0.35240000000000293</v>
      </c>
      <c r="AR21" s="8">
        <f t="shared" si="17"/>
        <v>4.7531214528946624</v>
      </c>
      <c r="AS21" s="29">
        <f t="shared" si="18"/>
        <v>13.487858833412664</v>
      </c>
      <c r="AT21" s="8">
        <f t="shared" si="24"/>
        <v>0</v>
      </c>
      <c r="AU21" s="34">
        <f t="shared" si="19"/>
        <v>0</v>
      </c>
      <c r="AV21" s="8"/>
      <c r="AW21" s="8">
        <f t="shared" si="20"/>
        <v>1.2576019220663002</v>
      </c>
      <c r="BD21" s="1">
        <f t="shared" si="8"/>
        <v>0.1091</v>
      </c>
      <c r="BE21" s="1">
        <f t="shared" si="9"/>
        <v>0</v>
      </c>
      <c r="BF21" s="1">
        <f t="shared" si="10"/>
        <v>95.339500000000001</v>
      </c>
      <c r="BG21" s="1" t="str">
        <f t="shared" si="0"/>
        <v/>
      </c>
      <c r="BH21" s="1" t="str">
        <f t="shared" si="0"/>
        <v/>
      </c>
      <c r="BI21" s="1" t="str">
        <f t="shared" si="0"/>
        <v/>
      </c>
      <c r="BJ21" s="1" t="str">
        <f t="shared" si="0"/>
        <v/>
      </c>
      <c r="BK21" s="1" t="str">
        <f t="shared" si="0"/>
        <v/>
      </c>
      <c r="BL21" s="1" t="str">
        <f t="shared" si="0"/>
        <v/>
      </c>
      <c r="BM21" s="1" t="str">
        <f t="shared" si="0"/>
        <v/>
      </c>
      <c r="BN21" s="1" t="str">
        <f t="shared" si="0"/>
        <v/>
      </c>
      <c r="BO21" s="1" t="str">
        <f t="shared" si="0"/>
        <v/>
      </c>
      <c r="BP21" s="20"/>
      <c r="BQ21" s="20" t="str">
        <f t="shared" si="13"/>
        <v>r2</v>
      </c>
      <c r="BR21" s="7"/>
      <c r="BS21" s="1" t="str">
        <f t="shared" si="1"/>
        <v>Jeff_SloHot50_Biostat 2L-30-8</v>
      </c>
      <c r="BT21" s="29"/>
      <c r="BU21" s="33"/>
      <c r="BV21" s="7"/>
      <c r="BW21" s="35"/>
      <c r="BX21" s="7"/>
      <c r="BY21" s="7">
        <f>$BF$15-BF21</f>
        <v>1.3318999999999903</v>
      </c>
      <c r="BZ21" s="7"/>
      <c r="CA21" s="7">
        <f t="shared" si="14"/>
        <v>5.5495833333332932E-2</v>
      </c>
      <c r="CB21" s="7">
        <f t="shared" si="21"/>
        <v>0.35240000000000293</v>
      </c>
      <c r="CC21" s="30">
        <f>CB21/(R23-R21)</f>
        <v>1.9048648648648806E-2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7"/>
      <c r="DB21" s="7"/>
    </row>
    <row r="22" spans="1:106" x14ac:dyDescent="0.2">
      <c r="B22" s="47" t="s">
        <v>249</v>
      </c>
      <c r="C22" s="47">
        <v>3.6569999999999998E-2</v>
      </c>
      <c r="D22" s="47">
        <v>0.27772999999999998</v>
      </c>
      <c r="E22" s="47">
        <v>7.4713599999999998</v>
      </c>
      <c r="F22" s="47"/>
      <c r="G22" s="47" t="s">
        <v>225</v>
      </c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45672</v>
      </c>
      <c r="Q22" s="3">
        <v>0.39583333333333331</v>
      </c>
      <c r="R22" s="1">
        <v>24</v>
      </c>
      <c r="S22" s="1" t="s">
        <v>226</v>
      </c>
      <c r="T22" s="1">
        <v>9</v>
      </c>
      <c r="U22" s="1">
        <v>8</v>
      </c>
      <c r="V22" s="1" t="s">
        <v>227</v>
      </c>
      <c r="W22" s="1">
        <v>29.28</v>
      </c>
      <c r="X22" s="1">
        <v>43</v>
      </c>
      <c r="Y22" s="1">
        <v>6.6185999999999998</v>
      </c>
      <c r="Z22" s="1">
        <v>6.7220000000000004</v>
      </c>
      <c r="AA22" s="1">
        <v>8</v>
      </c>
      <c r="AB22" s="1">
        <f t="shared" si="2"/>
        <v>0.1034000000000006</v>
      </c>
      <c r="AC22" s="1">
        <f t="shared" si="3"/>
        <v>12.925000000000075</v>
      </c>
      <c r="AD22" s="1">
        <v>17.100000000000001</v>
      </c>
      <c r="AE22" s="1">
        <f>FAMES!L23</f>
        <v>1.135</v>
      </c>
      <c r="AF22" s="28">
        <f t="shared" si="4"/>
        <v>6.6374269005847947E-2</v>
      </c>
      <c r="AG22" s="1">
        <f t="shared" si="5"/>
        <v>0.85788742690058972</v>
      </c>
      <c r="AI22" s="29">
        <f t="shared" ref="AI22" si="28">$BF$14-BF22</f>
        <v>21.887499999999989</v>
      </c>
      <c r="AJ22" s="1">
        <f t="shared" si="15"/>
        <v>0.11572083333333331</v>
      </c>
      <c r="AK22" s="29">
        <f t="shared" si="6"/>
        <v>0.1268897772701314</v>
      </c>
      <c r="AL22" s="8">
        <f t="shared" si="7"/>
        <v>0.5385416666666698</v>
      </c>
      <c r="AM22" s="8">
        <f t="shared" si="16"/>
        <v>0.59051970302684553</v>
      </c>
      <c r="AO22" s="29"/>
      <c r="AP22" s="1">
        <f t="shared" si="12"/>
        <v>20.824299999999994</v>
      </c>
      <c r="AQ22" s="8">
        <f t="shared" si="23"/>
        <v>1.1256378378378376</v>
      </c>
      <c r="AR22" s="8">
        <f t="shared" si="17"/>
        <v>0.49281368401339137</v>
      </c>
      <c r="AS22" s="29">
        <f t="shared" si="18"/>
        <v>0.43780838511967957</v>
      </c>
      <c r="AT22" s="8">
        <f t="shared" si="24"/>
        <v>0.13336822846386195</v>
      </c>
      <c r="AU22" s="34">
        <f t="shared" si="19"/>
        <v>6.4044519366250963E-3</v>
      </c>
      <c r="AV22" s="8"/>
      <c r="AW22" s="8">
        <f t="shared" si="20"/>
        <v>0.71740948029697693</v>
      </c>
      <c r="BD22" s="1">
        <f t="shared" si="8"/>
        <v>0.36570000000000003</v>
      </c>
      <c r="BE22" s="1">
        <f t="shared" si="9"/>
        <v>2.7772999999999994</v>
      </c>
      <c r="BF22" s="1">
        <f t="shared" si="10"/>
        <v>74.7136</v>
      </c>
      <c r="BG22" s="1" t="str">
        <f t="shared" si="0"/>
        <v/>
      </c>
      <c r="BH22" s="1" t="str">
        <f t="shared" si="0"/>
        <v/>
      </c>
      <c r="BI22" s="1" t="str">
        <f t="shared" si="0"/>
        <v/>
      </c>
      <c r="BJ22" s="1" t="str">
        <f t="shared" si="0"/>
        <v/>
      </c>
      <c r="BK22" s="1" t="str">
        <f t="shared" si="0"/>
        <v/>
      </c>
      <c r="BL22" s="1" t="str">
        <f t="shared" si="0"/>
        <v/>
      </c>
      <c r="BM22" s="1" t="str">
        <f t="shared" si="0"/>
        <v/>
      </c>
      <c r="BN22" s="1" t="str">
        <f t="shared" si="0"/>
        <v/>
      </c>
      <c r="BO22" s="1" t="str">
        <f t="shared" si="0"/>
        <v/>
      </c>
      <c r="BP22" s="20"/>
      <c r="BQ22" s="20" t="str">
        <f t="shared" ref="BQ22:BQ29" si="29">S24</f>
        <v>r1</v>
      </c>
      <c r="BR22" s="7"/>
      <c r="BS22" s="1" t="e">
        <f>#REF!</f>
        <v>#REF!</v>
      </c>
      <c r="BT22" s="29"/>
      <c r="BU22" s="33"/>
      <c r="BV22" s="7"/>
      <c r="BW22" s="7"/>
      <c r="BX22" s="7"/>
      <c r="BY22" s="7">
        <f>$BF$14-BF22</f>
        <v>21.887499999999989</v>
      </c>
      <c r="BZ22" s="7"/>
      <c r="CA22" s="7">
        <f>BY22/R26</f>
        <v>0.4607894736842103</v>
      </c>
      <c r="CB22" s="7">
        <f t="shared" si="21"/>
        <v>20.824299999999994</v>
      </c>
      <c r="CC22" s="30">
        <f>CB22/(R26-R22)</f>
        <v>0.88614042553191463</v>
      </c>
      <c r="CD22" s="30">
        <f>AC22-AC16</f>
        <v>12.325000000000031</v>
      </c>
      <c r="CE22" s="36">
        <f>CD22/CB22</f>
        <v>0.59185662903435099</v>
      </c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47" t="s">
        <v>250</v>
      </c>
      <c r="C23" s="47">
        <v>3.2750000000000001E-2</v>
      </c>
      <c r="D23" s="47">
        <v>1.038E-2</v>
      </c>
      <c r="E23" s="47">
        <v>8.2870399999999993</v>
      </c>
      <c r="F23" s="47"/>
      <c r="G23" s="47" t="s">
        <v>225</v>
      </c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V23" s="1" t="s">
        <v>227</v>
      </c>
      <c r="W23" s="1">
        <v>26.68</v>
      </c>
      <c r="X23" s="1">
        <v>17</v>
      </c>
      <c r="Y23" s="1">
        <v>6.5959000000000003</v>
      </c>
      <c r="Z23" s="1">
        <v>6.6692999999999998</v>
      </c>
      <c r="AA23" s="1">
        <v>8</v>
      </c>
      <c r="AB23" s="1">
        <f t="shared" si="2"/>
        <v>7.3399999999999466E-2</v>
      </c>
      <c r="AC23" s="1">
        <f t="shared" si="3"/>
        <v>9.1749999999999332</v>
      </c>
      <c r="AD23" s="1">
        <v>16.100000000000001</v>
      </c>
      <c r="AE23" s="1">
        <f>FAMES!L24</f>
        <v>1.2689999999999999</v>
      </c>
      <c r="AF23" s="28">
        <f t="shared" si="4"/>
        <v>7.8819875776397499E-2</v>
      </c>
      <c r="AG23" s="1">
        <f t="shared" si="5"/>
        <v>0.72317236024844178</v>
      </c>
      <c r="AI23" s="29">
        <f t="shared" ref="AI23" si="30">$BF$15-BF23</f>
        <v>13.801000000000002</v>
      </c>
      <c r="AJ23" s="1">
        <f t="shared" si="15"/>
        <v>4.3249999999999999E-3</v>
      </c>
      <c r="AK23" s="29">
        <f t="shared" si="6"/>
        <v>7.5211941163683786E-3</v>
      </c>
      <c r="AL23" s="8">
        <f t="shared" si="7"/>
        <v>0.38229166666666387</v>
      </c>
      <c r="AM23" s="8">
        <f t="shared" si="16"/>
        <v>0.66480689805086091</v>
      </c>
      <c r="AO23" s="29"/>
      <c r="AP23" s="1">
        <f t="shared" si="12"/>
        <v>12.469100000000012</v>
      </c>
      <c r="AQ23" s="8">
        <f t="shared" si="23"/>
        <v>0.67400540540540599</v>
      </c>
      <c r="AR23" s="8">
        <f t="shared" si="17"/>
        <v>0.60148687555636193</v>
      </c>
      <c r="AS23" s="29">
        <f t="shared" si="18"/>
        <v>0.89240660495085344</v>
      </c>
      <c r="AT23" s="8">
        <f t="shared" si="24"/>
        <v>8.324578357700228E-3</v>
      </c>
      <c r="AU23" s="34">
        <f t="shared" si="19"/>
        <v>6.6761661689297702E-4</v>
      </c>
      <c r="AV23" s="8"/>
      <c r="AW23" s="8">
        <f t="shared" si="20"/>
        <v>0.67232809216722933</v>
      </c>
      <c r="BD23" s="1">
        <f t="shared" si="8"/>
        <v>0.32750000000000001</v>
      </c>
      <c r="BE23" s="1">
        <f t="shared" si="9"/>
        <v>0.1038</v>
      </c>
      <c r="BF23" s="1">
        <f t="shared" si="10"/>
        <v>82.870399999999989</v>
      </c>
      <c r="BG23" s="1" t="str">
        <f t="shared" si="0"/>
        <v/>
      </c>
      <c r="BH23" s="1" t="str">
        <f t="shared" si="0"/>
        <v/>
      </c>
      <c r="BI23" s="1" t="str">
        <f t="shared" si="0"/>
        <v/>
      </c>
      <c r="BJ23" s="1" t="str">
        <f t="shared" si="0"/>
        <v/>
      </c>
      <c r="BK23" s="1" t="str">
        <f t="shared" si="0"/>
        <v/>
      </c>
      <c r="BL23" s="1" t="str">
        <f t="shared" si="0"/>
        <v/>
      </c>
      <c r="BM23" s="1" t="str">
        <f t="shared" si="0"/>
        <v/>
      </c>
      <c r="BN23" s="1" t="str">
        <f t="shared" si="0"/>
        <v/>
      </c>
      <c r="BO23" s="1" t="str">
        <f t="shared" si="0"/>
        <v/>
      </c>
      <c r="BP23" s="20"/>
      <c r="BQ23" s="20" t="str">
        <f t="shared" si="29"/>
        <v>r2</v>
      </c>
      <c r="BR23" s="7"/>
      <c r="BS23" s="1" t="e">
        <f>#REF!</f>
        <v>#REF!</v>
      </c>
      <c r="BT23" s="29"/>
      <c r="BU23" s="33"/>
      <c r="BV23" s="7"/>
      <c r="BW23" s="7"/>
      <c r="BX23" s="7"/>
      <c r="BY23" s="7">
        <f>$BF$15-BF23</f>
        <v>13.801000000000002</v>
      </c>
      <c r="BZ23" s="7"/>
      <c r="CA23" s="7">
        <f>BY23/R27</f>
        <v>0.29054736842105267</v>
      </c>
      <c r="CB23" s="7">
        <f t="shared" si="21"/>
        <v>12.469100000000012</v>
      </c>
      <c r="CC23" s="30">
        <f>CB23/(R27-R23)</f>
        <v>0.53060000000000052</v>
      </c>
      <c r="CD23" s="30">
        <f>AC23-AC17</f>
        <v>8.8125</v>
      </c>
      <c r="CE23" s="36">
        <f>CD23/CB23</f>
        <v>0.70674707877874043</v>
      </c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A24" s="17"/>
      <c r="B24" s="47" t="s">
        <v>251</v>
      </c>
      <c r="C24" s="47">
        <v>3.6020000000000003E-2</v>
      </c>
      <c r="D24" s="47">
        <v>0.69628999999999996</v>
      </c>
      <c r="E24" s="47">
        <v>6.5603999999999996</v>
      </c>
      <c r="F24" s="47"/>
      <c r="G24" s="47" t="s">
        <v>225</v>
      </c>
      <c r="H24" s="17" t="s">
        <v>225</v>
      </c>
      <c r="I24" s="17" t="s">
        <v>225</v>
      </c>
      <c r="J24" s="17" t="s">
        <v>225</v>
      </c>
      <c r="K24" s="17" t="s">
        <v>225</v>
      </c>
      <c r="L24" s="17" t="s">
        <v>225</v>
      </c>
      <c r="M24" s="17"/>
      <c r="N24" s="17"/>
      <c r="P24" s="2"/>
      <c r="Q24" s="3">
        <v>0.70833333333333337</v>
      </c>
      <c r="R24" s="1">
        <f>R23+5+2.5</f>
        <v>31.5</v>
      </c>
      <c r="S24" s="1" t="s">
        <v>226</v>
      </c>
      <c r="T24" s="1">
        <v>11</v>
      </c>
      <c r="U24" s="1">
        <v>8</v>
      </c>
      <c r="V24" s="1" t="s">
        <v>227</v>
      </c>
      <c r="W24" s="1">
        <v>29.28</v>
      </c>
      <c r="X24" s="1">
        <v>75</v>
      </c>
      <c r="Y24" s="1">
        <v>6.5960000000000001</v>
      </c>
      <c r="Z24" s="1">
        <v>6.7131999999999996</v>
      </c>
      <c r="AA24" s="1">
        <v>8</v>
      </c>
      <c r="AB24" s="1">
        <f t="shared" si="2"/>
        <v>0.11719999999999953</v>
      </c>
      <c r="AC24" s="1">
        <f t="shared" si="3"/>
        <v>14.64999999999994</v>
      </c>
      <c r="AD24" s="1">
        <v>14.6</v>
      </c>
      <c r="AE24" s="1">
        <f>FAMES!L25</f>
        <v>1.6624999999999999</v>
      </c>
      <c r="AF24" s="28">
        <f t="shared" si="4"/>
        <v>0.11386986301369863</v>
      </c>
      <c r="AG24" s="1">
        <f t="shared" si="5"/>
        <v>1.6681934931506781</v>
      </c>
      <c r="AI24" s="29">
        <f t="shared" ref="AI24" si="31">$BF$14-BF24</f>
        <v>30.997099999999989</v>
      </c>
      <c r="AJ24" s="1">
        <f t="shared" si="15"/>
        <v>0.22104444444444443</v>
      </c>
      <c r="AK24" s="29">
        <f t="shared" si="6"/>
        <v>0.22463069125821453</v>
      </c>
      <c r="AL24" s="8">
        <f t="shared" si="7"/>
        <v>0.46507936507936315</v>
      </c>
      <c r="AM24" s="8">
        <f t="shared" si="16"/>
        <v>0.47262485845449881</v>
      </c>
      <c r="AO24" s="29"/>
      <c r="AP24" s="1">
        <f t="shared" si="12"/>
        <v>9.1096000000000004</v>
      </c>
      <c r="AQ24" s="8">
        <f t="shared" si="23"/>
        <v>1.2146133333333333</v>
      </c>
      <c r="AR24" s="8">
        <f t="shared" si="17"/>
        <v>0.18936067445330909</v>
      </c>
      <c r="AS24" s="29">
        <f t="shared" si="18"/>
        <v>0.1559020218670214</v>
      </c>
      <c r="AT24" s="8">
        <f t="shared" si="24"/>
        <v>0.45947132695178711</v>
      </c>
      <c r="AU24" s="34">
        <f t="shared" si="19"/>
        <v>5.0438145138292249E-2</v>
      </c>
      <c r="AV24" s="8"/>
      <c r="AW24" s="8">
        <f t="shared" si="20"/>
        <v>0.69725554971271331</v>
      </c>
      <c r="BD24" s="1">
        <f t="shared" si="8"/>
        <v>0.36020000000000002</v>
      </c>
      <c r="BE24" s="1">
        <f>IF(ISNUMBER(D24),D24*1000/100,0)</f>
        <v>6.9628999999999994</v>
      </c>
      <c r="BF24" s="1">
        <f t="shared" si="10"/>
        <v>65.603999999999999</v>
      </c>
      <c r="BG24" s="1" t="str">
        <f t="shared" si="0"/>
        <v/>
      </c>
      <c r="BH24" s="1" t="str">
        <f t="shared" si="0"/>
        <v/>
      </c>
      <c r="BI24" s="1" t="str">
        <f t="shared" si="0"/>
        <v/>
      </c>
      <c r="BJ24" s="1" t="str">
        <f t="shared" si="0"/>
        <v/>
      </c>
      <c r="BK24" s="1" t="str">
        <f t="shared" si="0"/>
        <v/>
      </c>
      <c r="BL24" s="1" t="str">
        <f t="shared" si="0"/>
        <v/>
      </c>
      <c r="BM24" s="1" t="str">
        <f t="shared" si="0"/>
        <v/>
      </c>
      <c r="BN24" s="1" t="str">
        <f t="shared" si="0"/>
        <v/>
      </c>
      <c r="BO24" s="1" t="str">
        <f t="shared" si="0"/>
        <v/>
      </c>
      <c r="BP24" s="20"/>
      <c r="BQ24" s="20" t="str">
        <f t="shared" si="29"/>
        <v>r1</v>
      </c>
      <c r="BR24" s="7"/>
      <c r="BS24" s="1" t="str">
        <f t="shared" ref="BS24:BS31" si="32">B22</f>
        <v>Jeff_SloHot50_Biostat 2L-30-9</v>
      </c>
      <c r="BT24" s="29"/>
      <c r="BU24" s="33"/>
      <c r="BV24" s="7"/>
      <c r="BW24" s="7"/>
      <c r="BX24" s="7"/>
      <c r="BY24" s="7">
        <f>$BF$14-BF24</f>
        <v>30.997099999999989</v>
      </c>
      <c r="BZ24" s="7"/>
      <c r="CA24" s="7" t="e">
        <f>BY24/#REF!</f>
        <v>#REF!</v>
      </c>
      <c r="CB24" s="7">
        <f t="shared" si="21"/>
        <v>9.1096000000000004</v>
      </c>
      <c r="CC24" s="30" t="e">
        <f>CB24/(#REF!-R26)</f>
        <v>#REF!</v>
      </c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A25" s="18"/>
      <c r="B25" s="47" t="s">
        <v>252</v>
      </c>
      <c r="C25" s="47">
        <v>3.4470000000000001E-2</v>
      </c>
      <c r="D25" s="47">
        <v>5.8749999999999997E-2</v>
      </c>
      <c r="E25" s="47">
        <v>7.8193099999999998</v>
      </c>
      <c r="F25" s="47"/>
      <c r="G25" s="47" t="s">
        <v>225</v>
      </c>
      <c r="H25" s="17" t="s">
        <v>225</v>
      </c>
      <c r="I25" s="17" t="s">
        <v>225</v>
      </c>
      <c r="J25" s="17" t="s">
        <v>225</v>
      </c>
      <c r="K25" s="17" t="s">
        <v>225</v>
      </c>
      <c r="L25" s="17" t="s">
        <v>225</v>
      </c>
      <c r="M25" s="17"/>
      <c r="N25" s="17"/>
      <c r="P25" s="2"/>
      <c r="Q25" s="3"/>
      <c r="R25" s="1">
        <v>31.5</v>
      </c>
      <c r="S25" s="1" t="s">
        <v>228</v>
      </c>
      <c r="T25" s="1">
        <v>12</v>
      </c>
      <c r="U25" s="1">
        <v>8</v>
      </c>
      <c r="V25" s="1" t="s">
        <v>227</v>
      </c>
      <c r="W25" s="1">
        <v>26.68</v>
      </c>
      <c r="X25" s="1">
        <v>21</v>
      </c>
      <c r="Y25" s="1">
        <v>6.6043000000000003</v>
      </c>
      <c r="Z25" s="1">
        <v>6.7008999999999999</v>
      </c>
      <c r="AA25" s="1">
        <v>8</v>
      </c>
      <c r="AB25" s="1">
        <f t="shared" si="2"/>
        <v>9.6599999999999575E-2</v>
      </c>
      <c r="AC25" s="1">
        <f t="shared" si="3"/>
        <v>12.074999999999946</v>
      </c>
      <c r="AD25" s="1">
        <v>18.100000000000001</v>
      </c>
      <c r="AE25" s="1">
        <f>FAMES!L26</f>
        <v>1.7095</v>
      </c>
      <c r="AF25" s="28">
        <f t="shared" si="4"/>
        <v>9.4447513812154688E-2</v>
      </c>
      <c r="AG25" s="1">
        <f t="shared" si="5"/>
        <v>1.1404537292817627</v>
      </c>
      <c r="AI25" s="29">
        <f t="shared" ref="AI25" si="33">$BF$15-BF25</f>
        <v>18.47829999999999</v>
      </c>
      <c r="AJ25" s="1">
        <f t="shared" si="15"/>
        <v>1.865079365079365E-2</v>
      </c>
      <c r="AK25" s="29">
        <f t="shared" si="6"/>
        <v>3.1794050318481697E-2</v>
      </c>
      <c r="AL25" s="8">
        <f t="shared" si="7"/>
        <v>0.38333333333333164</v>
      </c>
      <c r="AM25" s="8">
        <f t="shared" si="16"/>
        <v>0.65346920441815282</v>
      </c>
      <c r="AO25" s="29"/>
      <c r="AP25" s="1">
        <f t="shared" si="12"/>
        <v>4.6772999999999882</v>
      </c>
      <c r="AQ25" s="8">
        <f t="shared" si="23"/>
        <v>0.62363999999999842</v>
      </c>
      <c r="AR25" s="8">
        <f t="shared" si="17"/>
        <v>0.62001582109337017</v>
      </c>
      <c r="AS25" s="29">
        <f t="shared" si="18"/>
        <v>0.99418866829159735</v>
      </c>
      <c r="AT25" s="8">
        <f t="shared" si="24"/>
        <v>0.10341436298719373</v>
      </c>
      <c r="AU25" s="34">
        <f t="shared" si="19"/>
        <v>2.2109841786328435E-2</v>
      </c>
      <c r="AV25" s="8"/>
      <c r="AW25" s="8">
        <f t="shared" si="20"/>
        <v>0.68526325473663452</v>
      </c>
      <c r="BD25" s="1">
        <f t="shared" si="8"/>
        <v>0.34470000000000001</v>
      </c>
      <c r="BE25" s="1">
        <f t="shared" si="9"/>
        <v>0.58750000000000002</v>
      </c>
      <c r="BF25" s="1">
        <f t="shared" si="10"/>
        <v>78.193100000000001</v>
      </c>
      <c r="BG25" s="1" t="str">
        <f t="shared" si="0"/>
        <v/>
      </c>
      <c r="BH25" s="1" t="str">
        <f t="shared" si="0"/>
        <v/>
      </c>
      <c r="BI25" s="1" t="str">
        <f t="shared" si="0"/>
        <v/>
      </c>
      <c r="BJ25" s="1" t="str">
        <f t="shared" si="0"/>
        <v/>
      </c>
      <c r="BK25" s="1" t="str">
        <f t="shared" si="0"/>
        <v/>
      </c>
      <c r="BL25" s="1" t="str">
        <f t="shared" si="0"/>
        <v/>
      </c>
      <c r="BM25" s="1" t="str">
        <f t="shared" si="0"/>
        <v/>
      </c>
      <c r="BN25" s="1" t="str">
        <f t="shared" si="0"/>
        <v/>
      </c>
      <c r="BO25" s="1" t="str">
        <f t="shared" si="0"/>
        <v/>
      </c>
      <c r="BP25" s="20"/>
      <c r="BQ25" s="20" t="str">
        <f t="shared" si="29"/>
        <v>r2</v>
      </c>
      <c r="BR25" s="7"/>
      <c r="BS25" s="1" t="str">
        <f t="shared" si="32"/>
        <v>Jeff_SloHot50_Biostat 2L-30-10</v>
      </c>
      <c r="BT25" s="7"/>
      <c r="BU25" s="33"/>
      <c r="BV25" s="7"/>
      <c r="BW25" s="7"/>
      <c r="BX25" s="7"/>
      <c r="BY25" s="7">
        <f>$BF$15-BF25</f>
        <v>18.47829999999999</v>
      </c>
      <c r="BZ25" s="7"/>
      <c r="CA25" s="7" t="e">
        <f>BY25/#REF!</f>
        <v>#REF!</v>
      </c>
      <c r="CB25" s="7">
        <f t="shared" si="21"/>
        <v>4.6772999999999882</v>
      </c>
      <c r="CC25" s="30" t="e">
        <f>CB25/(#REF!-R27)</f>
        <v>#REF!</v>
      </c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29"/>
      <c r="CT25" s="29"/>
      <c r="CU25" s="29"/>
      <c r="CZ25" s="7"/>
      <c r="DA25" s="8"/>
      <c r="DB25" s="7"/>
    </row>
    <row r="26" spans="1:106" x14ac:dyDescent="0.2">
      <c r="B26" s="47" t="s">
        <v>253</v>
      </c>
      <c r="C26" s="47">
        <v>3.3160000000000002E-2</v>
      </c>
      <c r="D26" s="47">
        <v>1.6698599999999999</v>
      </c>
      <c r="E26" s="47">
        <v>4.7626999999999997</v>
      </c>
      <c r="F26" s="47"/>
      <c r="G26" s="47" t="s">
        <v>225</v>
      </c>
      <c r="H26" s="17" t="s">
        <v>225</v>
      </c>
      <c r="I26" s="17" t="s">
        <v>225</v>
      </c>
      <c r="J26" s="17" t="s">
        <v>225</v>
      </c>
      <c r="K26" s="17" t="s">
        <v>225</v>
      </c>
      <c r="L26" s="17" t="s">
        <v>225</v>
      </c>
      <c r="M26" s="17"/>
      <c r="N26" s="17"/>
      <c r="P26" s="2">
        <v>45673</v>
      </c>
      <c r="Q26" s="3">
        <v>0.38194444444444442</v>
      </c>
      <c r="R26" s="1">
        <v>47.5</v>
      </c>
      <c r="S26" s="1" t="s">
        <v>226</v>
      </c>
      <c r="T26" s="1">
        <v>13</v>
      </c>
      <c r="U26" s="1">
        <v>8</v>
      </c>
      <c r="V26" s="1" t="s">
        <v>227</v>
      </c>
      <c r="W26" s="1">
        <v>29.04</v>
      </c>
      <c r="X26" s="1">
        <v>38</v>
      </c>
      <c r="Y26" s="1">
        <v>6.6295000000000002</v>
      </c>
      <c r="Z26" s="1">
        <v>6.7527999999999997</v>
      </c>
      <c r="AA26" s="1">
        <v>8</v>
      </c>
      <c r="AB26" s="1">
        <f t="shared" si="2"/>
        <v>0.12329999999999952</v>
      </c>
      <c r="AC26" s="1">
        <f t="shared" si="3"/>
        <v>15.412499999999939</v>
      </c>
      <c r="AD26" s="1">
        <v>17.5</v>
      </c>
      <c r="AE26" s="1">
        <f>FAMES!L27</f>
        <v>1.909</v>
      </c>
      <c r="AF26" s="28">
        <f t="shared" si="4"/>
        <v>0.10908571428571429</v>
      </c>
      <c r="AG26" s="1">
        <f t="shared" si="5"/>
        <v>1.6812835714285648</v>
      </c>
      <c r="AI26" s="29">
        <f t="shared" ref="AI26" si="34">$BF$14-BF26</f>
        <v>48.974099999999993</v>
      </c>
      <c r="AJ26" s="1">
        <f t="shared" si="15"/>
        <v>0.35154947368421052</v>
      </c>
      <c r="AK26" s="29">
        <f t="shared" si="6"/>
        <v>0.34096798103487358</v>
      </c>
      <c r="AL26" s="8">
        <f t="shared" si="7"/>
        <v>0.32447368421052503</v>
      </c>
      <c r="AM26" s="8">
        <f t="shared" si="16"/>
        <v>0.31470716154048656</v>
      </c>
      <c r="AO26" s="29"/>
      <c r="AP26" s="1">
        <f t="shared" si="12"/>
        <v>17.977000000000004</v>
      </c>
      <c r="AQ26" s="8">
        <f t="shared" si="23"/>
        <v>1.1235625000000002</v>
      </c>
      <c r="AR26" s="8">
        <f t="shared" si="17"/>
        <v>4.2415308449685662E-2</v>
      </c>
      <c r="AS26" s="29">
        <f t="shared" si="18"/>
        <v>3.7750733448015265E-2</v>
      </c>
      <c r="AT26" s="8">
        <f t="shared" si="24"/>
        <v>0.54156422094899026</v>
      </c>
      <c r="AU26" s="34">
        <f t="shared" si="19"/>
        <v>3.0125394723757588E-2</v>
      </c>
      <c r="AV26" s="8"/>
      <c r="AW26" s="8">
        <f t="shared" si="20"/>
        <v>0.65567514257536019</v>
      </c>
      <c r="BD26" s="1">
        <f t="shared" si="8"/>
        <v>0.33160000000000006</v>
      </c>
      <c r="BE26" s="1">
        <f t="shared" si="9"/>
        <v>16.698599999999999</v>
      </c>
      <c r="BF26" s="1">
        <f t="shared" si="10"/>
        <v>47.626999999999995</v>
      </c>
      <c r="BG26" s="1" t="str">
        <f t="shared" si="0"/>
        <v/>
      </c>
      <c r="BH26" s="1" t="str">
        <f t="shared" si="0"/>
        <v/>
      </c>
      <c r="BI26" s="1" t="str">
        <f t="shared" si="0"/>
        <v/>
      </c>
      <c r="BJ26" s="1" t="str">
        <f t="shared" si="0"/>
        <v/>
      </c>
      <c r="BK26" s="1" t="str">
        <f t="shared" si="0"/>
        <v/>
      </c>
      <c r="BL26" s="1" t="str">
        <f t="shared" si="0"/>
        <v/>
      </c>
      <c r="BM26" s="1" t="str">
        <f t="shared" si="0"/>
        <v/>
      </c>
      <c r="BN26" s="1" t="str">
        <f t="shared" si="0"/>
        <v/>
      </c>
      <c r="BO26" s="1" t="str">
        <f t="shared" si="0"/>
        <v/>
      </c>
      <c r="BP26" s="20"/>
      <c r="BQ26" s="20" t="str">
        <f t="shared" si="29"/>
        <v>r1</v>
      </c>
      <c r="BR26" s="7"/>
      <c r="BS26" s="1" t="str">
        <f t="shared" si="32"/>
        <v>Jeff_SloHot50_Biostat 2L-30-11</v>
      </c>
      <c r="BT26" s="7"/>
      <c r="BU26" s="33"/>
      <c r="BV26" s="7"/>
      <c r="BW26" s="7"/>
      <c r="BX26" s="7"/>
      <c r="BY26" s="7">
        <f t="shared" ref="BY26:BY29" si="35">$BF$15-BF26</f>
        <v>49.044399999999996</v>
      </c>
      <c r="BZ26" s="7"/>
      <c r="CA26" s="7">
        <f>BY26/R28</f>
        <v>0.89578812785388118</v>
      </c>
      <c r="CB26" s="7">
        <f t="shared" si="21"/>
        <v>18.047300000000007</v>
      </c>
      <c r="CC26" s="30" t="e">
        <f>CB26/(R28-#REF!)</f>
        <v>#REF!</v>
      </c>
      <c r="CD26" s="30"/>
      <c r="CE26" s="36"/>
      <c r="CF26" s="8"/>
      <c r="CG26" s="37"/>
      <c r="CH26" s="37"/>
      <c r="CI26" s="8"/>
      <c r="CN26" s="8"/>
      <c r="CO26" s="29"/>
      <c r="CP26" s="7"/>
      <c r="CQ26" s="7"/>
      <c r="CR26" s="7"/>
      <c r="CS26" s="29"/>
      <c r="CT26" s="29"/>
      <c r="CU26" s="29"/>
      <c r="CY26" s="4"/>
      <c r="CZ26" s="7"/>
      <c r="DA26" s="8"/>
      <c r="DB26" s="7"/>
    </row>
    <row r="27" spans="1:106" x14ac:dyDescent="0.2">
      <c r="B27" s="47" t="s">
        <v>254</v>
      </c>
      <c r="C27" s="47">
        <v>3.422E-2</v>
      </c>
      <c r="D27" s="47">
        <v>0.33534999999999998</v>
      </c>
      <c r="E27" s="47">
        <v>6.8581099999999999</v>
      </c>
      <c r="F27" s="47"/>
      <c r="G27" s="47" t="s">
        <v>225</v>
      </c>
      <c r="H27" s="17" t="s">
        <v>225</v>
      </c>
      <c r="I27" s="17" t="s">
        <v>225</v>
      </c>
      <c r="J27" s="17" t="s">
        <v>225</v>
      </c>
      <c r="K27" s="17" t="s">
        <v>225</v>
      </c>
      <c r="L27" s="17" t="s">
        <v>225</v>
      </c>
      <c r="M27" s="17"/>
      <c r="N27" s="17"/>
      <c r="P27" s="2"/>
      <c r="Q27" s="3"/>
      <c r="R27" s="1">
        <v>47.5</v>
      </c>
      <c r="S27" s="1" t="s">
        <v>228</v>
      </c>
      <c r="T27" s="1">
        <v>14</v>
      </c>
      <c r="U27" s="1">
        <v>8</v>
      </c>
      <c r="V27" s="1" t="s">
        <v>227</v>
      </c>
      <c r="W27" s="1">
        <v>30.02</v>
      </c>
      <c r="X27" s="1">
        <v>49</v>
      </c>
      <c r="Y27" s="1">
        <v>6.6002999999999998</v>
      </c>
      <c r="Z27" s="1">
        <v>6.7004000000000001</v>
      </c>
      <c r="AA27" s="1">
        <v>8</v>
      </c>
      <c r="AB27" s="1">
        <f t="shared" si="2"/>
        <v>0.1001000000000003</v>
      </c>
      <c r="AC27" s="1">
        <f t="shared" si="3"/>
        <v>12.512500000000037</v>
      </c>
      <c r="AD27" s="1">
        <v>17</v>
      </c>
      <c r="AE27" s="1">
        <f>FAMES!L28</f>
        <v>2.2639999999999998</v>
      </c>
      <c r="AF27" s="28">
        <f t="shared" si="4"/>
        <v>0.13317647058823529</v>
      </c>
      <c r="AG27" s="1">
        <f t="shared" si="5"/>
        <v>1.6663705882352988</v>
      </c>
      <c r="AI27" s="29">
        <f t="shared" ref="AI27" si="36">$BF$15-BF27</f>
        <v>28.090299999999999</v>
      </c>
      <c r="AJ27" s="1">
        <f t="shared" si="15"/>
        <v>7.0599999999999982E-2</v>
      </c>
      <c r="AK27" s="29">
        <f t="shared" si="6"/>
        <v>0.11938284745979927</v>
      </c>
      <c r="AL27" s="8">
        <f t="shared" si="7"/>
        <v>0.26342105263157972</v>
      </c>
      <c r="AM27" s="8">
        <f t="shared" si="16"/>
        <v>0.4454384609633944</v>
      </c>
      <c r="AO27" s="29"/>
      <c r="AP27" s="1">
        <f t="shared" si="12"/>
        <v>9.612000000000009</v>
      </c>
      <c r="AQ27" s="8">
        <f t="shared" si="23"/>
        <v>0.60075000000000056</v>
      </c>
      <c r="AR27" s="8">
        <f t="shared" si="17"/>
        <v>4.5516021639626529E-2</v>
      </c>
      <c r="AS27" s="29">
        <f t="shared" si="18"/>
        <v>7.5765329404288789E-2</v>
      </c>
      <c r="AT27" s="8">
        <f t="shared" si="24"/>
        <v>0.28776529338327062</v>
      </c>
      <c r="AU27" s="34">
        <f t="shared" si="19"/>
        <v>2.9938128733174193E-2</v>
      </c>
      <c r="AV27" s="8"/>
      <c r="AW27" s="8">
        <f t="shared" si="20"/>
        <v>0.56482130842319367</v>
      </c>
      <c r="BD27" s="1">
        <f t="shared" si="8"/>
        <v>0.3422</v>
      </c>
      <c r="BE27" s="1">
        <f t="shared" si="9"/>
        <v>3.3534999999999995</v>
      </c>
      <c r="BF27" s="1">
        <f t="shared" si="10"/>
        <v>68.581099999999992</v>
      </c>
      <c r="BG27" s="1" t="str">
        <f t="shared" si="0"/>
        <v/>
      </c>
      <c r="BH27" s="1" t="str">
        <f t="shared" si="0"/>
        <v/>
      </c>
      <c r="BI27" s="1" t="str">
        <f t="shared" si="0"/>
        <v/>
      </c>
      <c r="BJ27" s="1" t="str">
        <f t="shared" si="0"/>
        <v/>
      </c>
      <c r="BK27" s="1" t="str">
        <f t="shared" si="0"/>
        <v/>
      </c>
      <c r="BL27" s="1" t="str">
        <f t="shared" si="0"/>
        <v/>
      </c>
      <c r="BM27" s="1" t="str">
        <f t="shared" si="0"/>
        <v/>
      </c>
      <c r="BN27" s="1" t="str">
        <f t="shared" si="0"/>
        <v/>
      </c>
      <c r="BO27" s="1" t="str">
        <f t="shared" si="0"/>
        <v/>
      </c>
      <c r="BP27" s="20"/>
      <c r="BQ27" s="20" t="str">
        <f t="shared" si="29"/>
        <v>r2</v>
      </c>
      <c r="BR27" s="7"/>
      <c r="BS27" s="1" t="str">
        <f t="shared" si="32"/>
        <v>Jeff_SloHot50_Biostat 2L-30-12</v>
      </c>
      <c r="BT27" s="7"/>
      <c r="BU27" s="33"/>
      <c r="BV27" s="7"/>
      <c r="BW27" s="7"/>
      <c r="BX27" s="7"/>
      <c r="BY27" s="7">
        <f t="shared" si="35"/>
        <v>28.090299999999999</v>
      </c>
      <c r="BZ27" s="7"/>
      <c r="CA27" s="7">
        <f t="shared" ref="CA27:CA29" si="37">BY27/R29</f>
        <v>0.51306484018264842</v>
      </c>
      <c r="CB27" s="7">
        <f t="shared" si="21"/>
        <v>9.612000000000009</v>
      </c>
      <c r="CC27" s="30" t="e">
        <f>CB27/(R29-#REF!)</f>
        <v>#REF!</v>
      </c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  <c r="DB27" s="7"/>
    </row>
    <row r="28" spans="1:106" x14ac:dyDescent="0.2">
      <c r="B28" s="47" t="s">
        <v>255</v>
      </c>
      <c r="C28" s="47">
        <v>3.3570000000000003E-2</v>
      </c>
      <c r="D28" s="47">
        <v>2.0690599999999999</v>
      </c>
      <c r="E28" s="47">
        <v>4.1429499999999999</v>
      </c>
      <c r="F28" s="47"/>
      <c r="G28" s="47" t="s">
        <v>225</v>
      </c>
      <c r="H28" s="17" t="s">
        <v>225</v>
      </c>
      <c r="I28" s="17" t="s">
        <v>225</v>
      </c>
      <c r="J28" s="17" t="s">
        <v>225</v>
      </c>
      <c r="K28" s="17" t="s">
        <v>225</v>
      </c>
      <c r="L28" s="17" t="s">
        <v>225</v>
      </c>
      <c r="M28" s="17"/>
      <c r="N28" s="17"/>
      <c r="P28" s="2"/>
      <c r="Q28" s="3">
        <v>0.67708333333333337</v>
      </c>
      <c r="R28" s="1">
        <f>R24+23.25</f>
        <v>54.75</v>
      </c>
      <c r="S28" s="1" t="s">
        <v>226</v>
      </c>
      <c r="T28" s="1">
        <v>15</v>
      </c>
      <c r="U28" s="1">
        <v>8</v>
      </c>
      <c r="W28" s="1">
        <v>32.520000000000003</v>
      </c>
      <c r="X28" s="1">
        <v>189</v>
      </c>
      <c r="Y28" s="1">
        <v>6.6044999999999998</v>
      </c>
      <c r="Z28" s="1">
        <v>6.7272999999999996</v>
      </c>
      <c r="AA28" s="1">
        <v>8</v>
      </c>
      <c r="AB28" s="1">
        <f t="shared" si="2"/>
        <v>0.1227999999999998</v>
      </c>
      <c r="AC28" s="1">
        <f t="shared" si="3"/>
        <v>15.349999999999975</v>
      </c>
      <c r="AD28" s="1">
        <v>16.399999999999999</v>
      </c>
      <c r="AE28" s="1">
        <f>FAMES!L29</f>
        <v>2.6549999999999994</v>
      </c>
      <c r="AF28" s="28">
        <f t="shared" si="4"/>
        <v>0.161890243902439</v>
      </c>
      <c r="AG28" s="1">
        <f t="shared" si="5"/>
        <v>2.4850152439024344</v>
      </c>
      <c r="AI28" s="29">
        <f t="shared" ref="AI28" si="38">$BF$14-BF28</f>
        <v>55.171599999999991</v>
      </c>
      <c r="AJ28" s="1">
        <f t="shared" si="15"/>
        <v>0.37791050228310502</v>
      </c>
      <c r="AK28" s="29">
        <f t="shared" si="6"/>
        <v>0.37502265658418465</v>
      </c>
      <c r="AL28" s="8">
        <f t="shared" si="7"/>
        <v>0.28036529680365252</v>
      </c>
      <c r="AM28" s="8">
        <f t="shared" si="16"/>
        <v>0.27822285378709294</v>
      </c>
      <c r="AO28" s="29"/>
      <c r="AP28" s="1">
        <f t="shared" si="12"/>
        <v>6.197499999999998</v>
      </c>
      <c r="AQ28" s="8">
        <f t="shared" si="23"/>
        <v>0.85482758620689625</v>
      </c>
      <c r="AR28" s="8">
        <f t="shared" si="17"/>
        <v>-1.0084711577243161E-2</v>
      </c>
      <c r="AS28" s="29">
        <f t="shared" si="18"/>
        <v>-1.1797363281163847E-2</v>
      </c>
      <c r="AT28" s="8">
        <f t="shared" si="24"/>
        <v>0.64413069786204147</v>
      </c>
      <c r="AU28" s="34">
        <f t="shared" si="19"/>
        <v>0.10393395689585182</v>
      </c>
      <c r="AV28" s="8"/>
      <c r="AW28" s="8">
        <f t="shared" si="20"/>
        <v>0.65324551037127754</v>
      </c>
      <c r="BD28" s="1">
        <f t="shared" si="8"/>
        <v>0.3357</v>
      </c>
      <c r="BE28" s="1">
        <f t="shared" si="9"/>
        <v>20.6906</v>
      </c>
      <c r="BF28" s="1">
        <f t="shared" si="10"/>
        <v>41.429499999999997</v>
      </c>
      <c r="BG28" s="1" t="str">
        <f t="shared" si="0"/>
        <v/>
      </c>
      <c r="BH28" s="1" t="str">
        <f t="shared" si="0"/>
        <v/>
      </c>
      <c r="BI28" s="1" t="str">
        <f t="shared" si="0"/>
        <v/>
      </c>
      <c r="BJ28" s="1" t="str">
        <f t="shared" si="0"/>
        <v/>
      </c>
      <c r="BK28" s="1" t="str">
        <f t="shared" si="0"/>
        <v/>
      </c>
      <c r="BL28" s="1" t="str">
        <f t="shared" si="0"/>
        <v/>
      </c>
      <c r="BM28" s="1" t="str">
        <f t="shared" si="0"/>
        <v/>
      </c>
      <c r="BN28" s="1" t="str">
        <f t="shared" si="0"/>
        <v/>
      </c>
      <c r="BO28" s="1" t="str">
        <f t="shared" si="0"/>
        <v/>
      </c>
      <c r="BP28" s="20"/>
      <c r="BQ28" s="20" t="str">
        <f t="shared" si="29"/>
        <v>r1</v>
      </c>
      <c r="BR28" s="7"/>
      <c r="BS28" s="1" t="str">
        <f t="shared" si="32"/>
        <v>Jeff_SloHot50_Biostat 2L-30-13</v>
      </c>
      <c r="BT28" s="7"/>
      <c r="BU28" s="33"/>
      <c r="BV28" s="7"/>
      <c r="BW28" s="7"/>
      <c r="BX28" s="7"/>
      <c r="BY28" s="7">
        <f t="shared" si="35"/>
        <v>55.241899999999994</v>
      </c>
      <c r="BZ28" s="7"/>
      <c r="CA28" s="7">
        <f t="shared" si="37"/>
        <v>0.76724861111111098</v>
      </c>
      <c r="CB28" s="7">
        <f t="shared" si="21"/>
        <v>6.197499999999998</v>
      </c>
      <c r="CC28" s="30">
        <f>CB28/(R30-R28)</f>
        <v>0.35927536231884044</v>
      </c>
      <c r="CD28" s="30"/>
      <c r="CE28" s="36"/>
      <c r="CF28" s="8"/>
      <c r="CG28" s="37"/>
      <c r="CH28" s="37"/>
      <c r="CI28" s="8"/>
      <c r="CN28" s="8"/>
      <c r="CO28" s="29"/>
      <c r="CP28" s="7"/>
      <c r="CQ28" s="7"/>
      <c r="CR28" s="7"/>
      <c r="CS28" s="29"/>
      <c r="CT28" s="29"/>
      <c r="CU28" s="29"/>
      <c r="DA28" s="8"/>
      <c r="DB28" s="7"/>
    </row>
    <row r="29" spans="1:106" x14ac:dyDescent="0.2">
      <c r="B29" s="47" t="s">
        <v>256</v>
      </c>
      <c r="C29" s="47">
        <v>3.7719999999999997E-2</v>
      </c>
      <c r="D29" s="47">
        <v>0.49673</v>
      </c>
      <c r="E29" s="47">
        <v>6.50509</v>
      </c>
      <c r="F29" s="47"/>
      <c r="G29" s="47" t="s">
        <v>225</v>
      </c>
      <c r="H29" s="17" t="s">
        <v>225</v>
      </c>
      <c r="I29" s="17" t="s">
        <v>225</v>
      </c>
      <c r="J29" s="17" t="s">
        <v>225</v>
      </c>
      <c r="K29" s="17" t="s">
        <v>225</v>
      </c>
      <c r="L29" s="17" t="s">
        <v>225</v>
      </c>
      <c r="M29" s="17"/>
      <c r="N29" s="17"/>
      <c r="P29" s="2"/>
      <c r="Q29" s="3"/>
      <c r="R29" s="1">
        <f>R25+23.25</f>
        <v>54.75</v>
      </c>
      <c r="S29" s="1" t="s">
        <v>228</v>
      </c>
      <c r="T29" s="1">
        <v>16</v>
      </c>
      <c r="U29" s="1">
        <v>8</v>
      </c>
      <c r="W29" s="1">
        <v>33.56</v>
      </c>
      <c r="X29" s="1">
        <v>49</v>
      </c>
      <c r="Y29" s="1">
        <v>6.6375999999999999</v>
      </c>
      <c r="Z29" s="1">
        <v>6.7545999999999999</v>
      </c>
      <c r="AA29" s="1">
        <v>8</v>
      </c>
      <c r="AB29" s="1">
        <f t="shared" si="2"/>
        <v>0.11699999999999999</v>
      </c>
      <c r="AC29" s="1">
        <f t="shared" si="3"/>
        <v>14.624999999999998</v>
      </c>
      <c r="AD29" s="1">
        <v>17.3</v>
      </c>
      <c r="AE29" s="1">
        <f>FAMES!L30</f>
        <v>2.2550000000000003</v>
      </c>
      <c r="AF29" s="28">
        <f t="shared" si="4"/>
        <v>0.13034682080924856</v>
      </c>
      <c r="AG29" s="1">
        <f t="shared" si="5"/>
        <v>1.90632225433526</v>
      </c>
      <c r="AI29" s="29">
        <f>$BF$15-BF29</f>
        <v>31.620499999999993</v>
      </c>
      <c r="AJ29" s="1">
        <f t="shared" si="15"/>
        <v>9.0726940639269407E-2</v>
      </c>
      <c r="AK29" s="29">
        <f t="shared" si="6"/>
        <v>0.15709112759127783</v>
      </c>
      <c r="AL29" s="8">
        <f t="shared" si="7"/>
        <v>0.26712328767123283</v>
      </c>
      <c r="AM29" s="8">
        <f t="shared" si="16"/>
        <v>0.4625164054964343</v>
      </c>
      <c r="AO29" s="29"/>
      <c r="AP29" s="1">
        <f t="shared" si="12"/>
        <v>3.5301999999999936</v>
      </c>
      <c r="AQ29" s="8">
        <f t="shared" si="23"/>
        <v>0.48692413793103362</v>
      </c>
      <c r="AR29" s="8">
        <f t="shared" si="17"/>
        <v>0.59840802220836364</v>
      </c>
      <c r="AS29" s="29">
        <f t="shared" si="18"/>
        <v>1.2289553455925002</v>
      </c>
      <c r="AT29" s="8">
        <f t="shared" si="24"/>
        <v>0.45714123845674559</v>
      </c>
      <c r="AU29" s="34">
        <f t="shared" si="19"/>
        <v>0.12949443047327244</v>
      </c>
      <c r="AV29" s="8"/>
      <c r="AW29" s="8">
        <f t="shared" si="20"/>
        <v>0.6196075330877121</v>
      </c>
      <c r="BD29" s="1">
        <f t="shared" si="8"/>
        <v>0.37719999999999998</v>
      </c>
      <c r="BE29" s="1">
        <f t="shared" si="9"/>
        <v>4.9672999999999998</v>
      </c>
      <c r="BF29" s="1">
        <f t="shared" si="10"/>
        <v>65.050899999999999</v>
      </c>
      <c r="BG29" s="1" t="str">
        <f t="shared" si="0"/>
        <v/>
      </c>
      <c r="BH29" s="1" t="str">
        <f t="shared" si="0"/>
        <v/>
      </c>
      <c r="BI29" s="1" t="str">
        <f t="shared" si="0"/>
        <v/>
      </c>
      <c r="BJ29" s="1" t="str">
        <f t="shared" si="0"/>
        <v/>
      </c>
      <c r="BK29" s="1" t="str">
        <f t="shared" si="0"/>
        <v/>
      </c>
      <c r="BL29" s="1" t="str">
        <f t="shared" si="0"/>
        <v/>
      </c>
      <c r="BM29" s="1" t="str">
        <f t="shared" si="0"/>
        <v/>
      </c>
      <c r="BN29" s="1" t="str">
        <f t="shared" si="0"/>
        <v/>
      </c>
      <c r="BO29" s="1" t="str">
        <f t="shared" si="0"/>
        <v/>
      </c>
      <c r="BP29" s="20"/>
      <c r="BQ29" s="20" t="str">
        <f t="shared" si="29"/>
        <v>r2</v>
      </c>
      <c r="BR29" s="7"/>
      <c r="BS29" s="1" t="str">
        <f t="shared" si="32"/>
        <v>Jeff_SloHot50_Biostat 2L-30-14</v>
      </c>
      <c r="BT29" s="7"/>
      <c r="BU29" s="33"/>
      <c r="BV29" s="7"/>
      <c r="BW29" s="7"/>
      <c r="BX29" s="7"/>
      <c r="BY29" s="7">
        <f t="shared" si="35"/>
        <v>31.620499999999993</v>
      </c>
      <c r="BZ29" s="7"/>
      <c r="CA29" s="7">
        <f t="shared" si="37"/>
        <v>0.43917361111111103</v>
      </c>
      <c r="CB29" s="7">
        <f t="shared" si="21"/>
        <v>3.5301999999999936</v>
      </c>
      <c r="CC29" s="30">
        <f t="shared" ref="CC29" si="39">CB29/(R31-R29)</f>
        <v>0.20464927536231847</v>
      </c>
      <c r="CD29" s="30"/>
      <c r="CE29" s="36"/>
      <c r="CF29" s="8"/>
      <c r="CG29" s="37"/>
      <c r="CH29" s="37"/>
      <c r="CI29" s="8"/>
      <c r="CN29" s="8"/>
      <c r="CO29" s="29"/>
      <c r="CP29" s="7"/>
      <c r="CQ29" s="7"/>
      <c r="CR29" s="7"/>
      <c r="CS29" s="29"/>
      <c r="CT29" s="29"/>
      <c r="CU29" s="29"/>
      <c r="CZ29" s="7"/>
      <c r="DA29" s="8"/>
      <c r="DB29" s="7"/>
    </row>
    <row r="30" spans="1:106" x14ac:dyDescent="0.2">
      <c r="B30" s="47" t="s">
        <v>257</v>
      </c>
      <c r="C30" s="47">
        <v>3.3849999999999998E-2</v>
      </c>
      <c r="D30" s="47">
        <v>2.9017400000000002</v>
      </c>
      <c r="E30" s="47">
        <v>2.8608699999999998</v>
      </c>
      <c r="F30" s="47">
        <v>0.17141000000000001</v>
      </c>
      <c r="G30" s="47"/>
      <c r="H30" s="17" t="s">
        <v>225</v>
      </c>
      <c r="I30" s="17" t="s">
        <v>225</v>
      </c>
      <c r="J30" s="17" t="s">
        <v>225</v>
      </c>
      <c r="K30" s="17" t="s">
        <v>225</v>
      </c>
      <c r="L30" s="17" t="s">
        <v>225</v>
      </c>
      <c r="M30" s="17"/>
      <c r="N30" s="17"/>
      <c r="P30" s="2">
        <v>45674</v>
      </c>
      <c r="Q30" s="3">
        <v>0.39583333333333331</v>
      </c>
      <c r="R30" s="1">
        <v>72</v>
      </c>
      <c r="S30" s="1" t="s">
        <v>226</v>
      </c>
      <c r="T30" s="1">
        <v>17</v>
      </c>
      <c r="U30" s="1">
        <v>8</v>
      </c>
      <c r="W30" s="1">
        <v>28.56</v>
      </c>
      <c r="X30" s="1">
        <v>265</v>
      </c>
      <c r="Y30" s="1">
        <v>6.6006999999999998</v>
      </c>
      <c r="Z30" s="1">
        <v>6.7203999999999997</v>
      </c>
      <c r="AA30" s="1">
        <v>8</v>
      </c>
      <c r="AB30" s="1">
        <f t="shared" si="2"/>
        <v>0.11969999999999992</v>
      </c>
      <c r="AC30" s="1">
        <f>AB30/(AA30/1000)</f>
        <v>14.96249999999999</v>
      </c>
      <c r="AD30" s="1">
        <v>19</v>
      </c>
      <c r="AE30" s="1">
        <f>FAMES!L31</f>
        <v>3.2605</v>
      </c>
      <c r="AF30" s="28">
        <f t="shared" si="4"/>
        <v>0.17160526315789473</v>
      </c>
      <c r="AG30" s="1">
        <f t="shared" si="5"/>
        <v>2.567643749999998</v>
      </c>
      <c r="AI30" s="29">
        <f>$BF$14-BF30</f>
        <v>67.992399999999989</v>
      </c>
      <c r="AJ30" s="1">
        <f t="shared" si="15"/>
        <v>0.40301944444444449</v>
      </c>
      <c r="AK30" s="29">
        <f t="shared" si="6"/>
        <v>0.4267741688776982</v>
      </c>
      <c r="AL30" s="8">
        <f t="shared" si="7"/>
        <v>0.20781249999999984</v>
      </c>
      <c r="AM30" s="8">
        <f t="shared" si="16"/>
        <v>0.22006135979903624</v>
      </c>
      <c r="AO30" s="29"/>
      <c r="AP30" s="1">
        <f t="shared" si="12"/>
        <v>12.820799999999998</v>
      </c>
      <c r="AQ30" s="8">
        <f t="shared" si="23"/>
        <v>0.74323478260869558</v>
      </c>
      <c r="AR30" s="8">
        <f t="shared" si="17"/>
        <v>-3.0224322975164197E-2</v>
      </c>
      <c r="AS30" s="29">
        <f t="shared" si="18"/>
        <v>-4.0665915646572952E-2</v>
      </c>
      <c r="AT30" s="8">
        <f t="shared" si="24"/>
        <v>0.64947585174092126</v>
      </c>
      <c r="AU30" s="34">
        <f t="shared" si="19"/>
        <v>5.065798169700185E-2</v>
      </c>
      <c r="AV30" s="8"/>
      <c r="AW30" s="8">
        <f t="shared" si="20"/>
        <v>0.64683552867673444</v>
      </c>
      <c r="BD30" s="1">
        <f>IF(ISNUMBER(C30),C30*1000/100,0)</f>
        <v>0.33850000000000002</v>
      </c>
      <c r="BE30" s="1">
        <f t="shared" si="9"/>
        <v>29.017400000000002</v>
      </c>
      <c r="BF30" s="1">
        <f>IF(ISNUMBER(E30),E30*1000/100,0)</f>
        <v>28.608699999999999</v>
      </c>
      <c r="BG30" s="1">
        <f t="shared" si="10"/>
        <v>1.7141</v>
      </c>
      <c r="BH30" s="1" t="str">
        <f t="shared" si="10"/>
        <v/>
      </c>
      <c r="BI30" s="1" t="str">
        <f t="shared" si="10"/>
        <v/>
      </c>
      <c r="BJ30" s="1" t="str">
        <f t="shared" si="10"/>
        <v/>
      </c>
      <c r="BK30" s="1" t="str">
        <f t="shared" si="10"/>
        <v/>
      </c>
      <c r="BL30" s="1" t="str">
        <f t="shared" si="10"/>
        <v/>
      </c>
      <c r="BM30" s="1" t="str">
        <f t="shared" si="10"/>
        <v/>
      </c>
      <c r="BN30" s="1" t="str">
        <f t="shared" si="10"/>
        <v/>
      </c>
      <c r="BO30" s="1" t="str">
        <f t="shared" si="10"/>
        <v/>
      </c>
      <c r="BP30" s="20"/>
      <c r="BQ30" s="20"/>
      <c r="BR30" s="7"/>
      <c r="BS30" s="1" t="str">
        <f t="shared" si="32"/>
        <v>Jeff_SloHot50_Biostat 2L-30-15</v>
      </c>
      <c r="BT30" s="7"/>
      <c r="BU30" s="33"/>
      <c r="BV30" s="7"/>
      <c r="BW30" s="7"/>
      <c r="BX30" s="7"/>
      <c r="BY30" s="7"/>
      <c r="BZ30" s="7"/>
      <c r="CA30" s="7"/>
      <c r="CB30" s="7"/>
      <c r="CC30" s="30"/>
      <c r="CD30" s="30"/>
      <c r="CE30" s="36"/>
      <c r="CF30" s="8"/>
      <c r="CG30" s="37"/>
      <c r="CH30" s="37"/>
      <c r="CI30" s="8"/>
      <c r="CN30" s="8"/>
      <c r="CO30" s="29"/>
      <c r="CP30" s="7"/>
      <c r="CQ30" s="7"/>
      <c r="CR30" s="7"/>
      <c r="CS30" s="29"/>
      <c r="CT30" s="29"/>
      <c r="CU30" s="29"/>
      <c r="CZ30" s="7"/>
      <c r="DA30" s="8"/>
      <c r="DB30" s="7"/>
    </row>
    <row r="31" spans="1:106" x14ac:dyDescent="0.2">
      <c r="B31" s="47" t="s">
        <v>258</v>
      </c>
      <c r="C31" s="47">
        <v>4.1230000000000003E-2</v>
      </c>
      <c r="D31" s="47">
        <v>1.0251699999999999</v>
      </c>
      <c r="E31" s="47">
        <v>5.5730500000000003</v>
      </c>
      <c r="F31" s="47"/>
      <c r="G31" s="47" t="s">
        <v>225</v>
      </c>
      <c r="H31" s="17" t="s">
        <v>225</v>
      </c>
      <c r="I31" s="17" t="s">
        <v>225</v>
      </c>
      <c r="J31" s="17" t="s">
        <v>225</v>
      </c>
      <c r="K31" s="17" t="s">
        <v>225</v>
      </c>
      <c r="L31" s="17" t="s">
        <v>225</v>
      </c>
      <c r="M31" s="17"/>
      <c r="N31" s="17"/>
      <c r="P31" s="2"/>
      <c r="Q31" s="3"/>
      <c r="R31" s="1">
        <v>72</v>
      </c>
      <c r="S31" s="1" t="s">
        <v>228</v>
      </c>
      <c r="T31" s="1">
        <v>18</v>
      </c>
      <c r="U31" s="1">
        <v>8</v>
      </c>
      <c r="W31" s="1">
        <v>29.6</v>
      </c>
      <c r="X31" s="1">
        <v>81</v>
      </c>
      <c r="Y31" s="1">
        <v>6.6367000000000003</v>
      </c>
      <c r="Z31" s="1">
        <v>6.7484999999999999</v>
      </c>
      <c r="AA31" s="1">
        <v>8</v>
      </c>
      <c r="AB31" s="1">
        <f t="shared" si="2"/>
        <v>0.11179999999999968</v>
      </c>
      <c r="AC31" s="1">
        <f>AB31/(AA31/1000)</f>
        <v>13.974999999999959</v>
      </c>
      <c r="AD31" s="1">
        <v>17.399999999999999</v>
      </c>
      <c r="AE31" s="1">
        <f>FAMES!L32</f>
        <v>3.1604999999999999</v>
      </c>
      <c r="AF31" s="28">
        <f t="shared" si="4"/>
        <v>0.18163793103448275</v>
      </c>
      <c r="AG31" s="1">
        <f t="shared" si="5"/>
        <v>2.5383900862068889</v>
      </c>
      <c r="AI31" s="29">
        <f t="shared" ref="AI31" si="40">$BF$15-BF31</f>
        <v>40.940899999999992</v>
      </c>
      <c r="AJ31" s="1">
        <f t="shared" si="15"/>
        <v>0.1423847222222222</v>
      </c>
      <c r="AK31" s="29">
        <f t="shared" si="6"/>
        <v>0.25040240932661473</v>
      </c>
      <c r="AL31" s="8">
        <f t="shared" si="7"/>
        <v>0.19409722222222164</v>
      </c>
      <c r="AM31" s="8">
        <f t="shared" si="16"/>
        <v>0.34134569586892233</v>
      </c>
      <c r="AO31" s="29"/>
      <c r="AP31" s="1">
        <f t="shared" si="12"/>
        <v>9.3203999999999994</v>
      </c>
      <c r="AQ31" s="8">
        <f t="shared" si="23"/>
        <v>0.54031304347826081</v>
      </c>
      <c r="AR31" s="8">
        <f t="shared" si="17"/>
        <v>-6.9739496158967365E-2</v>
      </c>
      <c r="AS31" s="29">
        <f t="shared" si="18"/>
        <v>-0.12907239053497566</v>
      </c>
      <c r="AT31" s="8">
        <f t="shared" si="24"/>
        <v>0.56697137461911484</v>
      </c>
      <c r="AU31" s="34">
        <f t="shared" si="19"/>
        <v>6.083122769614125E-2</v>
      </c>
      <c r="AV31" s="8"/>
      <c r="AW31" s="8">
        <f t="shared" si="20"/>
        <v>0.59174810519553711</v>
      </c>
      <c r="BD31" s="1">
        <f t="shared" ref="BD31" si="41">IF(ISNUMBER(C31),C31*1000/100,0)</f>
        <v>0.41230000000000006</v>
      </c>
      <c r="BE31" s="1">
        <f t="shared" ref="BE31" si="42">IF(ISNUMBER(D31),D31*1000/100,0)</f>
        <v>10.251699999999998</v>
      </c>
      <c r="BF31" s="1">
        <f t="shared" ref="BF31" si="43">IF(ISNUMBER(E31),E31*1000/100,0)</f>
        <v>55.730499999999999</v>
      </c>
      <c r="BG31" s="1" t="str">
        <f t="shared" si="10"/>
        <v/>
      </c>
      <c r="BH31" s="1" t="str">
        <f t="shared" si="10"/>
        <v/>
      </c>
      <c r="BI31" s="1" t="str">
        <f t="shared" si="10"/>
        <v/>
      </c>
      <c r="BJ31" s="1" t="str">
        <f t="shared" si="10"/>
        <v/>
      </c>
      <c r="BK31" s="1" t="str">
        <f t="shared" si="10"/>
        <v/>
      </c>
      <c r="BL31" s="1" t="str">
        <f t="shared" si="10"/>
        <v/>
      </c>
      <c r="BM31" s="1" t="str">
        <f t="shared" si="10"/>
        <v/>
      </c>
      <c r="BN31" s="1" t="str">
        <f t="shared" si="10"/>
        <v/>
      </c>
      <c r="BO31" s="1" t="str">
        <f t="shared" si="10"/>
        <v/>
      </c>
      <c r="BP31" s="20"/>
      <c r="BQ31" s="20"/>
      <c r="BR31" s="7"/>
      <c r="BS31" s="1" t="str">
        <f t="shared" si="32"/>
        <v>Jeff_SloHot50_Biostat 2L-30-16</v>
      </c>
      <c r="BT31" s="38"/>
      <c r="BU31" s="33"/>
      <c r="BV31" s="7"/>
      <c r="BW31" s="7"/>
      <c r="BX31" s="7"/>
      <c r="BY31" s="7"/>
      <c r="BZ31" s="7"/>
      <c r="CA31" s="7"/>
      <c r="CB31" s="7"/>
      <c r="CC31" s="30"/>
      <c r="CD31" s="30"/>
      <c r="CE31" s="36"/>
      <c r="CF31" s="8"/>
      <c r="CG31" s="37"/>
      <c r="CH31" s="37"/>
      <c r="CI31" s="8"/>
      <c r="CN31" s="8"/>
      <c r="CO31" s="29"/>
      <c r="CP31" s="7"/>
      <c r="CQ31" s="7"/>
      <c r="CR31" s="7"/>
      <c r="CS31" s="29"/>
      <c r="CT31" s="29"/>
      <c r="CU31" s="29"/>
      <c r="CZ31" s="7"/>
      <c r="DA31" s="8"/>
      <c r="DB31" s="7"/>
    </row>
    <row r="32" spans="1:106" x14ac:dyDescent="0.2">
      <c r="B32" s="47"/>
      <c r="C32" s="47"/>
      <c r="D32" s="47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S32" s="46"/>
      <c r="AF32" s="28"/>
      <c r="AI32" s="29"/>
      <c r="AK32" s="29"/>
      <c r="AL32" s="8"/>
      <c r="AM32" s="8"/>
      <c r="AO32" s="29"/>
      <c r="AQ32" s="8"/>
      <c r="AR32" s="8"/>
      <c r="AS32" s="29"/>
      <c r="AT32" s="8"/>
      <c r="AU32" s="34"/>
      <c r="AV32" s="8"/>
      <c r="AW32" s="8"/>
      <c r="BG32" s="1" t="str">
        <f t="shared" ref="BD32:BO37" si="44">IF(ISNUMBER(F32),F32*1000/100,"")</f>
        <v/>
      </c>
      <c r="BH32" s="1" t="str">
        <f t="shared" si="44"/>
        <v/>
      </c>
      <c r="BI32" s="1" t="str">
        <f t="shared" si="44"/>
        <v/>
      </c>
      <c r="BJ32" s="1" t="str">
        <f t="shared" si="44"/>
        <v/>
      </c>
      <c r="BK32" s="1" t="str">
        <f t="shared" si="44"/>
        <v/>
      </c>
      <c r="BL32" s="1" t="str">
        <f t="shared" si="44"/>
        <v/>
      </c>
      <c r="BM32" s="1" t="str">
        <f t="shared" si="44"/>
        <v/>
      </c>
      <c r="BN32" s="1" t="str">
        <f t="shared" si="44"/>
        <v/>
      </c>
      <c r="BO32" s="1" t="str">
        <f t="shared" si="44"/>
        <v/>
      </c>
      <c r="BP32" s="20"/>
      <c r="BQ32" s="20"/>
      <c r="BR32" s="7"/>
      <c r="BT32" s="38"/>
      <c r="BU32" s="33"/>
      <c r="BV32" s="7"/>
      <c r="BW32" s="7"/>
      <c r="BX32" s="7"/>
      <c r="BY32" s="7"/>
      <c r="BZ32" s="7"/>
      <c r="CA32" s="7"/>
      <c r="CB32" s="7"/>
      <c r="CC32" s="30"/>
      <c r="CD32" s="30"/>
      <c r="CE32" s="36"/>
      <c r="CF32" s="8"/>
      <c r="CG32" s="37"/>
      <c r="CH32" s="37"/>
      <c r="CI32" s="8"/>
      <c r="CN32" s="8"/>
      <c r="CO32" s="29"/>
      <c r="CP32" s="7"/>
      <c r="CQ32" s="7"/>
      <c r="CR32" s="7"/>
      <c r="CS32" s="29"/>
      <c r="CT32" s="29"/>
      <c r="CU32" s="29"/>
      <c r="CZ32" s="7"/>
      <c r="DA32" s="8"/>
      <c r="DB32" s="7"/>
    </row>
    <row r="33" spans="2:105" x14ac:dyDescent="0.2">
      <c r="B33" s="47"/>
      <c r="C33" s="47"/>
      <c r="D33" s="47"/>
      <c r="E33" s="47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S33" s="46"/>
      <c r="AF33" s="28"/>
      <c r="AI33" s="29"/>
      <c r="AK33" s="29"/>
      <c r="AL33" s="8"/>
      <c r="AM33" s="8"/>
      <c r="AO33" s="29"/>
      <c r="AQ33" s="8"/>
      <c r="AR33" s="8"/>
      <c r="AS33" s="29"/>
      <c r="AT33" s="8"/>
      <c r="AU33" s="34"/>
      <c r="AV33" s="8"/>
      <c r="AW33" s="8"/>
      <c r="BG33" s="1" t="str">
        <f t="shared" si="44"/>
        <v/>
      </c>
      <c r="BH33" s="1" t="str">
        <f t="shared" si="44"/>
        <v/>
      </c>
      <c r="BI33" s="1" t="str">
        <f t="shared" si="44"/>
        <v/>
      </c>
      <c r="BJ33" s="1" t="str">
        <f t="shared" si="44"/>
        <v/>
      </c>
      <c r="BK33" s="1" t="str">
        <f t="shared" si="44"/>
        <v/>
      </c>
      <c r="BL33" s="1" t="str">
        <f t="shared" si="44"/>
        <v/>
      </c>
      <c r="BM33" s="1" t="str">
        <f t="shared" si="44"/>
        <v/>
      </c>
      <c r="BN33" s="1" t="str">
        <f t="shared" si="44"/>
        <v/>
      </c>
      <c r="BO33" s="1" t="str">
        <f t="shared" si="44"/>
        <v/>
      </c>
      <c r="BP33" s="20"/>
      <c r="BQ33" s="20"/>
      <c r="BR33" s="7"/>
      <c r="BU33" s="33"/>
      <c r="BV33" s="7"/>
      <c r="BW33" s="7"/>
      <c r="BX33" s="7"/>
      <c r="BY33" s="7"/>
      <c r="BZ33" s="7"/>
      <c r="CA33" s="7"/>
      <c r="CB33" s="7"/>
      <c r="CC33" s="30"/>
      <c r="CD33" s="30"/>
      <c r="CE33" s="36"/>
      <c r="CF33" s="8"/>
      <c r="CG33" s="37"/>
      <c r="CH33" s="37"/>
      <c r="CI33" s="8"/>
      <c r="CN33" s="8"/>
      <c r="CO33" s="29"/>
      <c r="CP33" s="7"/>
      <c r="CQ33" s="7"/>
      <c r="CR33" s="7"/>
      <c r="CS33" s="39"/>
      <c r="CT33" s="29"/>
      <c r="CU33" s="29"/>
      <c r="CZ33" s="7"/>
      <c r="DA33" s="8"/>
    </row>
    <row r="34" spans="2:105" s="40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tr">
        <f t="shared" si="44"/>
        <v/>
      </c>
      <c r="BH34" s="1" t="str">
        <f t="shared" si="44"/>
        <v/>
      </c>
      <c r="BI34" s="1" t="str">
        <f t="shared" si="44"/>
        <v/>
      </c>
      <c r="BJ34" s="1" t="str">
        <f t="shared" si="44"/>
        <v/>
      </c>
      <c r="BK34" s="1" t="str">
        <f t="shared" si="44"/>
        <v/>
      </c>
      <c r="BL34" s="1" t="str">
        <f t="shared" si="44"/>
        <v/>
      </c>
      <c r="BM34" s="1" t="str">
        <f t="shared" si="44"/>
        <v/>
      </c>
      <c r="BN34" s="1" t="str">
        <f t="shared" si="44"/>
        <v/>
      </c>
      <c r="BO34" s="1" t="str">
        <f t="shared" si="44"/>
        <v/>
      </c>
      <c r="BP34" s="20"/>
      <c r="BQ34" s="20"/>
      <c r="BR34" s="7"/>
      <c r="BS34" s="1"/>
      <c r="BT34" s="1"/>
      <c r="BU34" s="33"/>
      <c r="BV34" s="7"/>
      <c r="BW34" s="7"/>
      <c r="BX34" s="7"/>
      <c r="BY34" s="7"/>
      <c r="BZ34" s="7"/>
      <c r="CA34" s="7"/>
      <c r="CB34" s="7"/>
      <c r="CC34" s="30"/>
      <c r="CD34" s="30"/>
      <c r="CE34" s="36"/>
      <c r="CF34" s="8"/>
      <c r="CG34" s="37"/>
      <c r="CH34" s="37"/>
      <c r="CI34" s="8"/>
      <c r="CJ34" s="1"/>
      <c r="CL34" s="1"/>
      <c r="CM34" s="1"/>
      <c r="CN34" s="8"/>
      <c r="CO34" s="29"/>
      <c r="CP34" s="7"/>
      <c r="CQ34" s="7"/>
      <c r="CR34" s="7"/>
      <c r="CS34" s="41"/>
      <c r="CT34" s="29"/>
      <c r="CU34" s="29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D35" s="1" t="str">
        <f t="shared" si="44"/>
        <v/>
      </c>
      <c r="BE35" s="1" t="str">
        <f t="shared" si="44"/>
        <v/>
      </c>
      <c r="BF35" s="1" t="str">
        <f t="shared" si="44"/>
        <v/>
      </c>
      <c r="BG35" s="1" t="str">
        <f t="shared" si="44"/>
        <v/>
      </c>
      <c r="BH35" s="1" t="str">
        <f t="shared" si="44"/>
        <v/>
      </c>
      <c r="BI35" s="1" t="str">
        <f t="shared" si="44"/>
        <v/>
      </c>
      <c r="BJ35" s="1" t="str">
        <f t="shared" si="44"/>
        <v/>
      </c>
      <c r="BK35" s="1" t="str">
        <f t="shared" si="44"/>
        <v/>
      </c>
      <c r="BL35" s="1" t="str">
        <f t="shared" si="44"/>
        <v/>
      </c>
      <c r="BM35" s="1" t="str">
        <f t="shared" si="44"/>
        <v/>
      </c>
      <c r="BN35" s="1" t="str">
        <f t="shared" si="44"/>
        <v/>
      </c>
      <c r="BO35" s="1" t="str">
        <f t="shared" si="44"/>
        <v/>
      </c>
      <c r="BP35" s="20"/>
      <c r="BQ35" s="20"/>
      <c r="BR35" s="7"/>
      <c r="BT35" s="7"/>
      <c r="BU35" s="33"/>
      <c r="BV35" s="7"/>
      <c r="BW35" s="7"/>
      <c r="BX35" s="7"/>
      <c r="BY35" s="7"/>
      <c r="BZ35" s="7"/>
      <c r="CA35" s="7"/>
      <c r="CB35" s="7"/>
      <c r="CC35" s="30"/>
      <c r="CD35" s="30"/>
      <c r="CE35" s="36"/>
      <c r="CF35" s="8"/>
      <c r="CG35" s="37"/>
      <c r="CH35" s="37"/>
      <c r="CI35" s="8"/>
      <c r="CN35" s="8"/>
      <c r="CO35" s="29"/>
      <c r="CP35" s="7"/>
      <c r="CQ35" s="7"/>
      <c r="CR35" s="7"/>
      <c r="CS35" s="29"/>
      <c r="CT35" s="29"/>
      <c r="CU35" s="29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D36" s="1" t="str">
        <f t="shared" si="44"/>
        <v/>
      </c>
      <c r="BE36" s="1" t="str">
        <f t="shared" si="44"/>
        <v/>
      </c>
      <c r="BF36" s="1" t="str">
        <f t="shared" si="44"/>
        <v/>
      </c>
      <c r="BG36" s="1" t="str">
        <f t="shared" si="44"/>
        <v/>
      </c>
      <c r="BH36" s="1" t="str">
        <f t="shared" si="44"/>
        <v/>
      </c>
      <c r="BI36" s="1" t="str">
        <f t="shared" si="44"/>
        <v/>
      </c>
      <c r="BJ36" s="1" t="str">
        <f t="shared" si="44"/>
        <v/>
      </c>
      <c r="BK36" s="1" t="str">
        <f t="shared" si="44"/>
        <v/>
      </c>
      <c r="BL36" s="1" t="str">
        <f t="shared" si="44"/>
        <v/>
      </c>
      <c r="BM36" s="1" t="str">
        <f t="shared" si="44"/>
        <v/>
      </c>
      <c r="BN36" s="1" t="str">
        <f t="shared" si="44"/>
        <v/>
      </c>
      <c r="BO36" s="1" t="str">
        <f t="shared" si="44"/>
        <v/>
      </c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D37" s="1" t="str">
        <f t="shared" si="44"/>
        <v/>
      </c>
      <c r="BE37" s="1" t="str">
        <f t="shared" si="44"/>
        <v/>
      </c>
      <c r="BF37" s="1" t="str">
        <f t="shared" si="44"/>
        <v/>
      </c>
      <c r="BG37" s="1" t="str">
        <f t="shared" si="44"/>
        <v/>
      </c>
      <c r="BH37" s="1" t="str">
        <f t="shared" si="44"/>
        <v/>
      </c>
      <c r="BI37" s="1" t="str">
        <f t="shared" si="44"/>
        <v/>
      </c>
      <c r="BJ37" s="1" t="str">
        <f t="shared" si="44"/>
        <v/>
      </c>
      <c r="BK37" s="1" t="str">
        <f t="shared" si="44"/>
        <v/>
      </c>
      <c r="BL37" s="1" t="str">
        <f t="shared" si="44"/>
        <v/>
      </c>
      <c r="BM37" s="1" t="str">
        <f t="shared" si="44"/>
        <v/>
      </c>
      <c r="BN37" s="1" t="str">
        <f t="shared" si="44"/>
        <v/>
      </c>
      <c r="BO37" s="1" t="str">
        <f t="shared" si="44"/>
        <v/>
      </c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2"/>
      <c r="CH67" s="37"/>
      <c r="CI67" s="8"/>
      <c r="CN67" s="29"/>
      <c r="CO67" s="29"/>
      <c r="CP67" s="7"/>
      <c r="CQ67" s="7"/>
      <c r="CR67" s="7"/>
      <c r="CS67" s="29"/>
      <c r="CT67" s="29"/>
      <c r="CU67" s="29"/>
      <c r="CZ67" s="7"/>
      <c r="DA67" s="7"/>
    </row>
    <row r="68" spans="21:105" x14ac:dyDescent="0.2">
      <c r="BR68" s="1"/>
      <c r="BU68" s="18"/>
      <c r="BZ68" s="1"/>
      <c r="CA68" s="1"/>
      <c r="CC68" s="31"/>
      <c r="CD68" s="43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0BA5-E1E8-463D-9E03-629D26DBB84D}">
  <dimension ref="A2:S32"/>
  <sheetViews>
    <sheetView zoomScale="90" zoomScaleNormal="90" workbookViewId="0">
      <selection activeCell="L15" sqref="L15:L32"/>
    </sheetView>
  </sheetViews>
  <sheetFormatPr baseColWidth="10" defaultColWidth="12.5" defaultRowHeight="16" x14ac:dyDescent="0.2"/>
  <cols>
    <col min="1" max="16384" width="12.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229</v>
      </c>
      <c r="B3">
        <v>0.96699999999999997</v>
      </c>
      <c r="C3">
        <v>0.92800000000000005</v>
      </c>
      <c r="D3">
        <v>0.96199999999999997</v>
      </c>
      <c r="E3">
        <v>0.94</v>
      </c>
      <c r="F3" s="44"/>
      <c r="G3" s="44"/>
      <c r="H3">
        <v>0.96299999999999997</v>
      </c>
      <c r="I3">
        <v>0.94799999999999995</v>
      </c>
      <c r="J3">
        <v>0.69199999999999995</v>
      </c>
      <c r="K3">
        <v>0.99299999999999999</v>
      </c>
      <c r="L3">
        <v>1.0029999999999999</v>
      </c>
      <c r="M3">
        <v>1.0109999999999999</v>
      </c>
      <c r="N3">
        <v>0.877</v>
      </c>
      <c r="O3">
        <v>0.97599999999999998</v>
      </c>
      <c r="P3">
        <v>1.006</v>
      </c>
      <c r="Q3">
        <v>0.90900000000000003</v>
      </c>
      <c r="R3">
        <v>0.95599999999999996</v>
      </c>
      <c r="S3">
        <v>1.0249999999999999</v>
      </c>
    </row>
    <row r="4" spans="1:19" x14ac:dyDescent="0.2">
      <c r="A4" s="1" t="s">
        <v>230</v>
      </c>
      <c r="B4" t="s">
        <v>231</v>
      </c>
      <c r="C4" t="s">
        <v>231</v>
      </c>
      <c r="D4" t="s">
        <v>231</v>
      </c>
      <c r="E4" t="s">
        <v>231</v>
      </c>
      <c r="F4" s="44"/>
      <c r="G4" s="44"/>
      <c r="H4" t="s">
        <v>231</v>
      </c>
      <c r="I4" t="s">
        <v>231</v>
      </c>
      <c r="J4" t="s">
        <v>231</v>
      </c>
      <c r="K4" t="s">
        <v>231</v>
      </c>
      <c r="L4" t="s">
        <v>231</v>
      </c>
      <c r="M4" t="s">
        <v>231</v>
      </c>
      <c r="N4" t="s">
        <v>231</v>
      </c>
      <c r="O4" t="s">
        <v>231</v>
      </c>
      <c r="P4" t="s">
        <v>231</v>
      </c>
      <c r="Q4" t="s">
        <v>231</v>
      </c>
      <c r="R4" t="s">
        <v>231</v>
      </c>
      <c r="S4" t="s">
        <v>231</v>
      </c>
    </row>
    <row r="5" spans="1:19" x14ac:dyDescent="0.2">
      <c r="A5" s="1" t="s">
        <v>232</v>
      </c>
      <c r="B5">
        <v>0.191</v>
      </c>
      <c r="C5">
        <v>0.191</v>
      </c>
      <c r="D5">
        <v>0.20799999999999999</v>
      </c>
      <c r="E5">
        <v>0.154</v>
      </c>
      <c r="F5" s="44"/>
      <c r="G5" s="44"/>
      <c r="H5">
        <v>0.24</v>
      </c>
      <c r="I5">
        <v>0.23499999999999999</v>
      </c>
      <c r="J5">
        <v>0.35599999999999998</v>
      </c>
      <c r="K5">
        <v>0.39100000000000001</v>
      </c>
      <c r="L5">
        <v>0.55400000000000005</v>
      </c>
      <c r="M5">
        <v>0.53100000000000003</v>
      </c>
      <c r="N5">
        <v>0.66400000000000003</v>
      </c>
      <c r="O5">
        <v>0.73399999999999999</v>
      </c>
      <c r="P5">
        <v>0.88900000000000001</v>
      </c>
      <c r="Q5">
        <v>0.73299999999999998</v>
      </c>
      <c r="R5">
        <v>0.998</v>
      </c>
      <c r="S5">
        <v>0.99299999999999999</v>
      </c>
    </row>
    <row r="6" spans="1:19" x14ac:dyDescent="0.2">
      <c r="A6" s="1" t="s">
        <v>233</v>
      </c>
      <c r="B6">
        <v>0.191</v>
      </c>
      <c r="C6">
        <v>0.01</v>
      </c>
      <c r="D6">
        <v>0.03</v>
      </c>
      <c r="E6">
        <v>0.156</v>
      </c>
      <c r="F6" s="44"/>
      <c r="G6" s="44"/>
      <c r="H6">
        <v>7.6999999999999999E-2</v>
      </c>
      <c r="I6">
        <v>7.5999999999999998E-2</v>
      </c>
      <c r="J6">
        <v>0.13200000000000001</v>
      </c>
      <c r="K6">
        <v>0.16300000000000001</v>
      </c>
      <c r="L6">
        <v>0.218</v>
      </c>
      <c r="M6">
        <v>0.23300000000000001</v>
      </c>
      <c r="N6">
        <v>0.29499999999999998</v>
      </c>
      <c r="O6">
        <v>0.32700000000000001</v>
      </c>
      <c r="P6">
        <v>0.42299999999999999</v>
      </c>
      <c r="Q6">
        <v>0.34300000000000003</v>
      </c>
      <c r="R6">
        <v>0.52200000000000002</v>
      </c>
      <c r="S6">
        <v>0.48799999999999999</v>
      </c>
    </row>
    <row r="7" spans="1:19" x14ac:dyDescent="0.2">
      <c r="A7" s="1" t="s">
        <v>234</v>
      </c>
      <c r="B7">
        <v>0.14399999999999999</v>
      </c>
      <c r="C7">
        <v>0.14099999999999999</v>
      </c>
      <c r="D7">
        <v>0.13300000000000001</v>
      </c>
      <c r="E7">
        <v>0.11600000000000001</v>
      </c>
      <c r="F7" s="44"/>
      <c r="G7" s="44"/>
      <c r="H7">
        <v>0.125</v>
      </c>
      <c r="I7">
        <v>0.123</v>
      </c>
      <c r="J7">
        <v>0.18</v>
      </c>
      <c r="K7">
        <v>0.22600000000000001</v>
      </c>
      <c r="L7">
        <v>0.27400000000000002</v>
      </c>
      <c r="M7">
        <v>0.32600000000000001</v>
      </c>
      <c r="N7">
        <v>0.30399999999999999</v>
      </c>
      <c r="O7">
        <v>0.47199999999999998</v>
      </c>
      <c r="P7">
        <v>0.41399999999999998</v>
      </c>
      <c r="Q7">
        <v>0.46</v>
      </c>
      <c r="R7">
        <v>0.499</v>
      </c>
      <c r="S7">
        <v>0.67</v>
      </c>
    </row>
    <row r="8" spans="1:19" x14ac:dyDescent="0.2">
      <c r="A8" s="1" t="s">
        <v>235</v>
      </c>
      <c r="B8">
        <v>2.3E-2</v>
      </c>
      <c r="C8">
        <v>4.8000000000000001E-2</v>
      </c>
      <c r="D8">
        <v>0.10100000000000001</v>
      </c>
      <c r="E8">
        <v>0.03</v>
      </c>
      <c r="F8" s="44"/>
      <c r="G8" s="44"/>
      <c r="H8">
        <v>0.29299999999999998</v>
      </c>
      <c r="I8">
        <v>0.27500000000000002</v>
      </c>
      <c r="J8">
        <v>1.1919999999999999</v>
      </c>
      <c r="K8">
        <v>1.2989999999999999</v>
      </c>
      <c r="L8">
        <v>1.77</v>
      </c>
      <c r="M8">
        <v>1.8089999999999999</v>
      </c>
      <c r="N8">
        <v>1.9950000000000001</v>
      </c>
      <c r="O8">
        <v>2.379</v>
      </c>
      <c r="P8">
        <v>2.9289999999999998</v>
      </c>
      <c r="Q8">
        <v>2.3730000000000002</v>
      </c>
      <c r="R8">
        <v>3.7789999999999999</v>
      </c>
      <c r="S8">
        <v>3.411</v>
      </c>
    </row>
    <row r="9" spans="1:19" x14ac:dyDescent="0.2">
      <c r="A9" s="1" t="s">
        <v>236</v>
      </c>
      <c r="B9">
        <v>5.0999999999999997E-2</v>
      </c>
      <c r="C9">
        <v>0.08</v>
      </c>
      <c r="D9">
        <v>0.20599999999999999</v>
      </c>
      <c r="E9">
        <v>7.0999999999999994E-2</v>
      </c>
      <c r="F9" s="44"/>
      <c r="G9" s="44"/>
      <c r="H9">
        <v>0.35499999999999998</v>
      </c>
      <c r="I9">
        <v>0.32</v>
      </c>
      <c r="J9">
        <v>0.374</v>
      </c>
      <c r="K9">
        <v>0.42199999999999999</v>
      </c>
      <c r="L9">
        <v>0.44400000000000001</v>
      </c>
      <c r="M9">
        <v>0.45100000000000001</v>
      </c>
      <c r="N9">
        <v>0.48899999999999999</v>
      </c>
      <c r="O9">
        <v>0.51</v>
      </c>
      <c r="P9">
        <v>0.55200000000000005</v>
      </c>
      <c r="Q9">
        <v>0.49099999999999999</v>
      </c>
      <c r="R9">
        <v>0.59799999999999998</v>
      </c>
      <c r="S9">
        <v>0.61499999999999999</v>
      </c>
    </row>
    <row r="10" spans="1:19" x14ac:dyDescent="0.2">
      <c r="A10" s="1" t="s">
        <v>237</v>
      </c>
      <c r="B10" t="s">
        <v>231</v>
      </c>
      <c r="C10" t="s">
        <v>231</v>
      </c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t="s">
        <v>231</v>
      </c>
      <c r="O10" t="s">
        <v>231</v>
      </c>
      <c r="P10" t="s">
        <v>231</v>
      </c>
      <c r="Q10" t="s">
        <v>231</v>
      </c>
      <c r="R10" t="s">
        <v>231</v>
      </c>
      <c r="S10" t="s">
        <v>231</v>
      </c>
    </row>
    <row r="11" spans="1:19" x14ac:dyDescent="0.2">
      <c r="A11" s="1" t="s">
        <v>238</v>
      </c>
      <c r="B11" t="s">
        <v>231</v>
      </c>
      <c r="C11" t="s">
        <v>231</v>
      </c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3.5999999999999997E-2</v>
      </c>
      <c r="K11">
        <v>3.6999999999999998E-2</v>
      </c>
      <c r="L11">
        <v>6.5000000000000002E-2</v>
      </c>
      <c r="M11">
        <v>6.9000000000000006E-2</v>
      </c>
      <c r="N11">
        <v>7.0999999999999994E-2</v>
      </c>
      <c r="O11">
        <v>0.106</v>
      </c>
      <c r="P11">
        <v>0.10299999999999999</v>
      </c>
      <c r="Q11">
        <v>0.11</v>
      </c>
      <c r="R11">
        <v>0.125</v>
      </c>
      <c r="S11">
        <v>0.14399999999999999</v>
      </c>
    </row>
    <row r="14" spans="1:19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9" x14ac:dyDescent="0.2">
      <c r="A15">
        <v>0.96699999999999997</v>
      </c>
      <c r="B15" t="s">
        <v>231</v>
      </c>
      <c r="C15">
        <v>0.191</v>
      </c>
      <c r="D15">
        <v>0.191</v>
      </c>
      <c r="E15">
        <v>0.14399999999999999</v>
      </c>
      <c r="F15">
        <v>2.3E-2</v>
      </c>
      <c r="G15">
        <v>5.0999999999999997E-2</v>
      </c>
      <c r="H15" t="s">
        <v>231</v>
      </c>
      <c r="I15" t="s">
        <v>231</v>
      </c>
      <c r="K15" s="1">
        <f>SUM(B15:I15)</f>
        <v>0.60000000000000009</v>
      </c>
      <c r="L15" s="1">
        <f>K15*0.5</f>
        <v>0.30000000000000004</v>
      </c>
    </row>
    <row r="16" spans="1:19" x14ac:dyDescent="0.2">
      <c r="A16">
        <v>0.92800000000000005</v>
      </c>
      <c r="B16" t="s">
        <v>231</v>
      </c>
      <c r="C16">
        <v>0.191</v>
      </c>
      <c r="D16">
        <v>0.01</v>
      </c>
      <c r="E16">
        <v>0.14099999999999999</v>
      </c>
      <c r="F16">
        <v>4.8000000000000001E-2</v>
      </c>
      <c r="G16">
        <v>0.08</v>
      </c>
      <c r="H16" t="s">
        <v>231</v>
      </c>
      <c r="I16" t="s">
        <v>231</v>
      </c>
      <c r="K16" s="1">
        <f t="shared" ref="K16:K30" si="0">SUM(B16:I16)</f>
        <v>0.47</v>
      </c>
      <c r="L16" s="1">
        <f t="shared" ref="L16:L30" si="1">K16*0.5</f>
        <v>0.23499999999999999</v>
      </c>
    </row>
    <row r="17" spans="1:12" x14ac:dyDescent="0.2">
      <c r="A17">
        <v>0.96199999999999997</v>
      </c>
      <c r="B17" t="s">
        <v>231</v>
      </c>
      <c r="C17">
        <v>0.20799999999999999</v>
      </c>
      <c r="D17">
        <v>0.03</v>
      </c>
      <c r="E17">
        <v>0.13300000000000001</v>
      </c>
      <c r="F17">
        <v>0.10100000000000001</v>
      </c>
      <c r="G17">
        <v>0.20599999999999999</v>
      </c>
      <c r="H17" t="s">
        <v>231</v>
      </c>
      <c r="I17" t="s">
        <v>231</v>
      </c>
      <c r="K17" s="1">
        <f t="shared" si="0"/>
        <v>0.67799999999999994</v>
      </c>
      <c r="L17" s="1">
        <f t="shared" si="1"/>
        <v>0.33899999999999997</v>
      </c>
    </row>
    <row r="18" spans="1:12" x14ac:dyDescent="0.2">
      <c r="A18">
        <v>0.94</v>
      </c>
      <c r="B18" t="s">
        <v>231</v>
      </c>
      <c r="C18">
        <v>0.154</v>
      </c>
      <c r="D18">
        <v>0.156</v>
      </c>
      <c r="E18">
        <v>0.11600000000000001</v>
      </c>
      <c r="F18">
        <v>0.03</v>
      </c>
      <c r="G18">
        <v>7.0999999999999994E-2</v>
      </c>
      <c r="H18" t="s">
        <v>231</v>
      </c>
      <c r="I18" t="s">
        <v>231</v>
      </c>
      <c r="K18" s="1">
        <f t="shared" si="0"/>
        <v>0.52699999999999991</v>
      </c>
      <c r="L18" s="1">
        <f t="shared" si="1"/>
        <v>0.26349999999999996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0.96299999999999997</v>
      </c>
      <c r="B21" t="s">
        <v>231</v>
      </c>
      <c r="C21">
        <v>0.24</v>
      </c>
      <c r="D21">
        <v>7.6999999999999999E-2</v>
      </c>
      <c r="E21">
        <v>0.125</v>
      </c>
      <c r="F21">
        <v>0.29299999999999998</v>
      </c>
      <c r="G21">
        <v>0.35499999999999998</v>
      </c>
      <c r="H21" t="s">
        <v>231</v>
      </c>
      <c r="I21" t="s">
        <v>231</v>
      </c>
      <c r="K21" s="1">
        <f t="shared" si="0"/>
        <v>1.0899999999999999</v>
      </c>
      <c r="L21" s="1">
        <f t="shared" si="1"/>
        <v>0.54499999999999993</v>
      </c>
    </row>
    <row r="22" spans="1:12" x14ac:dyDescent="0.2">
      <c r="A22">
        <v>0.94799999999999995</v>
      </c>
      <c r="B22" t="s">
        <v>231</v>
      </c>
      <c r="C22">
        <v>0.23499999999999999</v>
      </c>
      <c r="D22">
        <v>7.5999999999999998E-2</v>
      </c>
      <c r="E22">
        <v>0.123</v>
      </c>
      <c r="F22">
        <v>0.27500000000000002</v>
      </c>
      <c r="G22">
        <v>0.32</v>
      </c>
      <c r="H22" t="s">
        <v>231</v>
      </c>
      <c r="I22" t="s">
        <v>231</v>
      </c>
      <c r="K22" s="1">
        <f t="shared" si="0"/>
        <v>1.0290000000000001</v>
      </c>
      <c r="L22" s="1">
        <f t="shared" si="1"/>
        <v>0.51450000000000007</v>
      </c>
    </row>
    <row r="23" spans="1:12" x14ac:dyDescent="0.2">
      <c r="A23">
        <v>0.69199999999999995</v>
      </c>
      <c r="B23" t="s">
        <v>231</v>
      </c>
      <c r="C23">
        <v>0.35599999999999998</v>
      </c>
      <c r="D23">
        <v>0.13200000000000001</v>
      </c>
      <c r="E23">
        <v>0.18</v>
      </c>
      <c r="F23">
        <v>1.1919999999999999</v>
      </c>
      <c r="G23">
        <v>0.374</v>
      </c>
      <c r="H23" t="s">
        <v>231</v>
      </c>
      <c r="I23">
        <v>3.5999999999999997E-2</v>
      </c>
      <c r="K23" s="1">
        <f t="shared" si="0"/>
        <v>2.27</v>
      </c>
      <c r="L23" s="1">
        <f t="shared" si="1"/>
        <v>1.135</v>
      </c>
    </row>
    <row r="24" spans="1:12" x14ac:dyDescent="0.2">
      <c r="A24">
        <v>0.99299999999999999</v>
      </c>
      <c r="B24" t="s">
        <v>231</v>
      </c>
      <c r="C24">
        <v>0.39100000000000001</v>
      </c>
      <c r="D24">
        <v>0.16300000000000001</v>
      </c>
      <c r="E24">
        <v>0.22600000000000001</v>
      </c>
      <c r="F24">
        <v>1.2989999999999999</v>
      </c>
      <c r="G24">
        <v>0.42199999999999999</v>
      </c>
      <c r="H24" t="s">
        <v>231</v>
      </c>
      <c r="I24">
        <v>3.6999999999999998E-2</v>
      </c>
      <c r="K24" s="1">
        <f t="shared" si="0"/>
        <v>2.5379999999999998</v>
      </c>
      <c r="L24" s="1">
        <f t="shared" si="1"/>
        <v>1.2689999999999999</v>
      </c>
    </row>
    <row r="25" spans="1:12" x14ac:dyDescent="0.2">
      <c r="A25">
        <v>1.0029999999999999</v>
      </c>
      <c r="B25" t="s">
        <v>231</v>
      </c>
      <c r="C25">
        <v>0.55400000000000005</v>
      </c>
      <c r="D25">
        <v>0.218</v>
      </c>
      <c r="E25">
        <v>0.27400000000000002</v>
      </c>
      <c r="F25">
        <v>1.77</v>
      </c>
      <c r="G25">
        <v>0.44400000000000001</v>
      </c>
      <c r="H25" t="s">
        <v>231</v>
      </c>
      <c r="I25">
        <v>6.5000000000000002E-2</v>
      </c>
      <c r="K25" s="1">
        <f t="shared" si="0"/>
        <v>3.3249999999999997</v>
      </c>
      <c r="L25" s="1">
        <f t="shared" si="1"/>
        <v>1.6624999999999999</v>
      </c>
    </row>
    <row r="26" spans="1:12" x14ac:dyDescent="0.2">
      <c r="A26">
        <v>1.0109999999999999</v>
      </c>
      <c r="B26" t="s">
        <v>231</v>
      </c>
      <c r="C26">
        <v>0.53100000000000003</v>
      </c>
      <c r="D26">
        <v>0.23300000000000001</v>
      </c>
      <c r="E26">
        <v>0.32600000000000001</v>
      </c>
      <c r="F26">
        <v>1.8089999999999999</v>
      </c>
      <c r="G26">
        <v>0.45100000000000001</v>
      </c>
      <c r="H26" t="s">
        <v>231</v>
      </c>
      <c r="I26">
        <v>6.9000000000000006E-2</v>
      </c>
      <c r="K26" s="1">
        <f t="shared" si="0"/>
        <v>3.419</v>
      </c>
      <c r="L26" s="1">
        <f t="shared" si="1"/>
        <v>1.7095</v>
      </c>
    </row>
    <row r="27" spans="1:12" x14ac:dyDescent="0.2">
      <c r="A27">
        <v>0.877</v>
      </c>
      <c r="B27" t="s">
        <v>231</v>
      </c>
      <c r="C27">
        <v>0.66400000000000003</v>
      </c>
      <c r="D27">
        <v>0.29499999999999998</v>
      </c>
      <c r="E27">
        <v>0.30399999999999999</v>
      </c>
      <c r="F27">
        <v>1.9950000000000001</v>
      </c>
      <c r="G27">
        <v>0.48899999999999999</v>
      </c>
      <c r="H27" t="s">
        <v>231</v>
      </c>
      <c r="I27">
        <v>7.0999999999999994E-2</v>
      </c>
      <c r="K27" s="1">
        <f t="shared" si="0"/>
        <v>3.8180000000000001</v>
      </c>
      <c r="L27" s="1">
        <f t="shared" si="1"/>
        <v>1.909</v>
      </c>
    </row>
    <row r="28" spans="1:12" x14ac:dyDescent="0.2">
      <c r="A28">
        <v>0.97599999999999998</v>
      </c>
      <c r="B28" t="s">
        <v>231</v>
      </c>
      <c r="C28">
        <v>0.73399999999999999</v>
      </c>
      <c r="D28">
        <v>0.32700000000000001</v>
      </c>
      <c r="E28">
        <v>0.47199999999999998</v>
      </c>
      <c r="F28">
        <v>2.379</v>
      </c>
      <c r="G28">
        <v>0.51</v>
      </c>
      <c r="H28" t="s">
        <v>231</v>
      </c>
      <c r="I28">
        <v>0.106</v>
      </c>
      <c r="K28" s="1">
        <f t="shared" si="0"/>
        <v>4.5279999999999996</v>
      </c>
      <c r="L28" s="1">
        <f t="shared" si="1"/>
        <v>2.2639999999999998</v>
      </c>
    </row>
    <row r="29" spans="1:12" x14ac:dyDescent="0.2">
      <c r="A29">
        <v>1.006</v>
      </c>
      <c r="B29" t="s">
        <v>231</v>
      </c>
      <c r="C29">
        <v>0.88900000000000001</v>
      </c>
      <c r="D29">
        <v>0.42299999999999999</v>
      </c>
      <c r="E29">
        <v>0.41399999999999998</v>
      </c>
      <c r="F29">
        <v>2.9289999999999998</v>
      </c>
      <c r="G29">
        <v>0.55200000000000005</v>
      </c>
      <c r="H29" t="s">
        <v>231</v>
      </c>
      <c r="I29">
        <v>0.10299999999999999</v>
      </c>
      <c r="K29" s="1">
        <f t="shared" si="0"/>
        <v>5.3099999999999987</v>
      </c>
      <c r="L29" s="1">
        <f t="shared" si="1"/>
        <v>2.6549999999999994</v>
      </c>
    </row>
    <row r="30" spans="1:12" x14ac:dyDescent="0.2">
      <c r="A30">
        <v>0.90900000000000003</v>
      </c>
      <c r="B30" t="s">
        <v>231</v>
      </c>
      <c r="C30">
        <v>0.73299999999999998</v>
      </c>
      <c r="D30">
        <v>0.34300000000000003</v>
      </c>
      <c r="E30">
        <v>0.46</v>
      </c>
      <c r="F30">
        <v>2.3730000000000002</v>
      </c>
      <c r="G30">
        <v>0.49099999999999999</v>
      </c>
      <c r="H30" t="s">
        <v>231</v>
      </c>
      <c r="I30">
        <v>0.11</v>
      </c>
      <c r="K30" s="1">
        <f t="shared" si="0"/>
        <v>4.5100000000000007</v>
      </c>
      <c r="L30" s="1">
        <f t="shared" si="1"/>
        <v>2.2550000000000003</v>
      </c>
    </row>
    <row r="31" spans="1:12" x14ac:dyDescent="0.2">
      <c r="A31">
        <v>0.95599999999999996</v>
      </c>
      <c r="B31" t="s">
        <v>231</v>
      </c>
      <c r="C31">
        <v>0.998</v>
      </c>
      <c r="D31">
        <v>0.52200000000000002</v>
      </c>
      <c r="E31">
        <v>0.499</v>
      </c>
      <c r="F31">
        <v>3.7789999999999999</v>
      </c>
      <c r="G31">
        <v>0.59799999999999998</v>
      </c>
      <c r="H31" t="s">
        <v>231</v>
      </c>
      <c r="I31">
        <v>0.125</v>
      </c>
      <c r="K31" s="1">
        <f>SUM(B31:I31)</f>
        <v>6.5209999999999999</v>
      </c>
      <c r="L31" s="1">
        <f>K31*0.5</f>
        <v>3.2605</v>
      </c>
    </row>
    <row r="32" spans="1:12" x14ac:dyDescent="0.2">
      <c r="A32">
        <v>1.0249999999999999</v>
      </c>
      <c r="B32" t="s">
        <v>231</v>
      </c>
      <c r="C32">
        <v>0.99299999999999999</v>
      </c>
      <c r="D32">
        <v>0.48799999999999999</v>
      </c>
      <c r="E32">
        <v>0.67</v>
      </c>
      <c r="F32">
        <v>3.411</v>
      </c>
      <c r="G32">
        <v>0.61499999999999999</v>
      </c>
      <c r="H32" t="s">
        <v>231</v>
      </c>
      <c r="I32">
        <v>0.14399999999999999</v>
      </c>
      <c r="K32" s="1">
        <f>SUM(B32:I32)</f>
        <v>6.3209999999999997</v>
      </c>
      <c r="L32" s="1">
        <f>K32*0.5</f>
        <v>3.1604999999999999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A565-7505-41B6-BBEC-DD6AB6FC1846}">
  <dimension ref="A1"/>
  <sheetViews>
    <sheetView workbookViewId="0">
      <selection sqref="A1:E8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B252-C8DF-4EA8-BBFA-8500EC40EFF1}">
  <dimension ref="A1"/>
  <sheetViews>
    <sheetView workbookViewId="0">
      <selection activeCell="C30" sqref="C30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2025-01-11T00:31:09Z</dcterms:created>
  <dcterms:modified xsi:type="dcterms:W3CDTF">2025-03-03T18:32:15Z</dcterms:modified>
</cp:coreProperties>
</file>