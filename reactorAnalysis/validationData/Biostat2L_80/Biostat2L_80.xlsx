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Biostat2L_80/"/>
    </mc:Choice>
  </mc:AlternateContent>
  <xr:revisionPtr revIDLastSave="0" documentId="13_ncr:1_{47D4BCDF-F298-CE43-B0FE-06BC480631DA}" xr6:coauthVersionLast="47" xr6:coauthVersionMax="47" xr10:uidLastSave="{00000000-0000-0000-0000-000000000000}"/>
  <bookViews>
    <workbookView xWindow="0" yWindow="600" windowWidth="38400" windowHeight="1954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" i="6" l="1"/>
  <c r="AE20" i="6"/>
  <c r="AE19" i="6"/>
  <c r="AE18" i="6"/>
  <c r="AD21" i="6"/>
  <c r="AD20" i="6"/>
  <c r="AD19" i="6"/>
  <c r="AD18" i="6"/>
  <c r="AC21" i="6"/>
  <c r="AC20" i="6"/>
  <c r="AC19" i="6"/>
  <c r="AC18" i="6"/>
  <c r="AC17" i="6"/>
  <c r="AB21" i="6"/>
  <c r="AB20" i="6"/>
  <c r="AB19" i="6"/>
  <c r="AB18" i="6"/>
  <c r="AB17" i="6"/>
  <c r="AA17" i="6"/>
  <c r="Z21" i="6"/>
  <c r="Z20" i="6"/>
  <c r="Z19" i="6"/>
  <c r="Z18" i="6"/>
  <c r="Y21" i="6"/>
  <c r="Y20" i="6"/>
  <c r="Y19" i="6"/>
  <c r="Y18" i="6"/>
  <c r="Y17" i="6"/>
  <c r="AL35" i="6" l="1"/>
  <c r="AN17" i="6"/>
  <c r="AM17" i="6"/>
  <c r="AL17" i="6"/>
  <c r="AN18" i="6"/>
  <c r="AM18" i="6"/>
  <c r="AL18" i="6"/>
  <c r="AN19" i="6"/>
  <c r="AM19" i="6"/>
  <c r="AL19" i="6"/>
  <c r="AN20" i="6"/>
  <c r="AM20" i="6"/>
  <c r="AL20" i="6"/>
  <c r="AA18" i="6" l="1"/>
  <c r="AE17" i="6"/>
  <c r="AA19" i="6"/>
  <c r="AA20" i="6"/>
  <c r="Z17" i="6"/>
  <c r="AN23" i="6" l="1"/>
  <c r="O18" i="6"/>
  <c r="O19" i="6"/>
  <c r="O20" i="6"/>
  <c r="O21" i="6"/>
  <c r="O22" i="6"/>
  <c r="O23" i="6"/>
  <c r="O24" i="6"/>
  <c r="O25" i="6"/>
  <c r="O26" i="6"/>
  <c r="O27" i="6"/>
  <c r="O28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G6" i="2" l="1"/>
  <c r="F6" i="2"/>
  <c r="AP23" i="6" l="1"/>
  <c r="AN28" i="6"/>
  <c r="AN27" i="6"/>
  <c r="AN26" i="6"/>
  <c r="AN25" i="6"/>
  <c r="AN24" i="6"/>
  <c r="AN22" i="6"/>
  <c r="AN21" i="6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A21" i="6" l="1"/>
</calcChain>
</file>

<file path=xl/sharedStrings.xml><?xml version="1.0" encoding="utf-8"?>
<sst xmlns="http://schemas.openxmlformats.org/spreadsheetml/2006/main" count="415" uniqueCount="190">
  <si>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</si>
  <si>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</si>
  <si>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</si>
  <si>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</si>
  <si>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</si>
  <si>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</si>
  <si>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</si>
  <si>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</si>
  <si>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</si>
  <si>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</si>
  <si>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</si>
  <si>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</si>
  <si>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</si>
  <si>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</si>
  <si>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</si>
  <si>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</si>
  <si>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</si>
  <si>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</si>
  <si>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</si>
  <si>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</si>
  <si>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</si>
  <si>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</si>
  <si>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</si>
  <si>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</si>
  <si>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</si>
  <si>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</si>
  <si>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</si>
  <si>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</si>
  <si>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</si>
  <si>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</si>
  <si>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</si>
  <si>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</si>
  <si>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</si>
  <si>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</si>
  <si>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</si>
  <si>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</si>
  <si>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</si>
  <si>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</si>
  <si>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</si>
  <si>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</si>
  <si>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</si>
  <si>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</si>
  <si>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</si>
  <si>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</si>
  <si>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</si>
  <si>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</si>
  <si>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</si>
  <si>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</si>
  <si>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</si>
  <si>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</si>
  <si>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</si>
  <si>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</si>
  <si>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</si>
  <si>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</si>
  <si>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</si>
  <si>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</si>
  <si>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</si>
  <si>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</si>
  <si>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</si>
  <si>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</si>
  <si>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</si>
  <si>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</si>
  <si>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</si>
  <si>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</si>
  <si>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</si>
  <si>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</si>
  <si>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</si>
  <si>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</si>
  <si>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</si>
  <si>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</si>
  <si>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</si>
  <si>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</si>
  <si>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</si>
  <si>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</si>
  <si>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</si>
  <si>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</si>
  <si>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</si>
  <si>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</si>
  <si>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</si>
  <si>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</si>
  <si>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</si>
  <si>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</si>
  <si>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</si>
  <si>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</si>
  <si>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</si>
  <si>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</si>
  <si>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</si>
  <si>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</si>
  <si>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</si>
  <si>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</si>
  <si>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</si>
  <si>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</si>
  <si>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</si>
  <si>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</si>
  <si>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</si>
  <si>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</si>
  <si>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</si>
  <si>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</si>
  <si>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</si>
  <si>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</si>
  <si>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</si>
  <si>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</si>
  <si>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</si>
  <si>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</si>
  <si>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</si>
  <si>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</si>
  <si>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</si>
  <si>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</si>
  <si>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 xml:space="preserve"> </t>
  </si>
  <si>
    <t>Time inoculation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</si>
  <si>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</si>
  <si>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</si>
  <si>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</si>
  <si>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</si>
  <si>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</si>
  <si>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</si>
  <si>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</si>
  <si>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</si>
  <si>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</si>
  <si>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</si>
  <si>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</si>
  <si>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</si>
  <si>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</si>
  <si>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</si>
  <si>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</si>
  <si>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</si>
  <si>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</si>
  <si>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</si>
  <si>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Biostat2L_71</t>
  </si>
  <si>
    <t>oscillating</t>
  </si>
  <si>
    <t>25%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</si>
  <si>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</si>
  <si>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</si>
  <si>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</si>
  <si>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</si>
  <si>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</si>
  <si>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</si>
  <si>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</si>
  <si>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</si>
  <si>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</si>
  <si>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</si>
  <si>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</si>
  <si>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</si>
  <si>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</si>
  <si>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</si>
  <si>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</si>
  <si>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</si>
  <si>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</si>
  <si>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</si>
  <si>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</si>
  <si>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</si>
  <si>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</si>
  <si>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</si>
  <si>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</si>
  <si>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</si>
  <si>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</si>
  <si>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</si>
  <si>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</si>
  <si>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</si>
  <si>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</si>
  <si>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</si>
  <si>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</si>
  <si>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</si>
  <si>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</si>
  <si>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</si>
  <si>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</si>
  <si>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</si>
  <si>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</si>
  <si>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</si>
  <si>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</si>
  <si>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</si>
  <si>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</si>
  <si>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</si>
  <si>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</si>
  <si>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</si>
  <si>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</si>
  <si>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</si>
  <si>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400 (0%)-600(50%)-800(100%)</t>
  </si>
  <si>
    <t>(0.325 (0%) - 0.5 (25%) - 1.125 (100%)</t>
  </si>
  <si>
    <t>pO2 - 25%</t>
  </si>
  <si>
    <t>~35 mL in 250 ML flasks</t>
  </si>
  <si>
    <t>Control (PO1g+leu2)</t>
  </si>
  <si>
    <t>Biostat2L_72</t>
  </si>
  <si>
    <t>Biostat2L_80</t>
  </si>
  <si>
    <t>Biostat2L_81</t>
  </si>
  <si>
    <t>Jeff_SloHot50_BioStat-2L 80-3</t>
  </si>
  <si>
    <t>Jeff_SloHot50_BioStat-2L 80-6</t>
  </si>
  <si>
    <t>Jeff_SloHot50_BioStat-2L 80-7</t>
  </si>
  <si>
    <t>Jeff_SloHot50_BioStat-2L 80-8</t>
  </si>
  <si>
    <t>Jeff_SloHot50_BioStat-2L 80-9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</si>
</sst>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0" borderId="0"/>
    <xf numFmtId="0" fontId="10" fillId="2" borderId="0" applyNumberFormat="0" applyBorder="0" applyAlignment="0" applyProtection="0"/>
    <xf numFmtId="0" fontId="11" fillId="3" borderId="1" applyNumberFormat="0" applyAlignment="0" applyProtection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7" fillId="0" borderId="0" xfId="1"/>
    <xf numFmtId="14" fontId="7" fillId="0" borderId="0" xfId="1" applyNumberFormat="1"/>
    <xf numFmtId="18" fontId="7" fillId="0" borderId="0" xfId="1" applyNumberFormat="1"/>
    <xf numFmtId="0" fontId="8" fillId="0" borderId="0" xfId="1" applyFont="1"/>
    <xf numFmtId="0" fontId="9" fillId="0" borderId="0" xfId="1" applyFont="1"/>
    <xf numFmtId="46" fontId="7" fillId="0" borderId="0" xfId="1" applyNumberFormat="1"/>
    <xf numFmtId="164" fontId="7" fillId="0" borderId="0" xfId="1" applyNumberFormat="1"/>
    <xf numFmtId="165" fontId="7" fillId="0" borderId="0" xfId="1" applyNumberFormat="1"/>
    <xf numFmtId="3" fontId="7" fillId="0" borderId="0" xfId="1" applyNumberFormat="1"/>
    <xf numFmtId="0" fontId="10" fillId="2" borderId="0" xfId="2" applyBorder="1" applyAlignment="1">
      <alignment horizontal="center"/>
    </xf>
    <xf numFmtId="0" fontId="7" fillId="0" borderId="3" xfId="1" applyBorder="1"/>
    <xf numFmtId="0" fontId="7" fillId="0" borderId="4" xfId="1" applyBorder="1"/>
    <xf numFmtId="0" fontId="7" fillId="0" borderId="0" xfId="1" applyAlignment="1">
      <alignment wrapText="1"/>
    </xf>
    <xf numFmtId="0" fontId="0" fillId="0" borderId="3" xfId="0" applyBorder="1"/>
    <xf numFmtId="2" fontId="7" fillId="0" borderId="0" xfId="1" applyNumberFormat="1"/>
    <xf numFmtId="165" fontId="12" fillId="0" borderId="0" xfId="1" applyNumberFormat="1" applyFont="1"/>
    <xf numFmtId="0" fontId="7" fillId="0" borderId="5" xfId="1" applyBorder="1"/>
    <xf numFmtId="0" fontId="13" fillId="0" borderId="0" xfId="1" applyFont="1"/>
    <xf numFmtId="0" fontId="6" fillId="0" borderId="0" xfId="1" applyFont="1"/>
    <xf numFmtId="0" fontId="14" fillId="0" borderId="3" xfId="0" applyFont="1" applyBorder="1"/>
    <xf numFmtId="0" fontId="5" fillId="0" borderId="0" xfId="1" applyFont="1"/>
    <xf numFmtId="0" fontId="5" fillId="0" borderId="0" xfId="1" applyFont="1" applyAlignment="1">
      <alignment horizontal="left"/>
    </xf>
    <xf numFmtId="18" fontId="5" fillId="0" borderId="0" xfId="1" applyNumberFormat="1" applyFont="1"/>
    <xf numFmtId="0" fontId="15" fillId="0" borderId="3" xfId="0" applyFont="1" applyBorder="1"/>
    <xf numFmtId="0" fontId="5" fillId="0" borderId="0" xfId="1" applyFont="1" applyAlignment="1">
      <alignment wrapText="1"/>
    </xf>
    <xf numFmtId="0" fontId="4" fillId="0" borderId="0" xfId="1" applyFont="1"/>
    <xf numFmtId="9" fontId="4" fillId="0" borderId="0" xfId="1" applyNumberFormat="1" applyFont="1"/>
    <xf numFmtId="0" fontId="16" fillId="0" borderId="0" xfId="0" applyFont="1"/>
    <xf numFmtId="14" fontId="17" fillId="0" borderId="0" xfId="1" applyNumberFormat="1" applyFont="1"/>
    <xf numFmtId="0" fontId="17" fillId="0" borderId="0" xfId="1" applyFont="1"/>
    <xf numFmtId="0" fontId="11" fillId="0" borderId="0" xfId="3" applyFill="1" applyBorder="1" applyAlignment="1">
      <alignment horizontal="center"/>
    </xf>
    <xf numFmtId="0" fontId="7" fillId="0" borderId="0" xfId="1" applyAlignment="1">
      <alignment horizontal="center" wrapText="1"/>
    </xf>
    <xf numFmtId="0" fontId="4" fillId="0" borderId="0" xfId="1" applyFont="1" applyAlignment="1">
      <alignment wrapText="1"/>
    </xf>
    <xf numFmtId="0" fontId="3" fillId="0" borderId="0" xfId="1" applyFont="1"/>
    <xf numFmtId="18" fontId="3" fillId="0" borderId="0" xfId="1" applyNumberFormat="1" applyFont="1"/>
    <xf numFmtId="0" fontId="2" fillId="0" borderId="0" xfId="1" applyFont="1"/>
    <xf numFmtId="0" fontId="10" fillId="2" borderId="2" xfId="2" applyBorder="1" applyAlignment="1">
      <alignment horizontal="center"/>
    </xf>
    <xf numFmtId="0" fontId="11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4</c:v>
                </c:pt>
                <c:pt idx="5" formatCode="0.0">
                  <c:v>24</c:v>
                </c:pt>
                <c:pt idx="6" formatCode="0.0">
                  <c:v>48</c:v>
                </c:pt>
                <c:pt idx="7" formatCode="0.0">
                  <c:v>72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0.40899999999999997</c:v>
                </c:pt>
                <c:pt idx="4">
                  <c:v>2.2919999999999998</c:v>
                </c:pt>
                <c:pt idx="5">
                  <c:v>29.32</c:v>
                </c:pt>
                <c:pt idx="6">
                  <c:v>32.68</c:v>
                </c:pt>
                <c:pt idx="7">
                  <c:v>30.52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17" workbookViewId="0">
      <selection activeCell="F36" sqref="F36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26" t="s">
        <v>115</v>
      </c>
    </row>
    <row r="2" spans="1:9" x14ac:dyDescent="0.2">
      <c r="B2" s="21"/>
    </row>
    <row r="3" spans="1:9" x14ac:dyDescent="0.2">
      <c r="A3" s="26" t="s">
        <v>116</v>
      </c>
    </row>
    <row r="5" spans="1:9" x14ac:dyDescent="0.2">
      <c r="B5" s="36" t="s">
        <v>118</v>
      </c>
      <c r="C5" s="36" t="s">
        <v>119</v>
      </c>
      <c r="D5" s="36" t="s">
        <v>121</v>
      </c>
      <c r="F5" s="36" t="s">
        <v>131</v>
      </c>
      <c r="G5" s="36" t="s">
        <v>120</v>
      </c>
      <c r="H5" s="1" t="s">
        <v>137</v>
      </c>
      <c r="I5" s="1" t="s">
        <v>138</v>
      </c>
    </row>
    <row r="6" spans="1:9" x14ac:dyDescent="0.2">
      <c r="B6" s="36" t="s">
        <v>117</v>
      </c>
      <c r="C6" s="36" t="s">
        <v>17</v>
      </c>
      <c r="D6" s="36" t="s">
        <v>181</v>
      </c>
      <c r="F6" s="36" t="s">
        <v>129</v>
      </c>
    </row>
    <row r="7" spans="1:9" x14ac:dyDescent="0.2">
      <c r="B7" s="36" t="s">
        <v>117</v>
      </c>
      <c r="C7" s="36" t="s">
        <v>110</v>
      </c>
      <c r="D7" s="36" t="s">
        <v>122</v>
      </c>
      <c r="F7" s="36" t="s">
        <v>129</v>
      </c>
      <c r="G7" s="28" t="s">
        <v>155</v>
      </c>
      <c r="H7" s="1" t="s">
        <v>156</v>
      </c>
      <c r="I7" s="1" t="s">
        <v>157</v>
      </c>
    </row>
    <row r="8" spans="1:9" x14ac:dyDescent="0.2">
      <c r="B8" s="36" t="s">
        <v>117</v>
      </c>
      <c r="C8" s="36" t="s">
        <v>111</v>
      </c>
      <c r="D8" s="36" t="s">
        <v>123</v>
      </c>
      <c r="F8" s="36" t="s">
        <v>129</v>
      </c>
      <c r="G8" s="28" t="s">
        <v>153</v>
      </c>
      <c r="H8" s="1" t="s">
        <v>154</v>
      </c>
      <c r="I8" s="1" t="s">
        <v>136</v>
      </c>
    </row>
    <row r="9" spans="1:9" x14ac:dyDescent="0.2">
      <c r="B9" s="36" t="s">
        <v>124</v>
      </c>
      <c r="C9" s="36" t="s">
        <v>17</v>
      </c>
      <c r="D9" s="36" t="s">
        <v>159</v>
      </c>
      <c r="F9" s="36" t="s">
        <v>129</v>
      </c>
      <c r="G9" s="36" t="s">
        <v>129</v>
      </c>
      <c r="H9" s="28" t="s">
        <v>151</v>
      </c>
      <c r="I9" s="28" t="s">
        <v>152</v>
      </c>
    </row>
    <row r="10" spans="1:9" x14ac:dyDescent="0.2">
      <c r="B10" s="36" t="s">
        <v>124</v>
      </c>
      <c r="C10" s="36" t="s">
        <v>110</v>
      </c>
      <c r="D10" s="36" t="s">
        <v>158</v>
      </c>
      <c r="F10" s="36" t="s">
        <v>129</v>
      </c>
      <c r="G10" s="28" t="s">
        <v>145</v>
      </c>
      <c r="H10" s="1" t="s">
        <v>146</v>
      </c>
    </row>
    <row r="11" spans="1:9" x14ac:dyDescent="0.2">
      <c r="B11" s="36" t="s">
        <v>124</v>
      </c>
      <c r="C11" s="36" t="s">
        <v>111</v>
      </c>
      <c r="D11" s="36" t="s">
        <v>134</v>
      </c>
      <c r="F11" s="36" t="s">
        <v>129</v>
      </c>
      <c r="G11" s="28" t="s">
        <v>133</v>
      </c>
      <c r="H11" s="1" t="s">
        <v>141</v>
      </c>
      <c r="I11" s="1" t="s">
        <v>136</v>
      </c>
    </row>
    <row r="12" spans="1:9" x14ac:dyDescent="0.2">
      <c r="B12" s="36" t="s">
        <v>125</v>
      </c>
      <c r="C12" s="36" t="s">
        <v>17</v>
      </c>
      <c r="D12" s="36" t="s">
        <v>164</v>
      </c>
      <c r="F12" s="36" t="s">
        <v>129</v>
      </c>
      <c r="G12" s="28" t="s">
        <v>132</v>
      </c>
      <c r="H12" s="1" t="s">
        <v>139</v>
      </c>
      <c r="I12" s="1" t="s">
        <v>140</v>
      </c>
    </row>
    <row r="13" spans="1:9" x14ac:dyDescent="0.2">
      <c r="B13" s="36" t="s">
        <v>125</v>
      </c>
      <c r="C13" s="36" t="s">
        <v>110</v>
      </c>
      <c r="D13" s="36" t="s">
        <v>165</v>
      </c>
      <c r="F13" s="36" t="s">
        <v>129</v>
      </c>
      <c r="G13" s="28" t="s">
        <v>142</v>
      </c>
      <c r="H13" s="1" t="s">
        <v>143</v>
      </c>
      <c r="I13" s="1" t="s">
        <v>144</v>
      </c>
    </row>
    <row r="14" spans="1:9" x14ac:dyDescent="0.2">
      <c r="B14" s="36" t="s">
        <v>125</v>
      </c>
      <c r="C14" s="36" t="s">
        <v>111</v>
      </c>
      <c r="D14" s="36" t="s">
        <v>166</v>
      </c>
      <c r="F14" s="36" t="s">
        <v>129</v>
      </c>
      <c r="G14" s="28" t="s">
        <v>145</v>
      </c>
      <c r="H14" s="1" t="s">
        <v>146</v>
      </c>
    </row>
    <row r="15" spans="1:9" x14ac:dyDescent="0.2">
      <c r="B15" s="36" t="s">
        <v>126</v>
      </c>
      <c r="C15" s="36" t="s">
        <v>17</v>
      </c>
      <c r="D15" s="36" t="s">
        <v>181</v>
      </c>
      <c r="F15" s="36" t="s">
        <v>129</v>
      </c>
    </row>
    <row r="16" spans="1:9" x14ac:dyDescent="0.2">
      <c r="B16" s="36" t="s">
        <v>126</v>
      </c>
      <c r="C16" s="36" t="s">
        <v>110</v>
      </c>
      <c r="D16" s="36" t="s">
        <v>166</v>
      </c>
      <c r="F16" s="36" t="s">
        <v>129</v>
      </c>
      <c r="G16" s="28" t="s">
        <v>145</v>
      </c>
      <c r="H16" s="1" t="s">
        <v>146</v>
      </c>
    </row>
    <row r="17" spans="1:9" x14ac:dyDescent="0.2">
      <c r="B17" s="36" t="s">
        <v>126</v>
      </c>
      <c r="C17" s="36" t="s">
        <v>111</v>
      </c>
      <c r="D17" s="36" t="s">
        <v>134</v>
      </c>
      <c r="F17" s="36" t="s">
        <v>129</v>
      </c>
      <c r="G17" s="28" t="s">
        <v>133</v>
      </c>
      <c r="H17" s="1" t="s">
        <v>141</v>
      </c>
    </row>
    <row r="18" spans="1:9" x14ac:dyDescent="0.2">
      <c r="B18" s="36" t="s">
        <v>127</v>
      </c>
      <c r="C18" s="36" t="s">
        <v>17</v>
      </c>
      <c r="D18" s="36" t="s">
        <v>167</v>
      </c>
      <c r="F18" s="36" t="s">
        <v>129</v>
      </c>
      <c r="G18" s="28" t="s">
        <v>135</v>
      </c>
      <c r="H18" s="1" t="s">
        <v>147</v>
      </c>
      <c r="I18" s="1" t="s">
        <v>136</v>
      </c>
    </row>
    <row r="19" spans="1:9" x14ac:dyDescent="0.2">
      <c r="B19" s="36" t="s">
        <v>127</v>
      </c>
      <c r="C19" s="36" t="s">
        <v>110</v>
      </c>
      <c r="D19" s="36" t="s">
        <v>168</v>
      </c>
      <c r="F19" s="36" t="s">
        <v>129</v>
      </c>
      <c r="G19" s="28" t="s">
        <v>148</v>
      </c>
      <c r="H19" s="1" t="s">
        <v>149</v>
      </c>
      <c r="I19" s="1" t="s">
        <v>150</v>
      </c>
    </row>
    <row r="20" spans="1:9" x14ac:dyDescent="0.2">
      <c r="B20" s="36" t="s">
        <v>127</v>
      </c>
      <c r="C20" s="36" t="s">
        <v>111</v>
      </c>
      <c r="D20" s="36" t="s">
        <v>169</v>
      </c>
      <c r="F20" s="36" t="s">
        <v>129</v>
      </c>
      <c r="G20" s="28" t="s">
        <v>151</v>
      </c>
      <c r="H20" s="28" t="s">
        <v>152</v>
      </c>
    </row>
    <row r="21" spans="1:9" x14ac:dyDescent="0.2">
      <c r="B21" s="36" t="s">
        <v>128</v>
      </c>
      <c r="C21" s="36" t="s">
        <v>17</v>
      </c>
      <c r="D21" s="36" t="s">
        <v>181</v>
      </c>
      <c r="F21" s="36" t="s">
        <v>130</v>
      </c>
    </row>
    <row r="22" spans="1:9" x14ac:dyDescent="0.2">
      <c r="B22" s="36" t="s">
        <v>128</v>
      </c>
      <c r="C22" s="36" t="s">
        <v>110</v>
      </c>
      <c r="D22" s="36" t="s">
        <v>134</v>
      </c>
      <c r="F22" s="36" t="s">
        <v>130</v>
      </c>
      <c r="G22" s="28" t="s">
        <v>133</v>
      </c>
      <c r="H22" s="1" t="s">
        <v>141</v>
      </c>
    </row>
    <row r="23" spans="1:9" x14ac:dyDescent="0.2">
      <c r="B23" s="36" t="s">
        <v>128</v>
      </c>
      <c r="C23" s="36" t="s">
        <v>111</v>
      </c>
      <c r="D23" s="36" t="s">
        <v>166</v>
      </c>
      <c r="F23" s="36" t="s">
        <v>130</v>
      </c>
      <c r="G23" s="28" t="s">
        <v>145</v>
      </c>
      <c r="H23" s="1" t="s">
        <v>146</v>
      </c>
    </row>
    <row r="24" spans="1:9" x14ac:dyDescent="0.2">
      <c r="B24" s="36" t="s">
        <v>182</v>
      </c>
      <c r="C24" s="36" t="s">
        <v>17</v>
      </c>
      <c r="D24" s="36" t="s">
        <v>134</v>
      </c>
      <c r="F24" s="36" t="s">
        <v>129</v>
      </c>
      <c r="G24" s="28" t="s">
        <v>133</v>
      </c>
      <c r="H24" s="1" t="s">
        <v>141</v>
      </c>
    </row>
    <row r="25" spans="1:9" x14ac:dyDescent="0.2">
      <c r="B25" s="36" t="s">
        <v>182</v>
      </c>
      <c r="C25" s="36" t="s">
        <v>110</v>
      </c>
      <c r="D25" t="s">
        <v>166</v>
      </c>
      <c r="F25" s="36" t="s">
        <v>129</v>
      </c>
      <c r="G25" s="28" t="s">
        <v>145</v>
      </c>
      <c r="H25" s="1" t="s">
        <v>146</v>
      </c>
    </row>
    <row r="26" spans="1:9" x14ac:dyDescent="0.2">
      <c r="B26" s="36" t="s">
        <v>183</v>
      </c>
      <c r="C26" s="36" t="s">
        <v>111</v>
      </c>
      <c r="D26" s="36" t="s">
        <v>181</v>
      </c>
      <c r="F26" s="36" t="s">
        <v>130</v>
      </c>
    </row>
    <row r="27" spans="1:9" x14ac:dyDescent="0.2">
      <c r="B27" s="36" t="s">
        <v>184</v>
      </c>
      <c r="C27" s="36" t="s">
        <v>17</v>
      </c>
      <c r="D27" s="36" t="s">
        <v>181</v>
      </c>
      <c r="F27" s="36" t="s">
        <v>130</v>
      </c>
    </row>
    <row r="28" spans="1:9" x14ac:dyDescent="0.2">
      <c r="B28" s="36" t="s">
        <v>184</v>
      </c>
      <c r="C28" s="36" t="s">
        <v>110</v>
      </c>
      <c r="D28" s="36" t="s">
        <v>166</v>
      </c>
      <c r="F28" s="36" t="s">
        <v>129</v>
      </c>
      <c r="G28" s="28" t="s">
        <v>145</v>
      </c>
      <c r="H28" s="1" t="s">
        <v>146</v>
      </c>
    </row>
    <row r="29" spans="1:9" x14ac:dyDescent="0.2">
      <c r="B29" s="36" t="s">
        <v>184</v>
      </c>
      <c r="C29" s="36" t="s">
        <v>111</v>
      </c>
      <c r="D29" s="36" t="s">
        <v>134</v>
      </c>
      <c r="F29" s="36" t="s">
        <v>129</v>
      </c>
      <c r="G29" s="28" t="s">
        <v>133</v>
      </c>
      <c r="H29" s="1" t="s">
        <v>141</v>
      </c>
    </row>
    <row r="30" spans="1:9" x14ac:dyDescent="0.2">
      <c r="A30" s="26" t="s">
        <v>160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34" t="s">
        <v>109</v>
      </c>
      <c r="G32" s="1" t="s">
        <v>4</v>
      </c>
      <c r="H32" s="34" t="s">
        <v>78</v>
      </c>
    </row>
    <row r="33" spans="1:17" x14ac:dyDescent="0.2">
      <c r="C33" s="34" t="s">
        <v>180</v>
      </c>
      <c r="E33" s="2">
        <v>46265</v>
      </c>
      <c r="F33" s="35">
        <v>0.70833333333333337</v>
      </c>
      <c r="G33" s="34" t="s">
        <v>181</v>
      </c>
      <c r="H33" s="34" t="s">
        <v>161</v>
      </c>
    </row>
    <row r="34" spans="1:17" x14ac:dyDescent="0.2">
      <c r="C34" s="34"/>
      <c r="E34" s="2"/>
      <c r="F34" s="35"/>
      <c r="G34" s="34"/>
      <c r="H34" s="34"/>
    </row>
    <row r="35" spans="1:17" x14ac:dyDescent="0.2">
      <c r="C35" s="34"/>
      <c r="E35" s="2"/>
      <c r="F35" s="35"/>
      <c r="G35" s="34"/>
      <c r="H35" s="34"/>
    </row>
    <row r="37" spans="1:17" x14ac:dyDescent="0.2">
      <c r="A37" s="34"/>
      <c r="H37" s="34"/>
      <c r="I37" s="34"/>
    </row>
    <row r="38" spans="1:17" x14ac:dyDescent="0.2">
      <c r="C38" s="34"/>
      <c r="E38" s="2"/>
      <c r="F38" s="35"/>
      <c r="G38" s="34"/>
      <c r="H38" s="34"/>
      <c r="I38" s="34"/>
    </row>
    <row r="39" spans="1:17" x14ac:dyDescent="0.2">
      <c r="C39" s="34"/>
      <c r="E39" s="2"/>
      <c r="F39" s="35"/>
      <c r="G39" s="34"/>
      <c r="H39" s="34"/>
      <c r="I39" s="34"/>
    </row>
    <row r="40" spans="1:17" x14ac:dyDescent="0.2">
      <c r="C40" s="34"/>
      <c r="E40" s="2"/>
      <c r="F40" s="35"/>
      <c r="G40" s="34"/>
      <c r="H40" s="34"/>
      <c r="I40" s="34"/>
    </row>
    <row r="42" spans="1:17" x14ac:dyDescent="0.2">
      <c r="A42" s="1" t="s">
        <v>18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19</v>
      </c>
      <c r="G43" s="1" t="s">
        <v>9</v>
      </c>
      <c r="H43" s="1" t="s">
        <v>10</v>
      </c>
      <c r="I43" s="1" t="s">
        <v>3</v>
      </c>
      <c r="J43" s="1" t="s">
        <v>11</v>
      </c>
      <c r="K43" s="1" t="s">
        <v>12</v>
      </c>
      <c r="L43" s="1" t="s">
        <v>13</v>
      </c>
      <c r="M43" s="1" t="s">
        <v>14</v>
      </c>
      <c r="N43" s="1" t="s">
        <v>15</v>
      </c>
      <c r="O43" s="1" t="s">
        <v>4</v>
      </c>
      <c r="Q43" s="1" t="s">
        <v>16</v>
      </c>
    </row>
    <row r="44" spans="1:17" x14ac:dyDescent="0.2">
      <c r="B44" s="45" t="s">
        <v>111</v>
      </c>
      <c r="C44" s="34" t="s">
        <v>179</v>
      </c>
      <c r="D44" s="1">
        <v>1.5</v>
      </c>
      <c r="F44" s="1">
        <v>0.40899999999999997</v>
      </c>
      <c r="G44" s="1">
        <v>5.6</v>
      </c>
      <c r="H44" s="3">
        <v>0.44791666666666669</v>
      </c>
      <c r="I44" s="29">
        <v>46266</v>
      </c>
      <c r="J44" s="1" t="s">
        <v>177</v>
      </c>
      <c r="K44" s="34" t="s">
        <v>178</v>
      </c>
      <c r="L44" s="1">
        <v>5.6</v>
      </c>
      <c r="M44" s="1">
        <v>28</v>
      </c>
      <c r="N44" s="34" t="s">
        <v>162</v>
      </c>
      <c r="O44" s="34" t="s">
        <v>163</v>
      </c>
      <c r="P44" s="34" t="s">
        <v>181</v>
      </c>
      <c r="Q44" s="34" t="s">
        <v>181</v>
      </c>
    </row>
    <row r="45" spans="1:17" x14ac:dyDescent="0.2">
      <c r="B45" s="34"/>
      <c r="C45" s="34"/>
      <c r="H45" s="3"/>
      <c r="I45" s="29"/>
      <c r="K45" s="34"/>
      <c r="N45" s="34"/>
      <c r="O45" s="34"/>
      <c r="P45" s="34"/>
      <c r="Q45" s="34"/>
    </row>
    <row r="46" spans="1:17" x14ac:dyDescent="0.2">
      <c r="B46" s="34"/>
      <c r="C46" s="34"/>
      <c r="H46" s="3"/>
      <c r="I46" s="29"/>
      <c r="K46" s="34"/>
      <c r="N46" s="34"/>
      <c r="O46" s="34"/>
      <c r="P46" s="34"/>
      <c r="Q46" s="34"/>
    </row>
    <row r="49" spans="1:17" x14ac:dyDescent="0.2">
      <c r="C49" s="26"/>
      <c r="H49" s="3"/>
      <c r="I49" s="29"/>
      <c r="J49" s="26"/>
      <c r="K49" s="26"/>
      <c r="N49" s="26"/>
      <c r="O49" s="26"/>
      <c r="P49" s="26"/>
      <c r="Q49" s="21"/>
    </row>
    <row r="50" spans="1:17" x14ac:dyDescent="0.2">
      <c r="B50" s="21"/>
      <c r="C50" s="26"/>
      <c r="H50" s="3"/>
      <c r="I50" s="29"/>
      <c r="J50" s="26"/>
      <c r="K50" s="26"/>
      <c r="N50" s="26"/>
      <c r="O50" s="26"/>
      <c r="P50" s="26"/>
      <c r="Q50" s="21"/>
    </row>
    <row r="51" spans="1:17" x14ac:dyDescent="0.2">
      <c r="B51" s="21"/>
      <c r="C51" s="26"/>
      <c r="H51" s="3"/>
      <c r="I51" s="29"/>
      <c r="J51" s="26"/>
      <c r="K51" s="26"/>
      <c r="N51" s="26"/>
      <c r="O51" s="26"/>
      <c r="P51" s="26"/>
      <c r="Q51" s="21"/>
    </row>
    <row r="52" spans="1:17" x14ac:dyDescent="0.2">
      <c r="I52" s="30"/>
      <c r="J52" s="26"/>
      <c r="K52" s="26"/>
    </row>
    <row r="55" spans="1:17" x14ac:dyDescent="0.2">
      <c r="A55" s="21"/>
      <c r="B55" s="22"/>
    </row>
    <row r="56" spans="1:17" x14ac:dyDescent="0.2">
      <c r="B56" s="26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26"/>
      <c r="E79" s="2"/>
      <c r="F79" s="21"/>
      <c r="G79" s="26"/>
      <c r="H79" s="26"/>
    </row>
    <row r="80" spans="3:8" x14ac:dyDescent="0.2">
      <c r="C80" s="26"/>
      <c r="E80" s="2"/>
      <c r="F80" s="21"/>
      <c r="G80" s="26"/>
      <c r="H80" s="26"/>
    </row>
    <row r="81" spans="1:17" x14ac:dyDescent="0.2">
      <c r="C81" s="26"/>
      <c r="E81" s="2"/>
      <c r="F81" s="21"/>
      <c r="G81" s="26"/>
      <c r="H81" s="26"/>
    </row>
    <row r="83" spans="1:17" x14ac:dyDescent="0.2">
      <c r="A83" s="19"/>
      <c r="H83" s="21"/>
      <c r="I83" s="21"/>
    </row>
    <row r="84" spans="1:17" x14ac:dyDescent="0.2">
      <c r="C84" s="26"/>
      <c r="E84" s="2"/>
      <c r="F84" s="23"/>
      <c r="G84" s="26"/>
      <c r="H84" s="26"/>
      <c r="I84" s="21"/>
    </row>
    <row r="85" spans="1:17" x14ac:dyDescent="0.2">
      <c r="C85" s="26"/>
      <c r="E85" s="2"/>
      <c r="F85" s="23"/>
      <c r="G85" s="26"/>
      <c r="H85" s="26"/>
      <c r="I85" s="21"/>
    </row>
    <row r="86" spans="1:17" x14ac:dyDescent="0.2">
      <c r="C86" s="26"/>
      <c r="E86" s="2"/>
      <c r="F86" s="23"/>
      <c r="G86" s="26"/>
      <c r="H86" s="26"/>
      <c r="I86" s="21"/>
    </row>
    <row r="90" spans="1:17" x14ac:dyDescent="0.2">
      <c r="C90" s="26"/>
      <c r="H90" s="3"/>
      <c r="I90" s="29"/>
      <c r="J90" s="26"/>
      <c r="K90" s="26"/>
      <c r="N90" s="26"/>
      <c r="O90" s="26"/>
      <c r="P90" s="26"/>
      <c r="Q90" s="21"/>
    </row>
    <row r="91" spans="1:17" x14ac:dyDescent="0.2">
      <c r="B91" s="21"/>
      <c r="C91" s="26"/>
      <c r="H91" s="3"/>
      <c r="I91" s="29"/>
      <c r="J91" s="26"/>
      <c r="K91" s="26"/>
      <c r="N91" s="26"/>
      <c r="O91" s="26"/>
      <c r="P91" s="26"/>
      <c r="Q91" s="21"/>
    </row>
    <row r="92" spans="1:17" x14ac:dyDescent="0.2">
      <c r="B92" s="21"/>
      <c r="C92" s="26"/>
      <c r="H92" s="3"/>
      <c r="I92" s="29"/>
      <c r="J92" s="26"/>
      <c r="K92" s="26"/>
      <c r="N92" s="26"/>
      <c r="O92" s="26"/>
      <c r="P92" s="26"/>
      <c r="Q92" s="21"/>
    </row>
    <row r="97" spans="1:17" x14ac:dyDescent="0.2">
      <c r="F97" s="21"/>
      <c r="H97" s="21"/>
    </row>
    <row r="98" spans="1:17" x14ac:dyDescent="0.2">
      <c r="C98" s="26"/>
      <c r="E98" s="2"/>
      <c r="F98" s="21"/>
      <c r="G98" s="26"/>
      <c r="H98" s="26"/>
    </row>
    <row r="99" spans="1:17" x14ac:dyDescent="0.2">
      <c r="C99" s="26"/>
      <c r="E99" s="2"/>
      <c r="F99" s="21"/>
      <c r="G99" s="26"/>
      <c r="H99" s="26"/>
    </row>
    <row r="100" spans="1:17" x14ac:dyDescent="0.2">
      <c r="C100" s="26"/>
      <c r="E100" s="2"/>
      <c r="F100" s="21"/>
      <c r="G100" s="26"/>
      <c r="H100" s="26"/>
    </row>
    <row r="102" spans="1:17" x14ac:dyDescent="0.2">
      <c r="A102" s="19"/>
      <c r="H102" s="21"/>
      <c r="I102" s="21"/>
    </row>
    <row r="103" spans="1:17" x14ac:dyDescent="0.2">
      <c r="C103" s="26"/>
      <c r="E103" s="2"/>
      <c r="F103" s="23"/>
      <c r="G103" s="26"/>
      <c r="H103" s="26"/>
      <c r="I103" s="21"/>
    </row>
    <row r="104" spans="1:17" x14ac:dyDescent="0.2">
      <c r="C104" s="26"/>
      <c r="E104" s="2"/>
      <c r="F104" s="23"/>
      <c r="G104" s="26"/>
      <c r="H104" s="26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9" spans="1:17" x14ac:dyDescent="0.2">
      <c r="C109" s="26"/>
      <c r="H109" s="3"/>
      <c r="I109" s="29"/>
      <c r="J109" s="26"/>
      <c r="K109" s="26"/>
      <c r="N109" s="26"/>
      <c r="O109" s="26"/>
      <c r="P109" s="26"/>
      <c r="Q109" s="21"/>
    </row>
    <row r="110" spans="1:17" x14ac:dyDescent="0.2">
      <c r="B110" s="21"/>
      <c r="C110" s="26"/>
      <c r="H110" s="3"/>
      <c r="I110" s="29"/>
      <c r="J110" s="26"/>
      <c r="K110" s="26"/>
      <c r="N110" s="26"/>
      <c r="O110" s="26"/>
      <c r="P110" s="26"/>
      <c r="Q110" s="21"/>
    </row>
    <row r="111" spans="1:17" x14ac:dyDescent="0.2">
      <c r="B111" s="21"/>
      <c r="C111" s="26"/>
      <c r="H111" s="3"/>
      <c r="I111" s="29"/>
      <c r="J111" s="26"/>
      <c r="K111" s="26"/>
      <c r="N111" s="26"/>
      <c r="O111" s="26"/>
      <c r="P111" s="26"/>
      <c r="Q111" s="21"/>
    </row>
    <row r="117" spans="1:9" x14ac:dyDescent="0.2">
      <c r="F117" s="21"/>
      <c r="H117" s="21"/>
    </row>
    <row r="118" spans="1:9" x14ac:dyDescent="0.2">
      <c r="C118" s="26"/>
      <c r="E118" s="2"/>
      <c r="F118" s="21"/>
      <c r="G118" s="26"/>
      <c r="H118" s="26"/>
    </row>
    <row r="119" spans="1:9" x14ac:dyDescent="0.2">
      <c r="C119" s="26"/>
      <c r="E119" s="2"/>
      <c r="F119" s="21"/>
      <c r="G119" s="26"/>
      <c r="H119" s="26"/>
    </row>
    <row r="120" spans="1:9" x14ac:dyDescent="0.2">
      <c r="C120" s="26"/>
      <c r="E120" s="2"/>
      <c r="F120" s="21"/>
      <c r="G120" s="26"/>
      <c r="H120" s="26"/>
    </row>
    <row r="122" spans="1:9" x14ac:dyDescent="0.2">
      <c r="A122" s="19"/>
      <c r="H122" s="21"/>
      <c r="I122" s="21"/>
    </row>
    <row r="123" spans="1:9" x14ac:dyDescent="0.2">
      <c r="C123" s="26"/>
      <c r="E123" s="2"/>
      <c r="F123" s="23"/>
      <c r="G123" s="26"/>
      <c r="H123" s="26"/>
      <c r="I123" s="21"/>
    </row>
    <row r="124" spans="1:9" x14ac:dyDescent="0.2">
      <c r="C124" s="26"/>
      <c r="E124" s="2"/>
      <c r="F124" s="23"/>
      <c r="G124" s="26"/>
      <c r="H124" s="26"/>
      <c r="I124" s="21"/>
    </row>
    <row r="125" spans="1:9" x14ac:dyDescent="0.2">
      <c r="C125" s="26"/>
      <c r="E125" s="2"/>
      <c r="F125" s="23"/>
      <c r="G125" s="26"/>
      <c r="H125" s="26"/>
      <c r="I125" s="21"/>
    </row>
    <row r="129" spans="1:16" x14ac:dyDescent="0.2">
      <c r="C129" s="26"/>
      <c r="H129" s="3"/>
      <c r="I129" s="29"/>
      <c r="J129" s="26"/>
      <c r="K129" s="26"/>
      <c r="N129" s="26"/>
      <c r="O129" s="26"/>
      <c r="P129" s="26"/>
    </row>
    <row r="130" spans="1:16" x14ac:dyDescent="0.2">
      <c r="B130" s="21"/>
      <c r="C130" s="26"/>
      <c r="H130" s="3"/>
      <c r="I130" s="29"/>
      <c r="J130" s="26"/>
      <c r="K130" s="26"/>
      <c r="N130" s="26"/>
      <c r="O130" s="26"/>
      <c r="P130" s="26"/>
    </row>
    <row r="131" spans="1:16" x14ac:dyDescent="0.2">
      <c r="B131" s="21"/>
      <c r="C131" s="26"/>
      <c r="H131" s="3"/>
      <c r="I131" s="29"/>
      <c r="J131" s="26"/>
      <c r="K131" s="26"/>
      <c r="N131" s="26"/>
      <c r="O131" s="26"/>
      <c r="P131" s="26"/>
    </row>
    <row r="136" spans="1:16" x14ac:dyDescent="0.2">
      <c r="F136" s="21"/>
      <c r="H136" s="21"/>
    </row>
    <row r="137" spans="1:16" x14ac:dyDescent="0.2">
      <c r="C137" s="26"/>
      <c r="E137" s="2"/>
      <c r="F137" s="21"/>
      <c r="G137" s="26"/>
      <c r="H137" s="26"/>
    </row>
    <row r="138" spans="1:16" x14ac:dyDescent="0.2">
      <c r="C138" s="26"/>
      <c r="E138" s="2"/>
      <c r="F138" s="21"/>
      <c r="G138" s="26"/>
      <c r="H138" s="26"/>
    </row>
    <row r="139" spans="1:16" x14ac:dyDescent="0.2">
      <c r="C139" s="26"/>
      <c r="E139" s="2"/>
      <c r="F139" s="21"/>
      <c r="G139" s="26"/>
      <c r="H139" s="26"/>
    </row>
    <row r="141" spans="1:16" x14ac:dyDescent="0.2">
      <c r="A141" s="19"/>
      <c r="H141" s="21"/>
      <c r="I141" s="21"/>
    </row>
    <row r="142" spans="1:16" x14ac:dyDescent="0.2">
      <c r="C142" s="26"/>
      <c r="E142" s="2"/>
      <c r="F142" s="23"/>
      <c r="G142" s="26"/>
      <c r="H142" s="26"/>
      <c r="I142" s="21"/>
    </row>
    <row r="143" spans="1:16" x14ac:dyDescent="0.2">
      <c r="C143" s="26"/>
      <c r="E143" s="2"/>
      <c r="F143" s="23"/>
      <c r="G143" s="26"/>
      <c r="H143" s="26"/>
      <c r="I143" s="21"/>
    </row>
    <row r="144" spans="1:16" x14ac:dyDescent="0.2">
      <c r="C144" s="26"/>
      <c r="E144" s="2"/>
      <c r="F144" s="23"/>
      <c r="G144" s="26"/>
      <c r="H144" s="26"/>
      <c r="I144" s="21"/>
    </row>
    <row r="148" spans="2:18" x14ac:dyDescent="0.2">
      <c r="C148" s="26"/>
      <c r="H148" s="3"/>
      <c r="I148" s="29"/>
      <c r="K148" s="27"/>
      <c r="L148" s="26"/>
      <c r="O148" s="26"/>
      <c r="P148" s="26"/>
      <c r="Q148" s="26"/>
      <c r="R148" s="26"/>
    </row>
    <row r="149" spans="2:18" x14ac:dyDescent="0.2">
      <c r="B149" s="21"/>
      <c r="C149" s="26"/>
      <c r="H149" s="3"/>
      <c r="I149" s="29"/>
      <c r="J149" s="26"/>
      <c r="K149" s="26"/>
      <c r="L149" s="26"/>
      <c r="O149" s="26"/>
      <c r="P149" s="26"/>
      <c r="Q149" s="26"/>
      <c r="R149" s="26"/>
    </row>
    <row r="150" spans="2:18" x14ac:dyDescent="0.2">
      <c r="B150" s="21"/>
      <c r="C150" s="26"/>
      <c r="H150" s="3"/>
      <c r="I150" s="29"/>
      <c r="K150" s="26"/>
      <c r="L150" s="26"/>
      <c r="O150" s="26"/>
      <c r="P150" s="26"/>
      <c r="Q150" s="26"/>
      <c r="R150" s="26"/>
    </row>
    <row r="156" spans="2:18" x14ac:dyDescent="0.2">
      <c r="F156" s="21"/>
      <c r="H156" s="21"/>
    </row>
    <row r="157" spans="2:18" x14ac:dyDescent="0.2">
      <c r="C157" s="26"/>
      <c r="E157" s="2"/>
      <c r="F157" s="23"/>
      <c r="G157" s="26"/>
      <c r="H157" s="26"/>
    </row>
    <row r="158" spans="2:18" x14ac:dyDescent="0.2">
      <c r="C158" s="26"/>
      <c r="E158" s="2"/>
      <c r="F158" s="23"/>
      <c r="G158" s="26"/>
      <c r="H158" s="26"/>
    </row>
    <row r="159" spans="2:18" x14ac:dyDescent="0.2">
      <c r="C159" s="26"/>
      <c r="E159" s="2"/>
      <c r="F159" s="23"/>
      <c r="G159" s="26"/>
      <c r="H159" s="26"/>
    </row>
    <row r="161" spans="1:17" x14ac:dyDescent="0.2">
      <c r="A161" s="19"/>
      <c r="H161" s="21"/>
      <c r="I161" s="21"/>
    </row>
    <row r="162" spans="1:17" x14ac:dyDescent="0.2">
      <c r="C162" s="26"/>
      <c r="E162" s="2"/>
      <c r="F162" s="23"/>
      <c r="G162" s="26"/>
      <c r="H162" s="26"/>
      <c r="I162" s="21"/>
    </row>
    <row r="163" spans="1:17" x14ac:dyDescent="0.2">
      <c r="C163" s="26"/>
      <c r="E163" s="2"/>
      <c r="F163" s="23"/>
      <c r="G163" s="26"/>
      <c r="H163" s="26"/>
      <c r="I163" s="21"/>
    </row>
    <row r="164" spans="1:17" x14ac:dyDescent="0.2">
      <c r="C164" s="26"/>
      <c r="E164" s="2"/>
      <c r="F164" s="23"/>
      <c r="G164" s="26"/>
      <c r="H164" s="26"/>
      <c r="I164" s="21"/>
    </row>
    <row r="168" spans="1:17" x14ac:dyDescent="0.2">
      <c r="C168" s="26"/>
      <c r="H168" s="3"/>
      <c r="I168" s="29"/>
      <c r="K168" s="26"/>
      <c r="N168" s="26"/>
      <c r="O168" s="26"/>
      <c r="P168" s="26"/>
      <c r="Q168" s="26"/>
    </row>
    <row r="169" spans="1:17" x14ac:dyDescent="0.2">
      <c r="B169" s="21"/>
      <c r="C169" s="26"/>
      <c r="H169" s="3"/>
      <c r="I169" s="29"/>
      <c r="K169" s="26"/>
      <c r="N169" s="26"/>
      <c r="O169" s="26"/>
      <c r="P169" s="26"/>
      <c r="Q169" s="21"/>
    </row>
    <row r="170" spans="1:17" x14ac:dyDescent="0.2">
      <c r="B170" s="21"/>
      <c r="C170" s="26"/>
      <c r="H170" s="3"/>
      <c r="I170" s="29"/>
      <c r="K170" s="26"/>
      <c r="N170" s="26"/>
      <c r="O170" s="26"/>
      <c r="P170" s="26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15</v>
      </c>
      <c r="AC1" s="1" t="s">
        <v>20</v>
      </c>
    </row>
    <row r="2" spans="1:30" x14ac:dyDescent="0.2">
      <c r="B2" s="5" t="s">
        <v>21</v>
      </c>
      <c r="AC2" s="6">
        <v>4.4277893518518523</v>
      </c>
      <c r="AD2" s="1" t="s">
        <v>22</v>
      </c>
    </row>
    <row r="3" spans="1:30" x14ac:dyDescent="0.2">
      <c r="AC3" s="1" t="s">
        <v>23</v>
      </c>
      <c r="AD3" s="1">
        <f>106/16</f>
        <v>6.625</v>
      </c>
    </row>
    <row r="4" spans="1:30" x14ac:dyDescent="0.2">
      <c r="C4" s="21" t="s">
        <v>112</v>
      </c>
      <c r="L4" s="19" t="s">
        <v>106</v>
      </c>
      <c r="M4" s="19" t="s">
        <v>106</v>
      </c>
      <c r="N4" s="19" t="s">
        <v>107</v>
      </c>
      <c r="R4" s="1" t="s">
        <v>24</v>
      </c>
      <c r="U4" s="5" t="s">
        <v>25</v>
      </c>
      <c r="AC4" s="1" t="s">
        <v>26</v>
      </c>
      <c r="AD4" s="1">
        <f>106</f>
        <v>106</v>
      </c>
    </row>
    <row r="5" spans="1:30" x14ac:dyDescent="0.2">
      <c r="B5" s="1">
        <v>1</v>
      </c>
      <c r="C5" s="21" t="s">
        <v>112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114</v>
      </c>
      <c r="J5" s="21" t="s">
        <v>113</v>
      </c>
      <c r="K5" s="5" t="s">
        <v>32</v>
      </c>
      <c r="L5" s="5" t="s">
        <v>33</v>
      </c>
      <c r="M5" s="5" t="s">
        <v>34</v>
      </c>
      <c r="N5" s="19" t="s">
        <v>79</v>
      </c>
      <c r="O5" s="5" t="s">
        <v>35</v>
      </c>
      <c r="P5" s="5"/>
      <c r="Q5" s="1" t="s">
        <v>36</v>
      </c>
      <c r="R5" s="1">
        <v>136.08600000000001</v>
      </c>
      <c r="V5" s="1" t="s">
        <v>37</v>
      </c>
      <c r="AC5" s="1" t="s">
        <v>38</v>
      </c>
      <c r="AD5" s="1">
        <v>16</v>
      </c>
    </row>
    <row r="6" spans="1:30" x14ac:dyDescent="0.2">
      <c r="D6" s="1">
        <v>0.5</v>
      </c>
      <c r="E6" s="1" t="s">
        <v>39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40</v>
      </c>
      <c r="R6" s="1">
        <v>132.13999999999999</v>
      </c>
      <c r="V6" s="5" t="s">
        <v>27</v>
      </c>
      <c r="W6" s="5" t="s">
        <v>28</v>
      </c>
      <c r="X6" s="1" t="s">
        <v>41</v>
      </c>
      <c r="Z6" s="1" t="s">
        <v>42</v>
      </c>
    </row>
    <row r="7" spans="1:30" x14ac:dyDescent="0.2">
      <c r="D7" s="1">
        <v>0</v>
      </c>
      <c r="E7" s="19" t="s">
        <v>43</v>
      </c>
      <c r="Q7" s="1" t="s">
        <v>44</v>
      </c>
      <c r="R7" s="1">
        <v>180.15600000000001</v>
      </c>
      <c r="V7" s="1">
        <v>1</v>
      </c>
      <c r="W7" s="1" t="s">
        <v>36</v>
      </c>
      <c r="X7" s="1">
        <v>136.08600000000001</v>
      </c>
    </row>
    <row r="8" spans="1:30" x14ac:dyDescent="0.2">
      <c r="D8" s="1">
        <v>100</v>
      </c>
      <c r="E8" s="1" t="s">
        <v>44</v>
      </c>
      <c r="Q8" s="1" t="s">
        <v>45</v>
      </c>
      <c r="R8" s="1">
        <v>150.13</v>
      </c>
      <c r="V8" s="1">
        <v>0.5</v>
      </c>
      <c r="W8" s="1" t="s">
        <v>46</v>
      </c>
    </row>
    <row r="9" spans="1:30" x14ac:dyDescent="0.2">
      <c r="D9" s="1">
        <v>1.6</v>
      </c>
      <c r="E9" s="19" t="s">
        <v>55</v>
      </c>
      <c r="Q9" s="1" t="s">
        <v>47</v>
      </c>
      <c r="R9" s="8">
        <v>92.093999999999994</v>
      </c>
      <c r="V9" s="1">
        <v>0.1</v>
      </c>
      <c r="W9" s="1" t="s">
        <v>48</v>
      </c>
    </row>
    <row r="10" spans="1:30" x14ac:dyDescent="0.2">
      <c r="Q10" s="1" t="s">
        <v>49</v>
      </c>
      <c r="R10" s="1">
        <v>59.043999999999997</v>
      </c>
      <c r="V10" s="1">
        <v>0.1</v>
      </c>
      <c r="W10" s="1" t="s">
        <v>50</v>
      </c>
    </row>
    <row r="11" spans="1:30" x14ac:dyDescent="0.2">
      <c r="Q11" s="5" t="s">
        <v>51</v>
      </c>
      <c r="R11" s="1">
        <v>192.19399999999999</v>
      </c>
      <c r="V11" s="1">
        <f>SUM(V7:V10)</f>
        <v>1.7000000000000002</v>
      </c>
      <c r="W11" s="1" t="s">
        <v>52</v>
      </c>
    </row>
    <row r="12" spans="1:30" x14ac:dyDescent="0.2">
      <c r="F12" s="1" t="s">
        <v>53</v>
      </c>
      <c r="G12" s="1" t="s">
        <v>54</v>
      </c>
      <c r="Q12" s="1" t="s">
        <v>55</v>
      </c>
      <c r="R12" s="1">
        <v>53.491</v>
      </c>
      <c r="V12" s="1" t="s">
        <v>56</v>
      </c>
    </row>
    <row r="13" spans="1:30" x14ac:dyDescent="0.2">
      <c r="E13" s="1" t="s">
        <v>57</v>
      </c>
      <c r="F13" s="1">
        <v>14.2</v>
      </c>
      <c r="G13" s="1">
        <v>17.399999999999999</v>
      </c>
      <c r="Q13" s="1" t="s">
        <v>58</v>
      </c>
      <c r="R13" s="1">
        <v>60.06</v>
      </c>
      <c r="V13" s="5" t="s">
        <v>59</v>
      </c>
      <c r="W13" s="5" t="s">
        <v>28</v>
      </c>
    </row>
    <row r="14" spans="1:30" x14ac:dyDescent="0.2">
      <c r="E14" s="1" t="s">
        <v>60</v>
      </c>
      <c r="F14" s="1">
        <v>9</v>
      </c>
      <c r="G14" s="1">
        <v>12</v>
      </c>
      <c r="V14" s="1">
        <v>500</v>
      </c>
      <c r="W14" s="1" t="s">
        <v>61</v>
      </c>
    </row>
    <row r="15" spans="1:30" x14ac:dyDescent="0.2">
      <c r="V15" s="1">
        <v>40</v>
      </c>
      <c r="W15" s="1" t="s">
        <v>62</v>
      </c>
    </row>
    <row r="16" spans="1:30" x14ac:dyDescent="0.2">
      <c r="V16" s="1">
        <v>100</v>
      </c>
      <c r="W16" s="1" t="s">
        <v>63</v>
      </c>
    </row>
    <row r="17" spans="22:26" x14ac:dyDescent="0.2">
      <c r="V17" s="1">
        <v>200</v>
      </c>
      <c r="W17" s="1" t="s">
        <v>64</v>
      </c>
    </row>
    <row r="18" spans="22:26" x14ac:dyDescent="0.2">
      <c r="V18" s="1">
        <v>400</v>
      </c>
      <c r="W18" s="1" t="s">
        <v>65</v>
      </c>
    </row>
    <row r="19" spans="22:26" x14ac:dyDescent="0.2">
      <c r="V19" s="1">
        <v>200</v>
      </c>
      <c r="W19" s="1" t="s">
        <v>66</v>
      </c>
    </row>
    <row r="20" spans="22:26" x14ac:dyDescent="0.2">
      <c r="V20" s="1">
        <v>400</v>
      </c>
      <c r="W20" s="1" t="s">
        <v>67</v>
      </c>
    </row>
    <row r="21" spans="22:26" x14ac:dyDescent="0.2">
      <c r="V21" s="1">
        <f>SUM(V14:V20)/1000000</f>
        <v>1.8400000000000001E-3</v>
      </c>
      <c r="W21" s="1" t="s">
        <v>52</v>
      </c>
    </row>
    <row r="22" spans="22:26" x14ac:dyDescent="0.2">
      <c r="V22" s="1" t="s">
        <v>68</v>
      </c>
    </row>
    <row r="23" spans="22:26" x14ac:dyDescent="0.2">
      <c r="V23" s="5" t="s">
        <v>59</v>
      </c>
      <c r="W23" s="5" t="s">
        <v>28</v>
      </c>
    </row>
    <row r="24" spans="22:26" x14ac:dyDescent="0.2">
      <c r="V24" s="1">
        <v>2</v>
      </c>
      <c r="W24" s="1" t="s">
        <v>69</v>
      </c>
      <c r="Z24" s="1">
        <f>550*0.3</f>
        <v>165</v>
      </c>
    </row>
    <row r="25" spans="22:26" x14ac:dyDescent="0.2">
      <c r="V25" s="1">
        <v>400</v>
      </c>
      <c r="W25" s="1" t="s">
        <v>70</v>
      </c>
    </row>
    <row r="26" spans="22:26" x14ac:dyDescent="0.2">
      <c r="V26" s="1">
        <v>2</v>
      </c>
      <c r="W26" s="1" t="s">
        <v>71</v>
      </c>
    </row>
    <row r="27" spans="22:26" x14ac:dyDescent="0.2">
      <c r="V27" s="9">
        <v>2000</v>
      </c>
      <c r="W27" s="1" t="s">
        <v>72</v>
      </c>
    </row>
    <row r="28" spans="22:26" x14ac:dyDescent="0.2">
      <c r="V28" s="1">
        <v>400</v>
      </c>
      <c r="W28" s="1" t="s">
        <v>73</v>
      </c>
    </row>
    <row r="29" spans="22:26" x14ac:dyDescent="0.2">
      <c r="V29" s="1">
        <v>200</v>
      </c>
      <c r="W29" s="1" t="s">
        <v>74</v>
      </c>
    </row>
    <row r="30" spans="22:26" x14ac:dyDescent="0.2">
      <c r="V30" s="1">
        <v>400</v>
      </c>
      <c r="W30" s="1" t="s">
        <v>75</v>
      </c>
    </row>
    <row r="31" spans="22:26" x14ac:dyDescent="0.2">
      <c r="V31" s="1">
        <v>200</v>
      </c>
      <c r="W31" s="1" t="s">
        <v>76</v>
      </c>
    </row>
    <row r="32" spans="22:26" x14ac:dyDescent="0.2">
      <c r="V32" s="1">
        <v>400</v>
      </c>
      <c r="W32" s="1" t="s">
        <v>77</v>
      </c>
    </row>
    <row r="35" spans="22:23" x14ac:dyDescent="0.2">
      <c r="V35" s="1">
        <f>SUM(V24:V32)/1000000</f>
        <v>4.0039999999999997E-3</v>
      </c>
      <c r="W35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80</v>
      </c>
    </row>
    <row r="2" spans="1:2" x14ac:dyDescent="0.2">
      <c r="B2" s="1" t="s">
        <v>81</v>
      </c>
    </row>
    <row r="4" spans="1:2" x14ac:dyDescent="0.2">
      <c r="B4" s="1" t="s">
        <v>82</v>
      </c>
    </row>
    <row r="5" spans="1:2" x14ac:dyDescent="0.2">
      <c r="B5" s="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O2" zoomScaleNormal="125" workbookViewId="0">
      <selection activeCell="AG21" sqref="AG21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105</v>
      </c>
    </row>
    <row r="10" spans="1:59" ht="17" thickBot="1" x14ac:dyDescent="0.25"/>
    <row r="11" spans="1:59" ht="17" thickBot="1" x14ac:dyDescent="0.25">
      <c r="C11" s="42" t="s">
        <v>104</v>
      </c>
      <c r="D11" s="43"/>
      <c r="E11" s="43"/>
      <c r="F11" s="43"/>
      <c r="G11" s="43"/>
      <c r="H11" s="43"/>
      <c r="I11" s="43"/>
      <c r="J11" s="43"/>
      <c r="K11" s="43"/>
      <c r="L11" s="43"/>
      <c r="M11" s="44"/>
      <c r="S11" s="4"/>
    </row>
    <row r="12" spans="1:59" x14ac:dyDescent="0.2">
      <c r="C12" s="39" t="s">
        <v>103</v>
      </c>
      <c r="D12" s="40"/>
      <c r="E12" s="40"/>
      <c r="F12" s="40"/>
      <c r="G12" s="40"/>
      <c r="H12" s="40"/>
      <c r="I12" s="40"/>
      <c r="J12" s="40"/>
      <c r="K12" s="40"/>
      <c r="L12" s="41"/>
      <c r="AL12" s="37" t="s">
        <v>84</v>
      </c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10"/>
      <c r="AX12" s="10"/>
      <c r="AY12" s="38"/>
      <c r="AZ12" s="38"/>
      <c r="BA12" s="38"/>
      <c r="BB12" s="38"/>
      <c r="BC12" s="31"/>
    </row>
    <row r="13" spans="1:59" ht="68" x14ac:dyDescent="0.2">
      <c r="A13" s="11" t="s">
        <v>85</v>
      </c>
      <c r="B13" s="14" t="s">
        <v>86</v>
      </c>
      <c r="C13" s="14" t="s">
        <v>101</v>
      </c>
      <c r="D13" s="14" t="s">
        <v>87</v>
      </c>
      <c r="E13" s="14" t="s">
        <v>44</v>
      </c>
      <c r="F13" s="14" t="s">
        <v>45</v>
      </c>
      <c r="G13" s="14" t="s">
        <v>170</v>
      </c>
      <c r="H13" s="14" t="s">
        <v>171</v>
      </c>
      <c r="I13" s="14" t="s">
        <v>88</v>
      </c>
      <c r="J13" s="14" t="s">
        <v>172</v>
      </c>
      <c r="K13" s="14" t="s">
        <v>89</v>
      </c>
      <c r="L13" s="14" t="s">
        <v>102</v>
      </c>
      <c r="Q13" s="1" t="s">
        <v>90</v>
      </c>
      <c r="R13" s="1" t="s">
        <v>91</v>
      </c>
      <c r="S13" s="12" t="s">
        <v>92</v>
      </c>
      <c r="T13" s="12" t="s">
        <v>93</v>
      </c>
      <c r="U13" s="1" t="s">
        <v>94</v>
      </c>
      <c r="V13" s="1" t="s">
        <v>95</v>
      </c>
      <c r="W13" s="1" t="s">
        <v>96</v>
      </c>
      <c r="X13" s="13"/>
      <c r="Y13" s="13" t="s">
        <v>97</v>
      </c>
      <c r="Z13" s="33" t="s">
        <v>173</v>
      </c>
      <c r="AA13" s="33" t="s">
        <v>174</v>
      </c>
      <c r="AB13" s="25" t="s">
        <v>98</v>
      </c>
      <c r="AC13" s="13" t="s">
        <v>99</v>
      </c>
      <c r="AD13" s="33" t="s">
        <v>175</v>
      </c>
      <c r="AE13" s="33" t="s">
        <v>176</v>
      </c>
      <c r="AL13" s="14" t="s">
        <v>101</v>
      </c>
      <c r="AM13" s="14" t="s">
        <v>87</v>
      </c>
      <c r="AN13" s="14" t="s">
        <v>44</v>
      </c>
      <c r="AO13" s="14" t="s">
        <v>45</v>
      </c>
      <c r="AP13" s="14" t="s">
        <v>170</v>
      </c>
      <c r="AQ13" s="14" t="s">
        <v>171</v>
      </c>
      <c r="AR13" s="14" t="s">
        <v>88</v>
      </c>
      <c r="AS13" s="14" t="s">
        <v>172</v>
      </c>
      <c r="AT13" s="14" t="s">
        <v>89</v>
      </c>
      <c r="AU13" s="14" t="s">
        <v>102</v>
      </c>
      <c r="AY13" s="32"/>
      <c r="AZ13" s="32"/>
    </row>
    <row r="14" spans="1:59" x14ac:dyDescent="0.2">
      <c r="A14" s="11"/>
      <c r="Q14" s="2"/>
      <c r="R14" s="3"/>
      <c r="T14" s="19"/>
      <c r="AL14" s="1" t="str">
        <f t="shared" ref="AL14:AL35" si="0">IF(ISNUMBER(C14),C14*1000/100,"")</f>
        <v/>
      </c>
      <c r="AO14" s="1" t="str">
        <f t="shared" ref="AO14:AU16" si="1">IF(ISNUMBER(F14),F14*1000/100,"")</f>
        <v/>
      </c>
      <c r="AP14" s="1" t="str">
        <f t="shared" si="1"/>
        <v/>
      </c>
      <c r="AQ14" s="1" t="str">
        <f t="shared" si="1"/>
        <v/>
      </c>
      <c r="AR14" s="1" t="str">
        <f t="shared" si="1"/>
        <v/>
      </c>
      <c r="AS14" s="1" t="str">
        <f t="shared" si="1"/>
        <v/>
      </c>
      <c r="AT14" s="1" t="str">
        <f t="shared" si="1"/>
        <v/>
      </c>
      <c r="AU14" s="1" t="str">
        <f t="shared" si="1"/>
        <v/>
      </c>
    </row>
    <row r="15" spans="1:59" x14ac:dyDescent="0.2">
      <c r="A15" s="11"/>
      <c r="Q15" s="2"/>
      <c r="R15" s="3"/>
      <c r="T15" s="19"/>
      <c r="AL15" s="1" t="str">
        <f t="shared" si="0"/>
        <v/>
      </c>
      <c r="AO15" s="1" t="str">
        <f t="shared" si="1"/>
        <v/>
      </c>
      <c r="AP15" s="1" t="str">
        <f t="shared" si="1"/>
        <v/>
      </c>
      <c r="AQ15" s="1" t="str">
        <f t="shared" si="1"/>
        <v/>
      </c>
      <c r="AR15" s="1" t="str">
        <f t="shared" si="1"/>
        <v/>
      </c>
      <c r="AS15" s="1" t="str">
        <f t="shared" si="1"/>
        <v/>
      </c>
      <c r="AT15" s="1" t="str">
        <f t="shared" si="1"/>
        <v/>
      </c>
      <c r="AU15" s="1" t="str">
        <f t="shared" si="1"/>
        <v/>
      </c>
      <c r="BE15" s="7"/>
      <c r="BF15" s="7"/>
      <c r="BG15" s="7"/>
    </row>
    <row r="16" spans="1:59" x14ac:dyDescent="0.2">
      <c r="A16" s="11"/>
      <c r="Q16" s="2"/>
      <c r="R16" s="3"/>
      <c r="T16" s="19"/>
      <c r="AL16" s="1" t="str">
        <f t="shared" si="0"/>
        <v/>
      </c>
      <c r="AO16" s="1" t="str">
        <f t="shared" si="1"/>
        <v/>
      </c>
      <c r="AP16" s="1" t="str">
        <f t="shared" si="1"/>
        <v/>
      </c>
      <c r="AQ16" s="1" t="str">
        <f t="shared" si="1"/>
        <v/>
      </c>
      <c r="AR16" s="1" t="str">
        <f t="shared" si="1"/>
        <v/>
      </c>
      <c r="AS16" s="1" t="str">
        <f t="shared" si="1"/>
        <v/>
      </c>
      <c r="AT16" s="1" t="str">
        <f t="shared" si="1"/>
        <v/>
      </c>
      <c r="AU16" s="1" t="str">
        <f t="shared" si="1"/>
        <v/>
      </c>
      <c r="AY16" s="15"/>
      <c r="AZ16" s="15"/>
      <c r="BE16" s="7"/>
      <c r="BF16" s="7"/>
      <c r="BG16" s="7"/>
    </row>
    <row r="17" spans="1:80" x14ac:dyDescent="0.2">
      <c r="B17" s="14" t="s">
        <v>185</v>
      </c>
      <c r="C17" s="14" t="s">
        <v>108</v>
      </c>
      <c r="D17" s="14">
        <v>4.9660000000000003E-2</v>
      </c>
      <c r="E17" s="14">
        <v>9.5631799999999991</v>
      </c>
      <c r="F17" s="14" t="s">
        <v>108</v>
      </c>
      <c r="G17" s="14" t="s">
        <v>108</v>
      </c>
      <c r="H17" s="14" t="s">
        <v>108</v>
      </c>
      <c r="I17" s="14" t="s">
        <v>108</v>
      </c>
      <c r="J17" s="14" t="s">
        <v>108</v>
      </c>
      <c r="K17" s="14" t="s">
        <v>108</v>
      </c>
      <c r="L17" s="14" t="s">
        <v>108</v>
      </c>
      <c r="M17" s="14" t="s">
        <v>108</v>
      </c>
      <c r="N17" s="20"/>
      <c r="O17" s="14" t="str">
        <f>F17</f>
        <v xml:space="preserve"> </v>
      </c>
      <c r="P17"/>
      <c r="Q17" s="2">
        <v>46154</v>
      </c>
      <c r="R17" s="3">
        <v>0.5625</v>
      </c>
      <c r="S17" s="7">
        <v>0.5</v>
      </c>
      <c r="T17" s="1" t="s">
        <v>100</v>
      </c>
      <c r="U17" s="1">
        <v>1</v>
      </c>
      <c r="V17" s="21"/>
      <c r="W17" s="1">
        <v>0.40899999999999997</v>
      </c>
      <c r="Y17" s="15">
        <f>($E$17-E17)*10</f>
        <v>0</v>
      </c>
      <c r="Z17" s="1">
        <f t="shared" ref="Z17:Z28" si="2">AM17/S17</f>
        <v>0.99320000000000008</v>
      </c>
      <c r="AA17" s="15" t="e">
        <f>AM17/Y17</f>
        <v>#DIV/0!</v>
      </c>
      <c r="AB17" s="1">
        <f>$AN$17-AN17</f>
        <v>0</v>
      </c>
      <c r="AC17" s="8">
        <f>AB17/(S17)</f>
        <v>0</v>
      </c>
      <c r="AD17" s="8"/>
      <c r="AE17" s="8" t="e">
        <f t="shared" ref="AE17:AE28" si="3">(AM17-AM14)/(Y17-Y14)</f>
        <v>#DIV/0!</v>
      </c>
      <c r="AL17" s="1" t="str">
        <f t="shared" si="0"/>
        <v/>
      </c>
      <c r="AM17" s="1">
        <f t="shared" ref="AM17:AM28" si="4">IF(ISNUMBER(D17),D17*1000/100,0)</f>
        <v>0.49660000000000004</v>
      </c>
      <c r="AN17" s="1">
        <f t="shared" ref="AN17:AN28" si="5">IF(ISNUMBER(E17),E17*1000/100,0)</f>
        <v>95.631799999999984</v>
      </c>
      <c r="AY17" s="15"/>
      <c r="AZ17" s="15"/>
      <c r="BE17" s="7"/>
      <c r="BF17" s="7"/>
      <c r="BG17" s="7"/>
    </row>
    <row r="18" spans="1:80" x14ac:dyDescent="0.2">
      <c r="B18" s="14" t="s">
        <v>186</v>
      </c>
      <c r="C18" s="14" t="s">
        <v>108</v>
      </c>
      <c r="D18" s="14">
        <v>4.061E-2</v>
      </c>
      <c r="E18" s="14">
        <v>9.8409399999999998</v>
      </c>
      <c r="F18" s="14" t="s">
        <v>108</v>
      </c>
      <c r="G18" s="14" t="s">
        <v>108</v>
      </c>
      <c r="H18" s="14" t="s">
        <v>108</v>
      </c>
      <c r="I18" s="14" t="s">
        <v>108</v>
      </c>
      <c r="J18" s="14" t="s">
        <v>108</v>
      </c>
      <c r="K18" s="14" t="s">
        <v>108</v>
      </c>
      <c r="L18" s="14" t="s">
        <v>108</v>
      </c>
      <c r="M18" s="14" t="s">
        <v>108</v>
      </c>
      <c r="N18" s="20"/>
      <c r="O18" s="14" t="str">
        <f t="shared" ref="O18:O42" si="6">F18</f>
        <v xml:space="preserve"> </v>
      </c>
      <c r="P18"/>
      <c r="Q18" s="2">
        <v>46154</v>
      </c>
      <c r="R18" s="3">
        <v>0.5625</v>
      </c>
      <c r="S18" s="7">
        <v>4</v>
      </c>
      <c r="T18" s="1" t="s">
        <v>100</v>
      </c>
      <c r="U18" s="1">
        <v>2</v>
      </c>
      <c r="V18" s="21"/>
      <c r="W18" s="1">
        <v>2.2919999999999998</v>
      </c>
      <c r="Y18" s="15">
        <f t="shared" ref="Y18:Y21" si="7">($E$17-E18)*10</f>
        <v>-2.7776000000000067</v>
      </c>
      <c r="Z18" s="1">
        <f t="shared" si="2"/>
        <v>0.101525</v>
      </c>
      <c r="AA18" s="15">
        <f t="shared" ref="AA17:AA28" si="8">AM18/Y18</f>
        <v>-0.14620535714285679</v>
      </c>
      <c r="AB18" s="1">
        <f>AN17-AN18</f>
        <v>-2.7776000000000209</v>
      </c>
      <c r="AC18" s="8">
        <f>AB18/(S18-S17)</f>
        <v>-0.79360000000000597</v>
      </c>
      <c r="AD18" s="8">
        <f>(AM18-AM17)/(S18-S17)</f>
        <v>-2.5857142857142863E-2</v>
      </c>
      <c r="AE18" s="8">
        <f>(AM18-AM17)/(Y18-Y17)</f>
        <v>3.2582085253456149E-2</v>
      </c>
      <c r="AL18" s="1" t="str">
        <f t="shared" si="0"/>
        <v/>
      </c>
      <c r="AM18" s="1">
        <f t="shared" si="4"/>
        <v>0.40610000000000002</v>
      </c>
      <c r="AN18" s="1">
        <f t="shared" si="5"/>
        <v>98.409400000000005</v>
      </c>
      <c r="AY18" s="15"/>
      <c r="AZ18" s="15"/>
      <c r="BE18" s="7"/>
      <c r="BF18" s="8"/>
      <c r="BG18" s="7"/>
    </row>
    <row r="19" spans="1:80" x14ac:dyDescent="0.2">
      <c r="A19" s="12"/>
      <c r="B19" s="14" t="s">
        <v>187</v>
      </c>
      <c r="C19" s="14" t="s">
        <v>108</v>
      </c>
      <c r="D19" s="14">
        <v>0.37151000000000001</v>
      </c>
      <c r="E19" s="14">
        <v>7.0988699999999998</v>
      </c>
      <c r="F19" s="14" t="s">
        <v>108</v>
      </c>
      <c r="G19" s="14" t="s">
        <v>108</v>
      </c>
      <c r="H19" s="14" t="s">
        <v>108</v>
      </c>
      <c r="I19" s="14" t="s">
        <v>108</v>
      </c>
      <c r="J19" s="14" t="s">
        <v>108</v>
      </c>
      <c r="K19" s="14" t="s">
        <v>108</v>
      </c>
      <c r="L19" s="14" t="s">
        <v>108</v>
      </c>
      <c r="M19" s="14" t="s">
        <v>108</v>
      </c>
      <c r="N19" s="20"/>
      <c r="O19" s="14" t="str">
        <f t="shared" si="6"/>
        <v xml:space="preserve"> </v>
      </c>
      <c r="P19"/>
      <c r="Q19" s="2">
        <v>46154</v>
      </c>
      <c r="R19" s="3">
        <v>0.5625</v>
      </c>
      <c r="S19" s="7">
        <v>24</v>
      </c>
      <c r="T19" s="1" t="s">
        <v>100</v>
      </c>
      <c r="U19" s="1">
        <v>3</v>
      </c>
      <c r="V19" s="21"/>
      <c r="W19" s="1">
        <v>29.32</v>
      </c>
      <c r="Y19" s="15">
        <f t="shared" si="7"/>
        <v>24.643099999999993</v>
      </c>
      <c r="Z19" s="1">
        <f t="shared" si="2"/>
        <v>0.15479583333333333</v>
      </c>
      <c r="AA19" s="15">
        <f t="shared" si="8"/>
        <v>0.15075619544618984</v>
      </c>
      <c r="AB19" s="1">
        <f>AN18-AN19</f>
        <v>27.420700000000011</v>
      </c>
      <c r="AC19" s="8">
        <f>AB19/(S19-S18)</f>
        <v>1.3710350000000004</v>
      </c>
      <c r="AD19" s="8">
        <f>(AM19-AM18)/(S19-S18)</f>
        <v>0.16545000000000001</v>
      </c>
      <c r="AE19" s="8">
        <f>(AM19-AM18)/(Y19-Y18)</f>
        <v>0.12067525628448582</v>
      </c>
      <c r="AL19" s="1" t="str">
        <f t="shared" si="0"/>
        <v/>
      </c>
      <c r="AM19" s="1">
        <f t="shared" si="4"/>
        <v>3.7151000000000001</v>
      </c>
      <c r="AN19" s="1">
        <f t="shared" si="5"/>
        <v>70.988699999999994</v>
      </c>
      <c r="AY19" s="15"/>
      <c r="AZ19" s="15"/>
      <c r="BE19" s="7"/>
      <c r="BF19" s="8"/>
      <c r="BG19" s="7"/>
    </row>
    <row r="20" spans="1:80" x14ac:dyDescent="0.2">
      <c r="B20" s="14" t="s">
        <v>188</v>
      </c>
      <c r="C20" s="14">
        <v>4.7219999999999998E-2</v>
      </c>
      <c r="D20" s="14">
        <v>1.9571700000000001</v>
      </c>
      <c r="E20" s="14">
        <v>4.1112399999999996</v>
      </c>
      <c r="F20" s="14" t="s">
        <v>108</v>
      </c>
      <c r="G20" s="14" t="s">
        <v>108</v>
      </c>
      <c r="H20" s="14" t="s">
        <v>108</v>
      </c>
      <c r="I20" s="14" t="s">
        <v>108</v>
      </c>
      <c r="J20" s="14" t="s">
        <v>108</v>
      </c>
      <c r="K20" s="14" t="s">
        <v>108</v>
      </c>
      <c r="L20" s="14" t="s">
        <v>108</v>
      </c>
      <c r="M20" s="14" t="s">
        <v>108</v>
      </c>
      <c r="N20" s="20"/>
      <c r="O20" s="14" t="str">
        <f t="shared" si="6"/>
        <v xml:space="preserve"> </v>
      </c>
      <c r="P20"/>
      <c r="Q20" s="2">
        <v>46155</v>
      </c>
      <c r="R20" s="3">
        <v>0.60416666666666663</v>
      </c>
      <c r="S20" s="7">
        <v>48</v>
      </c>
      <c r="T20" s="1" t="s">
        <v>100</v>
      </c>
      <c r="U20" s="1">
        <v>4</v>
      </c>
      <c r="V20" s="21"/>
      <c r="W20" s="1">
        <v>32.68</v>
      </c>
      <c r="Y20" s="15">
        <f t="shared" si="7"/>
        <v>54.519399999999997</v>
      </c>
      <c r="Z20" s="1">
        <f t="shared" si="2"/>
        <v>0.40774375000000002</v>
      </c>
      <c r="AA20" s="15">
        <f t="shared" si="8"/>
        <v>0.35898597563436135</v>
      </c>
      <c r="AB20" s="1">
        <f>AN19-AN20</f>
        <v>29.876299999999993</v>
      </c>
      <c r="AC20" s="8">
        <f>AB20/(S20-S19)</f>
        <v>1.244845833333333</v>
      </c>
      <c r="AD20" s="8">
        <f>(AM20-AM19)/(S20-S19)</f>
        <v>0.66069166666666668</v>
      </c>
      <c r="AE20" s="8">
        <f>(AM20-AM19)/(Y20-Y19)</f>
        <v>0.53074175851762095</v>
      </c>
      <c r="AL20" s="1">
        <f t="shared" si="0"/>
        <v>0.47220000000000001</v>
      </c>
      <c r="AM20" s="1">
        <f t="shared" si="4"/>
        <v>19.5717</v>
      </c>
      <c r="AN20" s="1">
        <f t="shared" si="5"/>
        <v>41.112400000000001</v>
      </c>
      <c r="AY20" s="15"/>
      <c r="AZ20" s="15"/>
      <c r="BE20" s="7"/>
      <c r="BF20" s="8"/>
      <c r="BG20" s="7"/>
    </row>
    <row r="21" spans="1:80" x14ac:dyDescent="0.2">
      <c r="B21" s="14" t="s">
        <v>189</v>
      </c>
      <c r="C21" s="14">
        <v>4.2680000000000003E-2</v>
      </c>
      <c r="D21" s="14">
        <v>3.3461400000000001</v>
      </c>
      <c r="E21" s="14">
        <v>1.8229</v>
      </c>
      <c r="F21" s="14" t="s">
        <v>108</v>
      </c>
      <c r="G21" s="14" t="s">
        <v>108</v>
      </c>
      <c r="H21" s="14" t="s">
        <v>108</v>
      </c>
      <c r="I21" s="14" t="s">
        <v>108</v>
      </c>
      <c r="J21" s="14" t="s">
        <v>108</v>
      </c>
      <c r="K21" s="14" t="s">
        <v>108</v>
      </c>
      <c r="L21" s="14" t="s">
        <v>108</v>
      </c>
      <c r="M21" s="14" t="s">
        <v>108</v>
      </c>
      <c r="N21" s="20"/>
      <c r="O21" s="14" t="str">
        <f t="shared" si="6"/>
        <v xml:space="preserve"> </v>
      </c>
      <c r="P21"/>
      <c r="Q21" s="2">
        <v>46155</v>
      </c>
      <c r="R21" s="3">
        <v>0.60416666666666663</v>
      </c>
      <c r="S21" s="7">
        <v>72</v>
      </c>
      <c r="T21" s="1" t="s">
        <v>100</v>
      </c>
      <c r="U21" s="1">
        <v>5</v>
      </c>
      <c r="V21" s="21"/>
      <c r="W21" s="1">
        <v>30.52</v>
      </c>
      <c r="Y21" s="15">
        <f t="shared" si="7"/>
        <v>77.402799999999999</v>
      </c>
      <c r="Z21" s="1">
        <f t="shared" si="2"/>
        <v>0.46474166666666672</v>
      </c>
      <c r="AA21" s="15">
        <f t="shared" si="8"/>
        <v>0.43230219061842728</v>
      </c>
      <c r="AB21" s="1">
        <f>AN20-AN21</f>
        <v>22.883400000000002</v>
      </c>
      <c r="AC21" s="8">
        <f>AB21/(S21-S20)</f>
        <v>0.95347500000000007</v>
      </c>
      <c r="AD21" s="8">
        <f>(AM21-AM20)/(S21-S20)</f>
        <v>0.57873750000000024</v>
      </c>
      <c r="AE21" s="8">
        <f>(AM21-AM20)/(Y21-Y20)</f>
        <v>0.60697711004483612</v>
      </c>
      <c r="AL21" s="1">
        <f t="shared" si="0"/>
        <v>0.42680000000000001</v>
      </c>
      <c r="AM21" s="1">
        <f t="shared" si="4"/>
        <v>33.461400000000005</v>
      </c>
      <c r="AN21" s="1">
        <f t="shared" si="5"/>
        <v>18.228999999999999</v>
      </c>
      <c r="AO21" s="1" t="str">
        <f t="shared" ref="AO21:AO28" si="9">IF(ISNUMBER(F21),F21*1000/100,"")</f>
        <v/>
      </c>
      <c r="AP21" s="1" t="str">
        <f t="shared" ref="AP21:AP28" si="10">IF(ISNUMBER(G21),G21*1000/100,"")</f>
        <v/>
      </c>
      <c r="AQ21" s="1" t="str">
        <f t="shared" ref="AQ21:AQ28" si="11">IF(ISNUMBER(H21),H21*1000/100,"")</f>
        <v/>
      </c>
      <c r="AR21" s="1" t="str">
        <f t="shared" ref="AR21:AR28" si="12">IF(ISNUMBER(I21),I21*1000/100,"")</f>
        <v/>
      </c>
      <c r="AS21" s="1" t="str">
        <f t="shared" ref="AS21:AS28" si="13">IF(ISNUMBER(J21),J21*1000/100,"")</f>
        <v/>
      </c>
      <c r="AT21" s="1" t="str">
        <f t="shared" ref="AT21:AT28" si="14">IF(ISNUMBER(K21),K21*1000/100,"")</f>
        <v/>
      </c>
      <c r="AU21" s="1" t="str">
        <f t="shared" ref="AU21:AU28" si="15">IF(ISNUMBER(L21),L21*1000/100,"")</f>
        <v/>
      </c>
      <c r="AY21" s="15"/>
      <c r="AZ21" s="15"/>
      <c r="BE21" s="7"/>
      <c r="BF21" s="8"/>
      <c r="BG21" s="7"/>
    </row>
    <row r="22" spans="1:80" x14ac:dyDescent="0.2">
      <c r="B22" s="14"/>
      <c r="C22" s="14"/>
      <c r="D22" s="14"/>
      <c r="E22" s="14"/>
      <c r="F22" s="14" t="s">
        <v>108</v>
      </c>
      <c r="G22" s="14" t="s">
        <v>108</v>
      </c>
      <c r="H22" s="14" t="s">
        <v>108</v>
      </c>
      <c r="I22" s="14" t="s">
        <v>108</v>
      </c>
      <c r="J22" s="14" t="s">
        <v>108</v>
      </c>
      <c r="K22" s="14" t="s">
        <v>108</v>
      </c>
      <c r="L22" s="14" t="s">
        <v>108</v>
      </c>
      <c r="M22" s="14" t="s">
        <v>108</v>
      </c>
      <c r="N22" s="20"/>
      <c r="O22" s="14" t="str">
        <f t="shared" si="6"/>
        <v xml:space="preserve"> </v>
      </c>
      <c r="P22"/>
      <c r="Q22" s="2"/>
      <c r="R22" s="3"/>
      <c r="S22" s="7"/>
      <c r="V22" s="21"/>
      <c r="Y22" s="15"/>
      <c r="AA22" s="15"/>
      <c r="AC22" s="8"/>
      <c r="AD22" s="8"/>
      <c r="AE22" s="8"/>
      <c r="AL22" s="1" t="str">
        <f t="shared" si="0"/>
        <v/>
      </c>
      <c r="AM22" s="1">
        <f t="shared" si="4"/>
        <v>0</v>
      </c>
      <c r="AN22" s="1">
        <f t="shared" si="5"/>
        <v>0</v>
      </c>
      <c r="AO22" s="1" t="str">
        <f t="shared" si="9"/>
        <v/>
      </c>
      <c r="AP22" s="1" t="str">
        <f t="shared" si="10"/>
        <v/>
      </c>
      <c r="AQ22" s="1" t="str">
        <f t="shared" si="11"/>
        <v/>
      </c>
      <c r="AR22" s="1" t="str">
        <f t="shared" si="12"/>
        <v/>
      </c>
      <c r="AS22" s="1" t="str">
        <f t="shared" si="13"/>
        <v/>
      </c>
      <c r="AT22" s="1" t="str">
        <f t="shared" si="14"/>
        <v/>
      </c>
      <c r="AU22" s="1" t="str">
        <f t="shared" si="15"/>
        <v/>
      </c>
      <c r="AY22" s="15"/>
      <c r="AZ22" s="15"/>
      <c r="BE22" s="7"/>
      <c r="BF22" s="8"/>
      <c r="BG22" s="7"/>
    </row>
    <row r="23" spans="1:80" x14ac:dyDescent="0.2">
      <c r="B23" s="14"/>
      <c r="C23" s="14"/>
      <c r="D23" s="14"/>
      <c r="E23" s="14"/>
      <c r="F23" s="14" t="s">
        <v>108</v>
      </c>
      <c r="G23" s="14" t="s">
        <v>108</v>
      </c>
      <c r="H23" s="14" t="s">
        <v>108</v>
      </c>
      <c r="I23" s="14" t="s">
        <v>108</v>
      </c>
      <c r="J23" s="14" t="s">
        <v>108</v>
      </c>
      <c r="K23" s="14" t="s">
        <v>108</v>
      </c>
      <c r="L23" s="14" t="s">
        <v>108</v>
      </c>
      <c r="M23" s="14" t="s">
        <v>108</v>
      </c>
      <c r="N23" s="14"/>
      <c r="O23" s="14" t="str">
        <f t="shared" si="6"/>
        <v xml:space="preserve"> </v>
      </c>
      <c r="P23"/>
      <c r="Q23" s="2"/>
      <c r="R23" s="3"/>
      <c r="S23" s="7"/>
      <c r="W23" s="18"/>
      <c r="Y23" s="15"/>
      <c r="AA23" s="15"/>
      <c r="AC23" s="8"/>
      <c r="AD23" s="8"/>
      <c r="AE23" s="8"/>
      <c r="AL23" s="1" t="str">
        <f t="shared" si="0"/>
        <v/>
      </c>
      <c r="AM23" s="1">
        <f t="shared" si="4"/>
        <v>0</v>
      </c>
      <c r="AN23" s="4">
        <f t="shared" si="5"/>
        <v>0</v>
      </c>
      <c r="AO23" s="1" t="str">
        <f t="shared" si="9"/>
        <v/>
      </c>
      <c r="AP23" s="1" t="str">
        <f t="shared" si="10"/>
        <v/>
      </c>
      <c r="AQ23" s="1" t="str">
        <f t="shared" si="11"/>
        <v/>
      </c>
      <c r="AR23" s="1" t="str">
        <f t="shared" si="12"/>
        <v/>
      </c>
      <c r="AS23" s="1" t="str">
        <f t="shared" si="13"/>
        <v/>
      </c>
      <c r="AT23" s="1" t="str">
        <f t="shared" si="14"/>
        <v/>
      </c>
      <c r="AU23" s="1" t="str">
        <f t="shared" si="15"/>
        <v/>
      </c>
      <c r="AY23" s="15"/>
      <c r="AZ23" s="15"/>
      <c r="BE23" s="7"/>
      <c r="BF23" s="8"/>
      <c r="BG23" s="7"/>
    </row>
    <row r="24" spans="1:80" x14ac:dyDescent="0.2">
      <c r="B24" s="14"/>
      <c r="C24" s="14"/>
      <c r="D24" s="14"/>
      <c r="E24" s="14"/>
      <c r="F24" s="14" t="s">
        <v>108</v>
      </c>
      <c r="G24" s="14" t="s">
        <v>108</v>
      </c>
      <c r="H24" s="14" t="s">
        <v>108</v>
      </c>
      <c r="I24" s="14" t="s">
        <v>108</v>
      </c>
      <c r="J24" s="14" t="s">
        <v>108</v>
      </c>
      <c r="K24" s="14" t="s">
        <v>108</v>
      </c>
      <c r="L24" s="14" t="s">
        <v>108</v>
      </c>
      <c r="M24" s="14" t="s">
        <v>108</v>
      </c>
      <c r="N24" s="14"/>
      <c r="O24" s="14" t="str">
        <f t="shared" si="6"/>
        <v xml:space="preserve"> </v>
      </c>
      <c r="P24"/>
      <c r="Q24" s="2"/>
      <c r="R24" s="3"/>
      <c r="S24" s="7"/>
      <c r="W24" s="18"/>
      <c r="Y24" s="15"/>
      <c r="AA24" s="15"/>
      <c r="AC24" s="8"/>
      <c r="AD24" s="8"/>
      <c r="AE24" s="8"/>
      <c r="AL24" s="1" t="str">
        <f t="shared" si="0"/>
        <v/>
      </c>
      <c r="AM24" s="1">
        <f t="shared" si="4"/>
        <v>0</v>
      </c>
      <c r="AN24" s="1">
        <f t="shared" si="5"/>
        <v>0</v>
      </c>
      <c r="AO24" s="1" t="str">
        <f t="shared" si="9"/>
        <v/>
      </c>
      <c r="AP24" s="1" t="str">
        <f t="shared" si="10"/>
        <v/>
      </c>
      <c r="AQ24" s="1" t="str">
        <f t="shared" si="11"/>
        <v/>
      </c>
      <c r="AR24" s="1" t="str">
        <f t="shared" si="12"/>
        <v/>
      </c>
      <c r="AS24" s="1" t="str">
        <f t="shared" si="13"/>
        <v/>
      </c>
      <c r="AT24" s="1" t="str">
        <f t="shared" si="14"/>
        <v/>
      </c>
      <c r="AU24" s="1" t="str">
        <f t="shared" si="15"/>
        <v/>
      </c>
      <c r="AY24" s="15"/>
      <c r="AZ24" s="15"/>
      <c r="BE24" s="7"/>
      <c r="BF24" s="8"/>
      <c r="BG24" s="7"/>
    </row>
    <row r="25" spans="1:80" x14ac:dyDescent="0.2">
      <c r="B25" s="14"/>
      <c r="C25" s="14"/>
      <c r="D25" s="14"/>
      <c r="E25" s="14"/>
      <c r="F25" s="14" t="s">
        <v>108</v>
      </c>
      <c r="G25" s="14" t="s">
        <v>108</v>
      </c>
      <c r="H25" s="14" t="s">
        <v>108</v>
      </c>
      <c r="I25" s="14" t="s">
        <v>108</v>
      </c>
      <c r="J25" s="14" t="s">
        <v>108</v>
      </c>
      <c r="K25" s="14" t="s">
        <v>108</v>
      </c>
      <c r="L25" s="14" t="s">
        <v>108</v>
      </c>
      <c r="M25" s="14" t="s">
        <v>108</v>
      </c>
      <c r="N25" s="14"/>
      <c r="O25" s="14" t="str">
        <f t="shared" si="6"/>
        <v xml:space="preserve"> </v>
      </c>
      <c r="P25"/>
      <c r="Q25" s="2"/>
      <c r="R25" s="3"/>
      <c r="S25" s="7"/>
      <c r="W25" s="18"/>
      <c r="Y25" s="15"/>
      <c r="AA25" s="15"/>
      <c r="AC25" s="8"/>
      <c r="AD25" s="8"/>
      <c r="AE25" s="8"/>
      <c r="AL25" s="1" t="str">
        <f t="shared" si="0"/>
        <v/>
      </c>
      <c r="AM25" s="1">
        <f t="shared" si="4"/>
        <v>0</v>
      </c>
      <c r="AN25" s="1">
        <f t="shared" si="5"/>
        <v>0</v>
      </c>
      <c r="AO25" s="1" t="str">
        <f t="shared" si="9"/>
        <v/>
      </c>
      <c r="AP25" s="1" t="str">
        <f t="shared" si="10"/>
        <v/>
      </c>
      <c r="AQ25" s="1" t="str">
        <f t="shared" si="11"/>
        <v/>
      </c>
      <c r="AR25" s="1" t="str">
        <f t="shared" si="12"/>
        <v/>
      </c>
      <c r="AS25" s="1" t="str">
        <f t="shared" si="13"/>
        <v/>
      </c>
      <c r="AT25" s="1" t="str">
        <f t="shared" si="14"/>
        <v/>
      </c>
      <c r="AU25" s="1" t="str">
        <f t="shared" si="15"/>
        <v/>
      </c>
      <c r="AY25" s="15"/>
      <c r="AZ25" s="15"/>
      <c r="BE25" s="7"/>
      <c r="BF25" s="8"/>
    </row>
    <row r="26" spans="1:80" s="17" customFormat="1" ht="17" thickBot="1" x14ac:dyDescent="0.25">
      <c r="B26" s="14"/>
      <c r="C26" s="14"/>
      <c r="D26" s="14"/>
      <c r="E26" s="14"/>
      <c r="F26" s="14"/>
      <c r="G26" s="14" t="s">
        <v>108</v>
      </c>
      <c r="H26" s="14" t="s">
        <v>108</v>
      </c>
      <c r="I26" s="14" t="s">
        <v>108</v>
      </c>
      <c r="J26" s="14" t="s">
        <v>108</v>
      </c>
      <c r="K26" s="14" t="s">
        <v>108</v>
      </c>
      <c r="L26" s="14" t="s">
        <v>108</v>
      </c>
      <c r="M26" s="14" t="s">
        <v>108</v>
      </c>
      <c r="N26" s="14"/>
      <c r="O26" s="14">
        <f t="shared" si="6"/>
        <v>0</v>
      </c>
      <c r="P26"/>
      <c r="Q26" s="2"/>
      <c r="R26" s="3"/>
      <c r="S26" s="7"/>
      <c r="T26" s="1"/>
      <c r="U26" s="1"/>
      <c r="V26" s="18"/>
      <c r="W26" s="1"/>
      <c r="X26" s="1"/>
      <c r="Y26" s="15"/>
      <c r="Z26" s="1"/>
      <c r="AA26" s="15"/>
      <c r="AB26" s="1"/>
      <c r="AC26" s="8"/>
      <c r="AD26" s="8"/>
      <c r="AE26" s="8"/>
      <c r="AF26" s="1"/>
      <c r="AG26" s="1"/>
      <c r="AH26" s="1"/>
      <c r="AI26" s="1"/>
      <c r="AJ26" s="1"/>
      <c r="AK26" s="1"/>
      <c r="AL26" s="1" t="str">
        <f t="shared" si="0"/>
        <v/>
      </c>
      <c r="AM26" s="1">
        <f t="shared" si="4"/>
        <v>0</v>
      </c>
      <c r="AN26" s="1">
        <f t="shared" si="5"/>
        <v>0</v>
      </c>
      <c r="AO26" s="1" t="str">
        <f t="shared" si="9"/>
        <v/>
      </c>
      <c r="AP26" s="1" t="str">
        <f t="shared" si="10"/>
        <v/>
      </c>
      <c r="AQ26" s="1" t="str">
        <f t="shared" si="11"/>
        <v/>
      </c>
      <c r="AR26" s="1" t="str">
        <f t="shared" si="12"/>
        <v/>
      </c>
      <c r="AS26" s="1" t="str">
        <f t="shared" si="13"/>
        <v/>
      </c>
      <c r="AT26" s="1" t="str">
        <f t="shared" si="14"/>
        <v/>
      </c>
      <c r="AU26" s="1" t="str">
        <f t="shared" si="15"/>
        <v/>
      </c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/>
      <c r="C27" s="14"/>
      <c r="D27" s="14"/>
      <c r="E27" s="14"/>
      <c r="F27" s="14"/>
      <c r="G27" s="14" t="s">
        <v>108</v>
      </c>
      <c r="H27" s="14" t="s">
        <v>108</v>
      </c>
      <c r="I27" s="14" t="s">
        <v>108</v>
      </c>
      <c r="J27" s="14" t="s">
        <v>108</v>
      </c>
      <c r="K27" s="14" t="s">
        <v>108</v>
      </c>
      <c r="L27" s="14" t="s">
        <v>108</v>
      </c>
      <c r="M27" s="14" t="s">
        <v>108</v>
      </c>
      <c r="N27" s="14"/>
      <c r="O27" s="14">
        <f t="shared" si="6"/>
        <v>0</v>
      </c>
      <c r="P27"/>
      <c r="Q27" s="2"/>
      <c r="R27" s="3"/>
      <c r="S27" s="7"/>
      <c r="V27" s="18"/>
      <c r="Y27" s="15"/>
      <c r="AA27" s="15"/>
      <c r="AC27" s="8"/>
      <c r="AD27" s="8"/>
      <c r="AE27" s="8"/>
      <c r="AL27" s="1" t="str">
        <f t="shared" si="0"/>
        <v/>
      </c>
      <c r="AM27" s="1">
        <f t="shared" si="4"/>
        <v>0</v>
      </c>
      <c r="AN27" s="1">
        <f t="shared" si="5"/>
        <v>0</v>
      </c>
      <c r="AO27" s="1" t="str">
        <f t="shared" si="9"/>
        <v/>
      </c>
      <c r="AP27" s="1" t="str">
        <f t="shared" si="10"/>
        <v/>
      </c>
      <c r="AQ27" s="1" t="str">
        <f t="shared" si="11"/>
        <v/>
      </c>
      <c r="AR27" s="1" t="str">
        <f t="shared" si="12"/>
        <v/>
      </c>
      <c r="AS27" s="1" t="str">
        <f t="shared" si="13"/>
        <v/>
      </c>
      <c r="AT27" s="1" t="str">
        <f t="shared" si="14"/>
        <v/>
      </c>
      <c r="AU27" s="1" t="str">
        <f t="shared" si="15"/>
        <v/>
      </c>
      <c r="AY27" s="15"/>
      <c r="AZ27" s="15"/>
      <c r="BE27" s="7"/>
      <c r="BF27" s="8"/>
    </row>
    <row r="28" spans="1:80" x14ac:dyDescent="0.2">
      <c r="B28" s="14"/>
      <c r="C28" s="14"/>
      <c r="D28" s="14"/>
      <c r="E28" s="14"/>
      <c r="F28" s="14"/>
      <c r="G28" s="14" t="s">
        <v>108</v>
      </c>
      <c r="H28" s="14" t="s">
        <v>108</v>
      </c>
      <c r="I28" s="14" t="s">
        <v>108</v>
      </c>
      <c r="J28" s="14" t="s">
        <v>108</v>
      </c>
      <c r="K28" s="14" t="s">
        <v>108</v>
      </c>
      <c r="L28" s="14" t="s">
        <v>108</v>
      </c>
      <c r="M28" s="14" t="s">
        <v>108</v>
      </c>
      <c r="N28" s="14"/>
      <c r="O28" s="14">
        <f t="shared" si="6"/>
        <v>0</v>
      </c>
      <c r="P28"/>
      <c r="Q28" s="2"/>
      <c r="R28" s="3"/>
      <c r="S28" s="7"/>
      <c r="V28" s="18"/>
      <c r="Y28" s="15"/>
      <c r="AA28" s="15"/>
      <c r="AC28" s="8"/>
      <c r="AD28" s="8"/>
      <c r="AE28" s="8"/>
      <c r="AL28" s="1" t="str">
        <f t="shared" si="0"/>
        <v/>
      </c>
      <c r="AM28" s="1">
        <f t="shared" si="4"/>
        <v>0</v>
      </c>
      <c r="AN28" s="1">
        <f t="shared" si="5"/>
        <v>0</v>
      </c>
      <c r="AO28" s="1" t="str">
        <f t="shared" si="9"/>
        <v/>
      </c>
      <c r="AP28" s="1" t="str">
        <f t="shared" si="10"/>
        <v/>
      </c>
      <c r="AQ28" s="1" t="str">
        <f t="shared" si="11"/>
        <v/>
      </c>
      <c r="AR28" s="1" t="str">
        <f t="shared" si="12"/>
        <v/>
      </c>
      <c r="AS28" s="1" t="str">
        <f t="shared" si="13"/>
        <v/>
      </c>
      <c r="AT28" s="1" t="str">
        <f t="shared" si="14"/>
        <v/>
      </c>
      <c r="AU28" s="1" t="str">
        <f t="shared" si="15"/>
        <v/>
      </c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26"/>
      <c r="V31" s="18"/>
      <c r="Y31" s="15"/>
      <c r="AA31" s="15"/>
      <c r="AC31" s="8"/>
      <c r="AD31" s="8"/>
      <c r="AE31" s="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Y32" s="15"/>
      <c r="AZ32" s="15"/>
      <c r="BE32" s="7"/>
      <c r="BF32" s="8"/>
      <c r="BG32" s="7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15"/>
      <c r="AZ33" s="15"/>
      <c r="BE33" s="7"/>
      <c r="BF33" s="8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26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 t="s">
        <v>108</v>
      </c>
      <c r="G35" s="14" t="s">
        <v>108</v>
      </c>
      <c r="H35" s="11"/>
      <c r="I35" s="11"/>
      <c r="J35" s="11"/>
      <c r="K35" s="11"/>
      <c r="L35" s="11"/>
      <c r="M35" s="11"/>
      <c r="O35" s="14" t="str">
        <f t="shared" si="6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 t="shared" si="0"/>
        <v/>
      </c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6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6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6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6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6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6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6"/>
        <v>0</v>
      </c>
      <c r="Y42" s="15"/>
      <c r="AA42" s="15"/>
      <c r="AC42" s="8"/>
      <c r="AD42" s="8"/>
      <c r="AE42" s="16"/>
    </row>
    <row r="67" spans="22:58" x14ac:dyDescent="0.2">
      <c r="AY67" s="15"/>
      <c r="AZ67" s="15"/>
      <c r="BE67" s="7"/>
      <c r="BF67" s="7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2026-09-14T20:17:15Z</dcterms:modified>
</cp:coreProperties>
</file>