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hreeYeast/2024_PPI_threeYeast/Experiments/Biostat2L/FY25_YarrowiaLipolytica/validationData/Biostat2L_79/"/>
    </mc:Choice>
  </mc:AlternateContent>
  <xr:revisionPtr revIDLastSave="0" documentId="13_ncr:1_{5055B58E-727A-F145-BFC5-86964CACD028}" xr6:coauthVersionLast="47" xr6:coauthVersionMax="47" xr10:uidLastSave="{00000000-0000-0000-0000-000000000000}"/>
  <bookViews>
    <workbookView xWindow="42560" yWindow="1340" windowWidth="38400" windowHeight="19540" activeTab="3" xr2:uid="{BDF02C84-02A8-4344-A1AB-FF0C5B79C569}"/>
  </bookViews>
  <sheets>
    <sheet name="info" sheetId="1" r:id="rId1"/>
    <sheet name="medium" sheetId="2" r:id="rId2"/>
    <sheet name="vessel setup" sheetId="3" r:id="rId3"/>
    <sheet name="data" sheetId="6" r:id="rId4"/>
  </sheets>
  <definedNames>
    <definedName name="_xlnm._FilterDatabase" localSheetId="3" hidden="1">data!$A$13:$AX$67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5" i="6" l="1"/>
  <c r="AN17" i="6"/>
  <c r="AM17" i="6"/>
  <c r="AL17" i="6"/>
  <c r="AN18" i="6"/>
  <c r="AB18" i="6" s="1"/>
  <c r="AC18" i="6" s="1"/>
  <c r="AM18" i="6"/>
  <c r="AL18" i="6"/>
  <c r="AN19" i="6"/>
  <c r="AB19" i="6" s="1"/>
  <c r="AC19" i="6" s="1"/>
  <c r="AM19" i="6"/>
  <c r="Z19" i="6" s="1"/>
  <c r="AL19" i="6"/>
  <c r="AN20" i="6"/>
  <c r="AM20" i="6"/>
  <c r="Z20" i="6" s="1"/>
  <c r="AL20" i="6"/>
  <c r="Y26" i="6"/>
  <c r="Y25" i="6"/>
  <c r="Y24" i="6"/>
  <c r="Y23" i="6"/>
  <c r="Y22" i="6"/>
  <c r="Y21" i="6"/>
  <c r="Y20" i="6"/>
  <c r="Y19" i="6"/>
  <c r="Y18" i="6"/>
  <c r="Y17" i="6"/>
  <c r="AB20" i="6" l="1"/>
  <c r="AC20" i="6" s="1"/>
  <c r="AA18" i="6"/>
  <c r="AA17" i="6"/>
  <c r="AD18" i="6"/>
  <c r="AD17" i="6"/>
  <c r="AE17" i="6"/>
  <c r="AA19" i="6"/>
  <c r="AE18" i="6"/>
  <c r="AA20" i="6"/>
  <c r="AD20" i="6"/>
  <c r="AE19" i="6"/>
  <c r="AE20" i="6"/>
  <c r="AD19" i="6"/>
  <c r="Z17" i="6"/>
  <c r="Z18" i="6"/>
  <c r="AB17" i="6"/>
  <c r="AC17" i="6" s="1"/>
  <c r="AN23" i="6" l="1"/>
  <c r="O18" i="6"/>
  <c r="O19" i="6"/>
  <c r="O20" i="6"/>
  <c r="O21" i="6"/>
  <c r="O22" i="6"/>
  <c r="O23" i="6"/>
  <c r="O24" i="6"/>
  <c r="O25" i="6"/>
  <c r="O26" i="6"/>
  <c r="O27" i="6"/>
  <c r="O28" i="6"/>
  <c r="O35" i="6"/>
  <c r="O36" i="6"/>
  <c r="O37" i="6"/>
  <c r="O38" i="6"/>
  <c r="O39" i="6"/>
  <c r="O40" i="6"/>
  <c r="O41" i="6"/>
  <c r="O42" i="6"/>
  <c r="O17" i="6"/>
  <c r="K6" i="2"/>
  <c r="O6" i="2"/>
  <c r="N6" i="2"/>
  <c r="M6" i="2"/>
  <c r="J6" i="2" s="1"/>
  <c r="L6" i="2"/>
  <c r="I6" i="2" s="1"/>
  <c r="AB23" i="6" l="1"/>
  <c r="AC23" i="6" s="1"/>
  <c r="G6" i="2"/>
  <c r="F6" i="2"/>
  <c r="AP23" i="6" l="1"/>
  <c r="AN28" i="6"/>
  <c r="AN27" i="6"/>
  <c r="AN26" i="6"/>
  <c r="AN25" i="6"/>
  <c r="AN24" i="6"/>
  <c r="AN22" i="6"/>
  <c r="AB22" i="6" s="1"/>
  <c r="AC22" i="6" s="1"/>
  <c r="AN21" i="6"/>
  <c r="AB21" i="6" s="1"/>
  <c r="AC21" i="6" s="1"/>
  <c r="AU16" i="6"/>
  <c r="AT16" i="6"/>
  <c r="AS16" i="6"/>
  <c r="AR16" i="6"/>
  <c r="AQ16" i="6"/>
  <c r="AP16" i="6"/>
  <c r="AO16" i="6"/>
  <c r="AL16" i="6"/>
  <c r="AU15" i="6"/>
  <c r="AT15" i="6"/>
  <c r="AS15" i="6"/>
  <c r="AR15" i="6"/>
  <c r="AQ15" i="6"/>
  <c r="AP15" i="6"/>
  <c r="AO15" i="6"/>
  <c r="AL15" i="6"/>
  <c r="AU14" i="6"/>
  <c r="AT14" i="6"/>
  <c r="AS14" i="6"/>
  <c r="AR14" i="6"/>
  <c r="AQ14" i="6"/>
  <c r="AP14" i="6"/>
  <c r="AO14" i="6"/>
  <c r="AL14" i="6"/>
  <c r="V71" i="6"/>
  <c r="AU28" i="6"/>
  <c r="AT28" i="6"/>
  <c r="AS28" i="6"/>
  <c r="AR28" i="6"/>
  <c r="AQ28" i="6"/>
  <c r="AP28" i="6"/>
  <c r="AO28" i="6"/>
  <c r="AM28" i="6"/>
  <c r="AU27" i="6"/>
  <c r="AT27" i="6"/>
  <c r="AS27" i="6"/>
  <c r="AR27" i="6"/>
  <c r="AQ27" i="6"/>
  <c r="AP27" i="6"/>
  <c r="AO27" i="6"/>
  <c r="AM27" i="6"/>
  <c r="AU26" i="6"/>
  <c r="AT26" i="6"/>
  <c r="AS26" i="6"/>
  <c r="AR26" i="6"/>
  <c r="AQ26" i="6"/>
  <c r="AP26" i="6"/>
  <c r="AO26" i="6"/>
  <c r="AM26" i="6"/>
  <c r="AL26" i="6"/>
  <c r="AU25" i="6"/>
  <c r="AT25" i="6"/>
  <c r="AS25" i="6"/>
  <c r="AR25" i="6"/>
  <c r="AQ25" i="6"/>
  <c r="AP25" i="6"/>
  <c r="AO25" i="6"/>
  <c r="AM25" i="6"/>
  <c r="AL25" i="6"/>
  <c r="AU24" i="6"/>
  <c r="AT24" i="6"/>
  <c r="AS24" i="6"/>
  <c r="AR24" i="6"/>
  <c r="AQ24" i="6"/>
  <c r="AP24" i="6"/>
  <c r="AO24" i="6"/>
  <c r="AM24" i="6"/>
  <c r="AL24" i="6"/>
  <c r="AU23" i="6"/>
  <c r="AT23" i="6"/>
  <c r="AS23" i="6"/>
  <c r="AR23" i="6"/>
  <c r="AQ23" i="6"/>
  <c r="AO23" i="6"/>
  <c r="AM23" i="6"/>
  <c r="AL23" i="6"/>
  <c r="AU22" i="6"/>
  <c r="AT22" i="6"/>
  <c r="AS22" i="6"/>
  <c r="AR22" i="6"/>
  <c r="AQ22" i="6"/>
  <c r="AP22" i="6"/>
  <c r="AO22" i="6"/>
  <c r="AM22" i="6"/>
  <c r="AL22" i="6"/>
  <c r="AU21" i="6"/>
  <c r="AT21" i="6"/>
  <c r="AS21" i="6"/>
  <c r="AR21" i="6"/>
  <c r="AQ21" i="6"/>
  <c r="AP21" i="6"/>
  <c r="AO21" i="6"/>
  <c r="AM21" i="6"/>
  <c r="AL21" i="6"/>
  <c r="V35" i="2"/>
  <c r="Z24" i="2"/>
  <c r="V21" i="2"/>
  <c r="V11" i="2"/>
  <c r="H6" i="2"/>
  <c r="AD4" i="2"/>
  <c r="AD3" i="2"/>
  <c r="AD23" i="6" l="1"/>
  <c r="AE23" i="6"/>
  <c r="AD22" i="6"/>
  <c r="AE22" i="6"/>
  <c r="AE21" i="6"/>
  <c r="AD21" i="6"/>
  <c r="AE26" i="6"/>
  <c r="AD26" i="6"/>
  <c r="AE25" i="6"/>
  <c r="AD25" i="6"/>
  <c r="AE24" i="6"/>
  <c r="AD24" i="6"/>
  <c r="Z23" i="6"/>
  <c r="AA23" i="6"/>
  <c r="Z21" i="6"/>
  <c r="AA21" i="6"/>
  <c r="AA26" i="6"/>
  <c r="Z26" i="6"/>
  <c r="Z22" i="6"/>
  <c r="AA22" i="6"/>
  <c r="AA25" i="6"/>
  <c r="Z25" i="6"/>
  <c r="AA24" i="6"/>
  <c r="Z24" i="6"/>
  <c r="AB24" i="6"/>
  <c r="AC24" i="6" s="1"/>
  <c r="AB25" i="6"/>
  <c r="AC25" i="6" s="1"/>
  <c r="AB26" i="6"/>
  <c r="AC26" i="6" s="1"/>
</calcChain>
</file>

<file path=xl/sharedStrings.xml><?xml version="1.0" encoding="utf-8"?>
<sst xmlns="http://schemas.openxmlformats.org/spreadsheetml/2006/main" count="447" uniqueCount="196">
  <si>
    <t>Initial seed</t>
  </si>
  <si>
    <t>Culture</t>
  </si>
  <si>
    <t>OD600 final</t>
  </si>
  <si>
    <t>date of Inoculation</t>
  </si>
  <si>
    <t>Species</t>
  </si>
  <si>
    <t>Reactor</t>
  </si>
  <si>
    <t>Description</t>
  </si>
  <si>
    <t>Volume (no seed)</t>
  </si>
  <si>
    <t>Volume (w/seed)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</si>
  <si>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</si>
  <si>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</si>
  <si>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</si>
  <si>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</si>
  <si>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</si>
  <si>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</si>
  <si>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</si>
  <si>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Note</t>
  </si>
  <si>
    <t>R1</t>
  </si>
  <si>
    <t>Biostat2L</t>
  </si>
  <si>
    <t>OD600 initial</t>
  </si>
  <si>
    <t>redford ratio</t>
  </si>
  <si>
    <t>Initial Medium.</t>
  </si>
  <si>
    <t>C:N:P</t>
  </si>
  <si>
    <t>C/N</t>
  </si>
  <si>
    <t>molecular weight (m.w., g/mol)</t>
  </si>
  <si>
    <t>Yeast Nitrogen Base W/out Amino acids and Ammonium Sulfate (product number Y1251)</t>
  </si>
  <si>
    <t>C/P</t>
  </si>
  <si>
    <t>Conc (g/L)</t>
  </si>
  <si>
    <t>Component</t>
  </si>
  <si>
    <t>C/N ratio low</t>
  </si>
  <si>
    <t>C/N ratio (high)</t>
  </si>
  <si>
    <t>C/P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</si>
  <si>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</si>
  <si>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</si>
  <si>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</si>
  <si>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</si>
  <si>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</si>
  <si>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</si>
  <si>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</si>
  <si>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</si>
  <si>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</si>
  <si>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</si>
  <si>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</si>
  <si>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</si>
  <si>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</si>
  <si>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</si>
  <si>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</si>
  <si>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</si>
  <si>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</si>
  <si>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Acetate</t>
  </si>
  <si>
    <t>calcium chloride</t>
  </si>
  <si>
    <t>Citric acid</t>
  </si>
  <si>
    <t>g/L total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</si>
  <si>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</si>
  <si>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</si>
  <si>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</si>
  <si>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</si>
  <si>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</si>
  <si>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</si>
  <si>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</si>
  <si>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</si>
  <si>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</si>
  <si>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</si>
  <si>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</si>
  <si>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</si>
  <si>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</si>
  <si>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</si>
  <si>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</si>
  <si>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</si>
  <si>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</si>
  <si>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</si>
  <si>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</si>
  <si>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</si>
  <si>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</si>
  <si>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</si>
  <si>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</si>
  <si>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</si>
  <si>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</si>
  <si>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Media</t>
  </si>
  <si>
    <t>mol N/L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</si>
  <si>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</si>
  <si>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</si>
  <si>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</si>
  <si>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</si>
  <si>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Results in g/L</t>
  </si>
  <si>
    <t>#</t>
  </si>
  <si>
    <t>SampleName</t>
  </si>
  <si>
    <t>Citric Acid</t>
  </si>
  <si>
    <t>Erythritol</t>
  </si>
  <si>
    <t>Acetic Acid</t>
  </si>
  <si>
    <t>date</t>
  </si>
  <si>
    <t>time</t>
  </si>
  <si>
    <t>hour</t>
  </si>
  <si>
    <t>reactor</t>
  </si>
  <si>
    <t>sample number</t>
  </si>
  <si>
    <t>sample volume (mL)</t>
  </si>
  <si>
    <t>OD600</t>
  </si>
  <si>
    <t>sugar consumed</t>
  </si>
  <si>
    <t>specific sugar consumed (g/L)</t>
  </si>
  <si>
    <t>specific sugar consumed (g/L/h)</t>
  </si>
  <si>
    <t>r1</t>
  </si>
  <si>
    <t>r2</t>
  </si>
  <si>
    <t>trehalose</t>
  </si>
  <si>
    <t>ethanol</t>
  </si>
  <si>
    <t>results in wt %</t>
  </si>
  <si>
    <t>RI detector</t>
  </si>
  <si>
    <t>inoculated 3/26/25 @ 4:00 pm.</t>
  </si>
  <si>
    <t>YE Nitrogen</t>
  </si>
  <si>
    <t>AC Nitrogen</t>
  </si>
  <si>
    <t xml:space="preserve"> </t>
  </si>
  <si>
    <t>Time inoculation</t>
  </si>
  <si>
    <t>R2</t>
  </si>
  <si>
    <t>R3</t>
  </si>
  <si>
    <t>YNB100-0.1g/LYE-C/N100</t>
  </si>
  <si>
    <t>N/P ratio (high)</t>
  </si>
  <si>
    <t>N/P ratio low</t>
  </si>
  <si>
    <t>These Bioreactor campaigns seek to characterize the production of citric acid under oscilating oxygen stress in engineered Yarrowia lipolytica FK355 strains.</t>
  </si>
  <si>
    <t>Strains used per bioreactor run</t>
  </si>
  <si>
    <t>Biostat2L_60</t>
  </si>
  <si>
    <t>Campaign name</t>
  </si>
  <si>
    <t>Reactor Vessel</t>
  </si>
  <si>
    <t>YALI0 name</t>
  </si>
  <si>
    <t>Strain (JGI protein ID)</t>
  </si>
  <si>
    <t>OE 6140</t>
  </si>
  <si>
    <t>OE 4777</t>
  </si>
  <si>
    <t>Biostat2L_61</t>
  </si>
  <si>
    <t>Biostat2L_62</t>
  </si>
  <si>
    <t>Biostat2L_64</t>
  </si>
  <si>
    <t>Biostat2L_66</t>
  </si>
  <si>
    <t>Biostat2L_71</t>
  </si>
  <si>
    <t>oscillating</t>
  </si>
  <si>
    <t>25% pO2</t>
  </si>
  <si>
    <t>Oxygen condition</t>
  </si>
  <si>
    <t>YALI0B10736g</t>
  </si>
  <si>
    <t>YALI0C03443g</t>
  </si>
  <si>
    <t>∆2212 + leu2</t>
  </si>
  <si>
    <t>YALI0C17347g</t>
  </si>
  <si>
    <t>Posttranslational modification, protein turnover, chaperones</t>
  </si>
  <si>
    <t>goName</t>
  </si>
  <si>
    <t>KOGClass</t>
  </si>
  <si>
    <t>N/A</t>
  </si>
  <si>
    <t>Energy production and conversion</t>
  </si>
  <si>
    <t>Molecular chaperone (small heat-shock protein Hsp26/Hsp42)</t>
  </si>
  <si>
    <t>YALI0B10758g</t>
  </si>
  <si>
    <t>Protein kinase PCTAIRE and related kinases</t>
  </si>
  <si>
    <t>General function prediction only</t>
  </si>
  <si>
    <t>YALI0D26884g</t>
  </si>
  <si>
    <t>COP9 signalosome complex subunit 6</t>
  </si>
  <si>
    <t>Molecular chaperones mortalin/PBP74/GRP75, HSP70 superfamily</t>
  </si>
  <si>
    <t>YALI0E07601g</t>
  </si>
  <si>
    <t>Rac GTPase-activating protein BCR/ABR</t>
  </si>
  <si>
    <t>Signal transduction mechanisms</t>
  </si>
  <si>
    <t>YALI0E05665g</t>
  </si>
  <si>
    <t>Aquaporin-like protein</t>
  </si>
  <si>
    <t>YALI0E02310g</t>
  </si>
  <si>
    <t>Glutathione peroxidase</t>
  </si>
  <si>
    <t>YALI0E31064g</t>
  </si>
  <si>
    <t>Na+/dicarboxylate, Na+/tricarboxylate and phosphate transporters</t>
  </si>
  <si>
    <t>Inorganic ion transport and metabolism</t>
  </si>
  <si>
    <t>∆4631 + leu2</t>
  </si>
  <si>
    <t>∆4933 + leu2</t>
  </si>
  <si>
    <t>Media contains 0.5 g/L YE.</t>
  </si>
  <si>
    <t>YPD</t>
  </si>
  <si>
    <t>YNB100-1.6NH4Cl-0.5g/LYE-C/N~100</t>
  </si>
  <si>
    <t xml:space="preserve">Y. lipolytica </t>
  </si>
  <si>
    <t>OE 1448</t>
  </si>
  <si>
    <t>OE 1449</t>
  </si>
  <si>
    <t>OE 4631</t>
  </si>
  <si>
    <t>OE 2941</t>
  </si>
  <si>
    <t>OE 5015</t>
  </si>
  <si>
    <t>OE 4933</t>
  </si>
  <si>
    <t>arabinose</t>
  </si>
  <si>
    <t>xylitol</t>
  </si>
  <si>
    <t>Itaconic Acid</t>
  </si>
  <si>
    <t>citrate rate</t>
  </si>
  <si>
    <t>citrate yield</t>
  </si>
  <si>
    <t>specific citrate rate (g/L/h)</t>
  </si>
  <si>
    <t>specific citrate yield (g/g substrate)</t>
  </si>
  <si>
    <t>400 (0%)-600(50%)-800(100%)</t>
  </si>
  <si>
    <t>(0.325 (0%) - 0.5 (25%) - 1.125 (100%)</t>
  </si>
  <si>
    <t>~35 mL in 250 ML flasks</t>
  </si>
  <si>
    <t>Control (PO1g+leu2)</t>
  </si>
  <si>
    <t>Biostat2L_72</t>
  </si>
  <si>
    <t>Biostat2L_80</t>
  </si>
  <si>
    <t>Biostat2L_81</t>
  </si>
  <si>
    <t>Oscillating</t>
  </si>
  <si>
    <t>Jeff_SloHot50_Biostat 79-1</t>
  </si>
  <si>
    <t>Jeff_SloHot50_Biostat 79-2</t>
  </si>
  <si>
    <t>Jeff_SloHot50_Biostat 79-3</t>
  </si>
  <si>
    <t>Jeff_SloHot50_Biostat 79-4</t>
  </si>
  <si>
    <t>Jeff_SloHot50_Biostat 79-5</t>
  </si>
  <si>
    <t>Jeff_SloHot50_Biostat 79-6</t>
  </si>
  <si>
    <t>Jeff_SloHot50_Biostat 79-7</t>
  </si>
  <si>
    <t>Jeff_SloHot50_Biostat 79-8</t>
  </si>
  <si>
    <t>Jeff_SloHot50_Biostat 79-9</t>
  </si>
  <si>
    <t>Jeff_SloHot50_Biostat 79-10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</si>
</sst>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color rgb="FF000000"/>
      <name val="Times New Roman"/>
      <family val="1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0" borderId="0"/>
    <xf numFmtId="0" fontId="11" fillId="2" borderId="0" applyNumberFormat="0" applyBorder="0" applyAlignment="0" applyProtection="0"/>
    <xf numFmtId="0" fontId="12" fillId="3" borderId="1" applyNumberFormat="0" applyAlignment="0" applyProtection="0"/>
    <xf numFmtId="9" fontId="8" fillId="0" borderId="0" applyFont="0" applyFill="0" applyBorder="0" applyAlignment="0" applyProtection="0"/>
  </cellStyleXfs>
  <cellXfs count="47">
    <xf numFmtId="0" fontId="0" fillId="0" borderId="0" xfId="0"/>
    <xf numFmtId="0" fontId="8" fillId="0" borderId="0" xfId="1"/>
    <xf numFmtId="14" fontId="8" fillId="0" borderId="0" xfId="1" applyNumberFormat="1"/>
    <xf numFmtId="18" fontId="8" fillId="0" borderId="0" xfId="1" applyNumberFormat="1"/>
    <xf numFmtId="0" fontId="9" fillId="0" borderId="0" xfId="1" applyFont="1"/>
    <xf numFmtId="0" fontId="10" fillId="0" borderId="0" xfId="1" applyFont="1"/>
    <xf numFmtId="46" fontId="8" fillId="0" borderId="0" xfId="1" applyNumberFormat="1"/>
    <xf numFmtId="164" fontId="8" fillId="0" borderId="0" xfId="1" applyNumberFormat="1"/>
    <xf numFmtId="165" fontId="8" fillId="0" borderId="0" xfId="1" applyNumberFormat="1"/>
    <xf numFmtId="3" fontId="8" fillId="0" borderId="0" xfId="1" applyNumberFormat="1"/>
    <xf numFmtId="0" fontId="11" fillId="2" borderId="0" xfId="2" applyBorder="1" applyAlignment="1">
      <alignment horizontal="center"/>
    </xf>
    <xf numFmtId="0" fontId="8" fillId="0" borderId="3" xfId="1" applyBorder="1"/>
    <xf numFmtId="0" fontId="8" fillId="0" borderId="4" xfId="1" applyBorder="1"/>
    <xf numFmtId="0" fontId="8" fillId="0" borderId="0" xfId="1" applyAlignment="1">
      <alignment wrapText="1"/>
    </xf>
    <xf numFmtId="0" fontId="0" fillId="0" borderId="3" xfId="0" applyBorder="1"/>
    <xf numFmtId="2" fontId="8" fillId="0" borderId="0" xfId="1" applyNumberFormat="1"/>
    <xf numFmtId="165" fontId="13" fillId="0" borderId="0" xfId="1" applyNumberFormat="1" applyFont="1"/>
    <xf numFmtId="0" fontId="8" fillId="0" borderId="5" xfId="1" applyBorder="1"/>
    <xf numFmtId="0" fontId="14" fillId="0" borderId="0" xfId="1" applyFont="1"/>
    <xf numFmtId="0" fontId="7" fillId="0" borderId="0" xfId="1" applyFont="1"/>
    <xf numFmtId="0" fontId="15" fillId="0" borderId="3" xfId="0" applyFont="1" applyBorder="1"/>
    <xf numFmtId="0" fontId="6" fillId="0" borderId="0" xfId="1" applyFont="1"/>
    <xf numFmtId="0" fontId="6" fillId="0" borderId="0" xfId="1" applyFont="1" applyAlignment="1">
      <alignment horizontal="left"/>
    </xf>
    <xf numFmtId="18" fontId="6" fillId="0" borderId="0" xfId="1" applyNumberFormat="1" applyFont="1"/>
    <xf numFmtId="0" fontId="16" fillId="0" borderId="3" xfId="0" applyFont="1" applyBorder="1"/>
    <xf numFmtId="0" fontId="6" fillId="0" borderId="0" xfId="1" applyFont="1" applyAlignment="1">
      <alignment wrapText="1"/>
    </xf>
    <xf numFmtId="0" fontId="5" fillId="0" borderId="0" xfId="1" applyFont="1"/>
    <xf numFmtId="9" fontId="5" fillId="0" borderId="0" xfId="1" applyNumberFormat="1" applyFont="1"/>
    <xf numFmtId="0" fontId="17" fillId="0" borderId="0" xfId="0" applyFont="1"/>
    <xf numFmtId="14" fontId="18" fillId="0" borderId="0" xfId="1" applyNumberFormat="1" applyFont="1"/>
    <xf numFmtId="0" fontId="18" fillId="0" borderId="0" xfId="1" applyFont="1"/>
    <xf numFmtId="0" fontId="12" fillId="0" borderId="0" xfId="3" applyFill="1" applyBorder="1" applyAlignment="1">
      <alignment horizontal="center"/>
    </xf>
    <xf numFmtId="0" fontId="8" fillId="0" borderId="0" xfId="1" applyAlignment="1">
      <alignment horizontal="center" wrapText="1"/>
    </xf>
    <xf numFmtId="0" fontId="5" fillId="0" borderId="0" xfId="1" applyFont="1" applyAlignment="1">
      <alignment wrapText="1"/>
    </xf>
    <xf numFmtId="0" fontId="4" fillId="0" borderId="0" xfId="1" applyFont="1"/>
    <xf numFmtId="18" fontId="4" fillId="0" borderId="0" xfId="1" applyNumberFormat="1" applyFont="1"/>
    <xf numFmtId="0" fontId="3" fillId="0" borderId="0" xfId="1" applyFont="1"/>
    <xf numFmtId="0" fontId="2" fillId="0" borderId="0" xfId="1" applyFont="1"/>
    <xf numFmtId="0" fontId="11" fillId="2" borderId="2" xfId="2" applyBorder="1" applyAlignment="1">
      <alignment horizontal="center"/>
    </xf>
    <xf numFmtId="0" fontId="12" fillId="0" borderId="0" xfId="3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1" applyFont="1"/>
  </cellXfs>
  <cellStyles count="5">
    <cellStyle name="Calculation 2" xfId="3" xr:uid="{1261D660-C618-4CB6-A7D8-F6700EE710C0}"/>
    <cellStyle name="Good 2" xfId="2" xr:uid="{3239F136-C4DF-47AE-A67C-F24D5BBC59D6}"/>
    <cellStyle name="Normal" xfId="0" builtinId="0"/>
    <cellStyle name="Normal 2" xfId="1" xr:uid="{16BCADC8-BE19-420B-B363-89AC000DF039}"/>
    <cellStyle name="Percent 2" xfId="4" xr:uid="{B6D90BC4-A01E-44CF-9C1B-0874AECCEA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data!$S$14:$S$34</c:f>
              <c:numCache>
                <c:formatCode>General</c:formatCode>
                <c:ptCount val="21"/>
                <c:pt idx="3" formatCode="0.0">
                  <c:v>0.5</c:v>
                </c:pt>
                <c:pt idx="4" formatCode="0.0">
                  <c:v>0.5</c:v>
                </c:pt>
                <c:pt idx="5" formatCode="0.0">
                  <c:v>24</c:v>
                </c:pt>
                <c:pt idx="6" formatCode="0.0">
                  <c:v>24</c:v>
                </c:pt>
                <c:pt idx="7" formatCode="0.0">
                  <c:v>31</c:v>
                </c:pt>
                <c:pt idx="8" formatCode="0.0">
                  <c:v>31</c:v>
                </c:pt>
                <c:pt idx="9" formatCode="0.0">
                  <c:v>48</c:v>
                </c:pt>
                <c:pt idx="10" formatCode="0.0">
                  <c:v>48</c:v>
                </c:pt>
                <c:pt idx="11" formatCode="0.0">
                  <c:v>72</c:v>
                </c:pt>
                <c:pt idx="12" formatCode="0.0">
                  <c:v>72</c:v>
                </c:pt>
              </c:numCache>
            </c:numRef>
          </c:xVal>
          <c:yVal>
            <c:numRef>
              <c:f>data!$W$14:$W$32</c:f>
              <c:numCache>
                <c:formatCode>General</c:formatCode>
                <c:ptCount val="19"/>
                <c:pt idx="3">
                  <c:v>0.35599999999999998</c:v>
                </c:pt>
                <c:pt idx="4">
                  <c:v>0.316</c:v>
                </c:pt>
                <c:pt idx="5">
                  <c:v>25.76</c:v>
                </c:pt>
                <c:pt idx="6">
                  <c:v>27.36</c:v>
                </c:pt>
                <c:pt idx="9">
                  <c:v>36.9</c:v>
                </c:pt>
                <c:pt idx="10">
                  <c:v>37.6</c:v>
                </c:pt>
                <c:pt idx="11">
                  <c:v>37.799999999999997</c:v>
                </c:pt>
                <c:pt idx="12">
                  <c:v>33.299999999999997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5-FA4C-8C84-0515D652A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93567"/>
        <c:axId val="1421674815"/>
      </c:scatterChart>
      <c:valAx>
        <c:axId val="155009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674815"/>
        <c:crosses val="autoZero"/>
        <c:crossBetween val="midCat"/>
      </c:valAx>
      <c:valAx>
        <c:axId val="142167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9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68</xdr:row>
      <xdr:rowOff>139700</xdr:rowOff>
    </xdr:from>
    <xdr:to>
      <xdr:col>25</xdr:col>
      <xdr:colOff>520700</xdr:colOff>
      <xdr:row>89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1DBBD-8595-6F09-E23C-8039D2A64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CDCF-17BE-44B0-9253-E26DE6AB5F60}">
  <dimension ref="A1:R170"/>
  <sheetViews>
    <sheetView topLeftCell="A12" workbookViewId="0">
      <selection activeCell="C37" sqref="C37"/>
    </sheetView>
  </sheetViews>
  <sheetFormatPr baseColWidth="10" defaultColWidth="10.83203125" defaultRowHeight="16" x14ac:dyDescent="0.2"/>
  <cols>
    <col min="1" max="2" width="10.83203125" style="1"/>
    <col min="3" max="3" width="24.6640625" style="1" customWidth="1"/>
    <col min="4" max="16384" width="10.83203125" style="1"/>
  </cols>
  <sheetData>
    <row r="1" spans="1:9" x14ac:dyDescent="0.2">
      <c r="A1" s="26" t="s">
        <v>116</v>
      </c>
    </row>
    <row r="2" spans="1:9" x14ac:dyDescent="0.2">
      <c r="B2" s="21"/>
    </row>
    <row r="3" spans="1:9" x14ac:dyDescent="0.2">
      <c r="A3" s="26" t="s">
        <v>117</v>
      </c>
    </row>
    <row r="5" spans="1:9" x14ac:dyDescent="0.2">
      <c r="B5" s="36" t="s">
        <v>119</v>
      </c>
      <c r="C5" s="36" t="s">
        <v>120</v>
      </c>
      <c r="D5" s="36" t="s">
        <v>122</v>
      </c>
      <c r="F5" s="36" t="s">
        <v>132</v>
      </c>
      <c r="G5" s="36" t="s">
        <v>121</v>
      </c>
      <c r="H5" s="1" t="s">
        <v>138</v>
      </c>
      <c r="I5" s="1" t="s">
        <v>139</v>
      </c>
    </row>
    <row r="6" spans="1:9" x14ac:dyDescent="0.2">
      <c r="B6" s="36" t="s">
        <v>118</v>
      </c>
      <c r="C6" s="36" t="s">
        <v>17</v>
      </c>
      <c r="D6" s="36" t="s">
        <v>181</v>
      </c>
      <c r="F6" s="36" t="s">
        <v>130</v>
      </c>
    </row>
    <row r="7" spans="1:9" x14ac:dyDescent="0.2">
      <c r="B7" s="36" t="s">
        <v>118</v>
      </c>
      <c r="C7" s="36" t="s">
        <v>111</v>
      </c>
      <c r="D7" s="36" t="s">
        <v>123</v>
      </c>
      <c r="F7" s="36" t="s">
        <v>130</v>
      </c>
      <c r="G7" s="28" t="s">
        <v>156</v>
      </c>
      <c r="H7" s="1" t="s">
        <v>157</v>
      </c>
      <c r="I7" s="1" t="s">
        <v>158</v>
      </c>
    </row>
    <row r="8" spans="1:9" x14ac:dyDescent="0.2">
      <c r="B8" s="36" t="s">
        <v>118</v>
      </c>
      <c r="C8" s="36" t="s">
        <v>112</v>
      </c>
      <c r="D8" s="36" t="s">
        <v>124</v>
      </c>
      <c r="F8" s="36" t="s">
        <v>130</v>
      </c>
      <c r="G8" s="28" t="s">
        <v>154</v>
      </c>
      <c r="H8" s="1" t="s">
        <v>155</v>
      </c>
      <c r="I8" s="1" t="s">
        <v>137</v>
      </c>
    </row>
    <row r="9" spans="1:9" x14ac:dyDescent="0.2">
      <c r="B9" s="36" t="s">
        <v>125</v>
      </c>
      <c r="C9" s="36" t="s">
        <v>17</v>
      </c>
      <c r="D9" s="36" t="s">
        <v>160</v>
      </c>
      <c r="F9" s="36" t="s">
        <v>130</v>
      </c>
      <c r="G9" s="36" t="s">
        <v>130</v>
      </c>
      <c r="H9" s="28" t="s">
        <v>152</v>
      </c>
      <c r="I9" s="28" t="s">
        <v>153</v>
      </c>
    </row>
    <row r="10" spans="1:9" x14ac:dyDescent="0.2">
      <c r="B10" s="36" t="s">
        <v>125</v>
      </c>
      <c r="C10" s="36" t="s">
        <v>111</v>
      </c>
      <c r="D10" s="36" t="s">
        <v>159</v>
      </c>
      <c r="F10" s="36" t="s">
        <v>130</v>
      </c>
      <c r="G10" s="28" t="s">
        <v>146</v>
      </c>
      <c r="H10" s="1" t="s">
        <v>147</v>
      </c>
    </row>
    <row r="11" spans="1:9" x14ac:dyDescent="0.2">
      <c r="B11" s="36" t="s">
        <v>125</v>
      </c>
      <c r="C11" s="36" t="s">
        <v>112</v>
      </c>
      <c r="D11" s="36" t="s">
        <v>135</v>
      </c>
      <c r="F11" s="36" t="s">
        <v>130</v>
      </c>
      <c r="G11" s="28" t="s">
        <v>134</v>
      </c>
      <c r="H11" s="1" t="s">
        <v>142</v>
      </c>
      <c r="I11" s="1" t="s">
        <v>137</v>
      </c>
    </row>
    <row r="12" spans="1:9" x14ac:dyDescent="0.2">
      <c r="B12" s="36" t="s">
        <v>126</v>
      </c>
      <c r="C12" s="36" t="s">
        <v>17</v>
      </c>
      <c r="D12" s="36" t="s">
        <v>165</v>
      </c>
      <c r="F12" s="36" t="s">
        <v>130</v>
      </c>
      <c r="G12" s="28" t="s">
        <v>133</v>
      </c>
      <c r="H12" s="1" t="s">
        <v>140</v>
      </c>
      <c r="I12" s="1" t="s">
        <v>141</v>
      </c>
    </row>
    <row r="13" spans="1:9" x14ac:dyDescent="0.2">
      <c r="B13" s="36" t="s">
        <v>126</v>
      </c>
      <c r="C13" s="36" t="s">
        <v>111</v>
      </c>
      <c r="D13" s="36" t="s">
        <v>166</v>
      </c>
      <c r="F13" s="36" t="s">
        <v>130</v>
      </c>
      <c r="G13" s="28" t="s">
        <v>143</v>
      </c>
      <c r="H13" s="1" t="s">
        <v>144</v>
      </c>
      <c r="I13" s="1" t="s">
        <v>145</v>
      </c>
    </row>
    <row r="14" spans="1:9" x14ac:dyDescent="0.2">
      <c r="B14" s="36" t="s">
        <v>126</v>
      </c>
      <c r="C14" s="36" t="s">
        <v>112</v>
      </c>
      <c r="D14" s="36" t="s">
        <v>167</v>
      </c>
      <c r="F14" s="36" t="s">
        <v>130</v>
      </c>
      <c r="G14" s="28" t="s">
        <v>146</v>
      </c>
      <c r="H14" s="1" t="s">
        <v>147</v>
      </c>
    </row>
    <row r="15" spans="1:9" x14ac:dyDescent="0.2">
      <c r="B15" s="36" t="s">
        <v>127</v>
      </c>
      <c r="C15" s="36" t="s">
        <v>17</v>
      </c>
      <c r="D15" s="36" t="s">
        <v>181</v>
      </c>
      <c r="F15" s="36" t="s">
        <v>130</v>
      </c>
    </row>
    <row r="16" spans="1:9" x14ac:dyDescent="0.2">
      <c r="B16" s="36" t="s">
        <v>127</v>
      </c>
      <c r="C16" s="36" t="s">
        <v>111</v>
      </c>
      <c r="D16" s="36" t="s">
        <v>167</v>
      </c>
      <c r="F16" s="36" t="s">
        <v>130</v>
      </c>
      <c r="G16" s="28" t="s">
        <v>146</v>
      </c>
      <c r="H16" s="1" t="s">
        <v>147</v>
      </c>
    </row>
    <row r="17" spans="1:9" x14ac:dyDescent="0.2">
      <c r="B17" s="36" t="s">
        <v>127</v>
      </c>
      <c r="C17" s="36" t="s">
        <v>112</v>
      </c>
      <c r="D17" s="36" t="s">
        <v>135</v>
      </c>
      <c r="F17" s="36" t="s">
        <v>130</v>
      </c>
      <c r="G17" s="28" t="s">
        <v>134</v>
      </c>
      <c r="H17" s="1" t="s">
        <v>142</v>
      </c>
    </row>
    <row r="18" spans="1:9" x14ac:dyDescent="0.2">
      <c r="B18" s="36" t="s">
        <v>128</v>
      </c>
      <c r="C18" s="36" t="s">
        <v>17</v>
      </c>
      <c r="D18" s="36" t="s">
        <v>168</v>
      </c>
      <c r="F18" s="36" t="s">
        <v>130</v>
      </c>
      <c r="G18" s="28" t="s">
        <v>136</v>
      </c>
      <c r="H18" s="1" t="s">
        <v>148</v>
      </c>
      <c r="I18" s="1" t="s">
        <v>137</v>
      </c>
    </row>
    <row r="19" spans="1:9" x14ac:dyDescent="0.2">
      <c r="B19" s="36" t="s">
        <v>128</v>
      </c>
      <c r="C19" s="36" t="s">
        <v>111</v>
      </c>
      <c r="D19" s="36" t="s">
        <v>169</v>
      </c>
      <c r="F19" s="36" t="s">
        <v>130</v>
      </c>
      <c r="G19" s="28" t="s">
        <v>149</v>
      </c>
      <c r="H19" s="1" t="s">
        <v>150</v>
      </c>
      <c r="I19" s="1" t="s">
        <v>151</v>
      </c>
    </row>
    <row r="20" spans="1:9" x14ac:dyDescent="0.2">
      <c r="B20" s="36" t="s">
        <v>128</v>
      </c>
      <c r="C20" s="36" t="s">
        <v>112</v>
      </c>
      <c r="D20" s="36" t="s">
        <v>170</v>
      </c>
      <c r="F20" s="36" t="s">
        <v>130</v>
      </c>
      <c r="G20" s="28" t="s">
        <v>152</v>
      </c>
      <c r="H20" s="28" t="s">
        <v>153</v>
      </c>
    </row>
    <row r="21" spans="1:9" x14ac:dyDescent="0.2">
      <c r="B21" s="36" t="s">
        <v>129</v>
      </c>
      <c r="C21" s="36" t="s">
        <v>17</v>
      </c>
      <c r="D21" s="36" t="s">
        <v>181</v>
      </c>
      <c r="F21" s="36" t="s">
        <v>131</v>
      </c>
    </row>
    <row r="22" spans="1:9" x14ac:dyDescent="0.2">
      <c r="B22" s="36" t="s">
        <v>129</v>
      </c>
      <c r="C22" s="36" t="s">
        <v>111</v>
      </c>
      <c r="D22" s="36" t="s">
        <v>135</v>
      </c>
      <c r="F22" s="36" t="s">
        <v>131</v>
      </c>
      <c r="G22" s="28" t="s">
        <v>134</v>
      </c>
      <c r="H22" s="1" t="s">
        <v>142</v>
      </c>
    </row>
    <row r="23" spans="1:9" x14ac:dyDescent="0.2">
      <c r="B23" s="36" t="s">
        <v>129</v>
      </c>
      <c r="C23" s="36" t="s">
        <v>112</v>
      </c>
      <c r="D23" s="36" t="s">
        <v>167</v>
      </c>
      <c r="F23" s="36" t="s">
        <v>131</v>
      </c>
      <c r="G23" s="28" t="s">
        <v>146</v>
      </c>
      <c r="H23" s="1" t="s">
        <v>147</v>
      </c>
    </row>
    <row r="24" spans="1:9" x14ac:dyDescent="0.2">
      <c r="B24" s="36" t="s">
        <v>182</v>
      </c>
      <c r="C24" s="36" t="s">
        <v>17</v>
      </c>
      <c r="D24" s="36" t="s">
        <v>135</v>
      </c>
      <c r="F24" s="36" t="s">
        <v>130</v>
      </c>
      <c r="G24" s="28" t="s">
        <v>134</v>
      </c>
      <c r="H24" s="1" t="s">
        <v>142</v>
      </c>
    </row>
    <row r="25" spans="1:9" x14ac:dyDescent="0.2">
      <c r="B25" s="36" t="s">
        <v>182</v>
      </c>
      <c r="C25" s="36" t="s">
        <v>111</v>
      </c>
      <c r="D25" t="s">
        <v>167</v>
      </c>
      <c r="F25" s="36" t="s">
        <v>130</v>
      </c>
      <c r="G25" s="28" t="s">
        <v>146</v>
      </c>
      <c r="H25" s="1" t="s">
        <v>147</v>
      </c>
    </row>
    <row r="26" spans="1:9" x14ac:dyDescent="0.2">
      <c r="B26" s="36" t="s">
        <v>183</v>
      </c>
      <c r="C26" s="36" t="s">
        <v>112</v>
      </c>
      <c r="D26" s="36" t="s">
        <v>181</v>
      </c>
      <c r="F26" s="36" t="s">
        <v>131</v>
      </c>
    </row>
    <row r="27" spans="1:9" x14ac:dyDescent="0.2">
      <c r="B27" s="36" t="s">
        <v>184</v>
      </c>
      <c r="C27" s="36" t="s">
        <v>17</v>
      </c>
      <c r="D27" s="36" t="s">
        <v>181</v>
      </c>
      <c r="F27" s="36" t="s">
        <v>131</v>
      </c>
    </row>
    <row r="28" spans="1:9" x14ac:dyDescent="0.2">
      <c r="B28" s="36" t="s">
        <v>184</v>
      </c>
      <c r="C28" s="36" t="s">
        <v>111</v>
      </c>
      <c r="D28" s="36" t="s">
        <v>167</v>
      </c>
      <c r="F28" s="36" t="s">
        <v>130</v>
      </c>
      <c r="G28" s="28" t="s">
        <v>146</v>
      </c>
      <c r="H28" s="1" t="s">
        <v>147</v>
      </c>
    </row>
    <row r="29" spans="1:9" x14ac:dyDescent="0.2">
      <c r="B29" s="36" t="s">
        <v>184</v>
      </c>
      <c r="C29" s="36" t="s">
        <v>112</v>
      </c>
      <c r="D29" s="36" t="s">
        <v>135</v>
      </c>
      <c r="F29" s="36" t="s">
        <v>130</v>
      </c>
      <c r="G29" s="28" t="s">
        <v>134</v>
      </c>
      <c r="H29" s="1" t="s">
        <v>142</v>
      </c>
    </row>
    <row r="30" spans="1:9" x14ac:dyDescent="0.2">
      <c r="A30" s="26" t="s">
        <v>161</v>
      </c>
    </row>
    <row r="31" spans="1:9" x14ac:dyDescent="0.2">
      <c r="B31" s="21"/>
    </row>
    <row r="32" spans="1:9" x14ac:dyDescent="0.2">
      <c r="A32" s="1" t="s">
        <v>0</v>
      </c>
      <c r="C32" s="1" t="s">
        <v>1</v>
      </c>
      <c r="D32" s="1" t="s">
        <v>2</v>
      </c>
      <c r="E32" s="1" t="s">
        <v>3</v>
      </c>
      <c r="F32" s="34" t="s">
        <v>110</v>
      </c>
      <c r="G32" s="1" t="s">
        <v>4</v>
      </c>
      <c r="H32" s="34" t="s">
        <v>78</v>
      </c>
    </row>
    <row r="33" spans="1:17" x14ac:dyDescent="0.2">
      <c r="C33" s="34" t="s">
        <v>180</v>
      </c>
      <c r="E33" s="2">
        <v>46260</v>
      </c>
      <c r="F33" s="35">
        <v>0.69791666666666663</v>
      </c>
      <c r="G33" s="37" t="s">
        <v>181</v>
      </c>
      <c r="H33" s="34" t="s">
        <v>162</v>
      </c>
    </row>
    <row r="34" spans="1:17" x14ac:dyDescent="0.2">
      <c r="C34" s="34" t="s">
        <v>180</v>
      </c>
      <c r="E34" s="2">
        <v>46260</v>
      </c>
      <c r="F34" s="35">
        <v>0.69791666666666663</v>
      </c>
      <c r="G34" s="34" t="s">
        <v>135</v>
      </c>
      <c r="H34" s="34" t="s">
        <v>162</v>
      </c>
    </row>
    <row r="35" spans="1:17" x14ac:dyDescent="0.2">
      <c r="C35" s="34" t="s">
        <v>180</v>
      </c>
      <c r="E35" s="2">
        <v>46260</v>
      </c>
      <c r="F35" s="35">
        <v>0.69791666666666663</v>
      </c>
      <c r="G35" s="34" t="s">
        <v>167</v>
      </c>
      <c r="H35" s="34" t="s">
        <v>162</v>
      </c>
    </row>
    <row r="37" spans="1:17" x14ac:dyDescent="0.2">
      <c r="A37" s="34"/>
      <c r="H37" s="34"/>
      <c r="I37" s="34"/>
    </row>
    <row r="38" spans="1:17" x14ac:dyDescent="0.2">
      <c r="C38" s="34"/>
      <c r="E38" s="2"/>
      <c r="F38" s="35"/>
      <c r="G38" s="37"/>
      <c r="H38" s="34"/>
      <c r="I38" s="34"/>
    </row>
    <row r="39" spans="1:17" x14ac:dyDescent="0.2">
      <c r="C39" s="34"/>
      <c r="E39" s="2"/>
      <c r="F39" s="35"/>
      <c r="G39" s="34"/>
      <c r="H39" s="34"/>
      <c r="I39" s="34"/>
    </row>
    <row r="40" spans="1:17" x14ac:dyDescent="0.2">
      <c r="C40" s="34"/>
      <c r="E40" s="2"/>
      <c r="F40" s="35"/>
      <c r="G40" s="34"/>
      <c r="H40" s="34"/>
      <c r="I40" s="34"/>
    </row>
    <row r="42" spans="1:17" x14ac:dyDescent="0.2">
      <c r="A42" s="1" t="s">
        <v>18</v>
      </c>
    </row>
    <row r="43" spans="1:17" x14ac:dyDescent="0.2">
      <c r="B43" s="1" t="s">
        <v>5</v>
      </c>
      <c r="C43" s="1" t="s">
        <v>6</v>
      </c>
      <c r="D43" s="1" t="s">
        <v>7</v>
      </c>
      <c r="E43" s="1" t="s">
        <v>8</v>
      </c>
      <c r="F43" s="1" t="s">
        <v>19</v>
      </c>
      <c r="G43" s="1" t="s">
        <v>9</v>
      </c>
      <c r="H43" s="1" t="s">
        <v>10</v>
      </c>
      <c r="I43" s="1" t="s">
        <v>3</v>
      </c>
      <c r="J43" s="1" t="s">
        <v>11</v>
      </c>
      <c r="K43" s="1" t="s">
        <v>12</v>
      </c>
      <c r="L43" s="1" t="s">
        <v>13</v>
      </c>
      <c r="M43" s="1" t="s">
        <v>14</v>
      </c>
      <c r="N43" s="1" t="s">
        <v>15</v>
      </c>
      <c r="O43" s="1" t="s">
        <v>4</v>
      </c>
      <c r="Q43" s="1" t="s">
        <v>16</v>
      </c>
    </row>
    <row r="44" spans="1:17" x14ac:dyDescent="0.2">
      <c r="B44" s="1" t="s">
        <v>17</v>
      </c>
      <c r="C44" s="46" t="s">
        <v>185</v>
      </c>
      <c r="D44" s="1">
        <v>1.5</v>
      </c>
      <c r="F44" s="1">
        <v>0.35599999999999998</v>
      </c>
      <c r="G44" s="1">
        <v>5.6</v>
      </c>
      <c r="H44" s="3">
        <v>0.40625</v>
      </c>
      <c r="I44" s="29">
        <v>46261</v>
      </c>
      <c r="J44" s="1" t="s">
        <v>178</v>
      </c>
      <c r="K44" s="34" t="s">
        <v>179</v>
      </c>
      <c r="L44" s="1">
        <v>5.6</v>
      </c>
      <c r="M44" s="1">
        <v>28</v>
      </c>
      <c r="N44" s="34" t="s">
        <v>163</v>
      </c>
      <c r="O44" s="34" t="s">
        <v>164</v>
      </c>
      <c r="P44" s="34" t="s">
        <v>135</v>
      </c>
      <c r="Q44" s="34"/>
    </row>
    <row r="45" spans="1:17" x14ac:dyDescent="0.2">
      <c r="B45" s="34" t="s">
        <v>111</v>
      </c>
      <c r="C45" s="46" t="s">
        <v>185</v>
      </c>
      <c r="D45" s="1">
        <v>1.5</v>
      </c>
      <c r="F45" s="1">
        <v>0.316</v>
      </c>
      <c r="G45" s="1">
        <v>5.6</v>
      </c>
      <c r="H45" s="3">
        <v>0.40625</v>
      </c>
      <c r="I45" s="29">
        <v>46261</v>
      </c>
      <c r="J45" s="1" t="s">
        <v>178</v>
      </c>
      <c r="K45" s="34" t="s">
        <v>179</v>
      </c>
      <c r="L45" s="1">
        <v>5.6</v>
      </c>
      <c r="M45" s="1">
        <v>28</v>
      </c>
      <c r="N45" s="34" t="s">
        <v>163</v>
      </c>
      <c r="O45" s="34" t="s">
        <v>164</v>
      </c>
      <c r="P45" s="34" t="s">
        <v>167</v>
      </c>
      <c r="Q45" s="34"/>
    </row>
    <row r="46" spans="1:17" x14ac:dyDescent="0.2">
      <c r="B46" s="34"/>
      <c r="C46" s="34"/>
      <c r="H46" s="3"/>
      <c r="I46" s="29"/>
      <c r="K46" s="34"/>
      <c r="N46" s="34"/>
      <c r="O46" s="34"/>
      <c r="Q46" s="34"/>
    </row>
    <row r="49" spans="1:17" x14ac:dyDescent="0.2">
      <c r="C49" s="26"/>
      <c r="H49" s="3"/>
      <c r="I49" s="29"/>
      <c r="J49" s="26"/>
      <c r="K49" s="26"/>
      <c r="N49" s="26"/>
      <c r="O49" s="26"/>
      <c r="P49" s="26"/>
      <c r="Q49" s="21"/>
    </row>
    <row r="50" spans="1:17" x14ac:dyDescent="0.2">
      <c r="B50" s="21"/>
      <c r="C50" s="26"/>
      <c r="H50" s="3"/>
      <c r="I50" s="29"/>
      <c r="J50" s="26"/>
      <c r="K50" s="26"/>
      <c r="N50" s="26"/>
      <c r="O50" s="26"/>
      <c r="P50" s="26"/>
      <c r="Q50" s="21"/>
    </row>
    <row r="51" spans="1:17" x14ac:dyDescent="0.2">
      <c r="B51" s="21"/>
      <c r="C51" s="26"/>
      <c r="H51" s="3"/>
      <c r="I51" s="29"/>
      <c r="J51" s="26"/>
      <c r="K51" s="26"/>
      <c r="N51" s="26"/>
      <c r="O51" s="26"/>
      <c r="P51" s="26"/>
      <c r="Q51" s="21"/>
    </row>
    <row r="52" spans="1:17" x14ac:dyDescent="0.2">
      <c r="I52" s="30"/>
      <c r="J52" s="26"/>
      <c r="K52" s="26"/>
    </row>
    <row r="55" spans="1:17" x14ac:dyDescent="0.2">
      <c r="A55" s="21"/>
      <c r="B55" s="22"/>
    </row>
    <row r="56" spans="1:17" x14ac:dyDescent="0.2">
      <c r="B56" s="26"/>
    </row>
    <row r="57" spans="1:17" x14ac:dyDescent="0.2">
      <c r="A57" s="21"/>
    </row>
    <row r="78" spans="3:8" x14ac:dyDescent="0.2">
      <c r="F78" s="21"/>
      <c r="H78" s="21"/>
    </row>
    <row r="79" spans="3:8" x14ac:dyDescent="0.2">
      <c r="C79" s="26"/>
      <c r="E79" s="2"/>
      <c r="F79" s="21"/>
      <c r="G79" s="26"/>
      <c r="H79" s="26"/>
    </row>
    <row r="80" spans="3:8" x14ac:dyDescent="0.2">
      <c r="C80" s="26"/>
      <c r="E80" s="2"/>
      <c r="F80" s="21"/>
      <c r="G80" s="26"/>
      <c r="H80" s="26"/>
    </row>
    <row r="81" spans="1:17" x14ac:dyDescent="0.2">
      <c r="C81" s="26"/>
      <c r="E81" s="2"/>
      <c r="F81" s="21"/>
      <c r="G81" s="26"/>
      <c r="H81" s="26"/>
    </row>
    <row r="83" spans="1:17" x14ac:dyDescent="0.2">
      <c r="A83" s="19"/>
      <c r="H83" s="21"/>
      <c r="I83" s="21"/>
    </row>
    <row r="84" spans="1:17" x14ac:dyDescent="0.2">
      <c r="C84" s="26"/>
      <c r="E84" s="2"/>
      <c r="F84" s="23"/>
      <c r="G84" s="26"/>
      <c r="H84" s="26"/>
      <c r="I84" s="21"/>
    </row>
    <row r="85" spans="1:17" x14ac:dyDescent="0.2">
      <c r="C85" s="26"/>
      <c r="E85" s="2"/>
      <c r="F85" s="23"/>
      <c r="G85" s="26"/>
      <c r="H85" s="26"/>
      <c r="I85" s="21"/>
    </row>
    <row r="86" spans="1:17" x14ac:dyDescent="0.2">
      <c r="C86" s="26"/>
      <c r="E86" s="2"/>
      <c r="F86" s="23"/>
      <c r="G86" s="26"/>
      <c r="H86" s="26"/>
      <c r="I86" s="21"/>
    </row>
    <row r="90" spans="1:17" x14ac:dyDescent="0.2">
      <c r="C90" s="26"/>
      <c r="H90" s="3"/>
      <c r="I90" s="29"/>
      <c r="J90" s="26"/>
      <c r="K90" s="26"/>
      <c r="N90" s="26"/>
      <c r="O90" s="26"/>
      <c r="P90" s="26"/>
      <c r="Q90" s="21"/>
    </row>
    <row r="91" spans="1:17" x14ac:dyDescent="0.2">
      <c r="B91" s="21"/>
      <c r="C91" s="26"/>
      <c r="H91" s="3"/>
      <c r="I91" s="29"/>
      <c r="J91" s="26"/>
      <c r="K91" s="26"/>
      <c r="N91" s="26"/>
      <c r="O91" s="26"/>
      <c r="P91" s="26"/>
      <c r="Q91" s="21"/>
    </row>
    <row r="92" spans="1:17" x14ac:dyDescent="0.2">
      <c r="B92" s="21"/>
      <c r="C92" s="26"/>
      <c r="H92" s="3"/>
      <c r="I92" s="29"/>
      <c r="J92" s="26"/>
      <c r="K92" s="26"/>
      <c r="N92" s="26"/>
      <c r="O92" s="26"/>
      <c r="P92" s="26"/>
      <c r="Q92" s="21"/>
    </row>
    <row r="97" spans="1:17" x14ac:dyDescent="0.2">
      <c r="F97" s="21"/>
      <c r="H97" s="21"/>
    </row>
    <row r="98" spans="1:17" x14ac:dyDescent="0.2">
      <c r="C98" s="26"/>
      <c r="E98" s="2"/>
      <c r="F98" s="21"/>
      <c r="G98" s="26"/>
      <c r="H98" s="26"/>
    </row>
    <row r="99" spans="1:17" x14ac:dyDescent="0.2">
      <c r="C99" s="26"/>
      <c r="E99" s="2"/>
      <c r="F99" s="21"/>
      <c r="G99" s="26"/>
      <c r="H99" s="26"/>
    </row>
    <row r="100" spans="1:17" x14ac:dyDescent="0.2">
      <c r="C100" s="26"/>
      <c r="E100" s="2"/>
      <c r="F100" s="21"/>
      <c r="G100" s="26"/>
      <c r="H100" s="26"/>
    </row>
    <row r="102" spans="1:17" x14ac:dyDescent="0.2">
      <c r="A102" s="19"/>
      <c r="H102" s="21"/>
      <c r="I102" s="21"/>
    </row>
    <row r="103" spans="1:17" x14ac:dyDescent="0.2">
      <c r="C103" s="26"/>
      <c r="E103" s="2"/>
      <c r="F103" s="23"/>
      <c r="G103" s="26"/>
      <c r="H103" s="26"/>
      <c r="I103" s="21"/>
    </row>
    <row r="104" spans="1:17" x14ac:dyDescent="0.2">
      <c r="C104" s="26"/>
      <c r="E104" s="2"/>
      <c r="F104" s="23"/>
      <c r="G104" s="26"/>
      <c r="H104" s="26"/>
      <c r="I104" s="21"/>
    </row>
    <row r="105" spans="1:17" x14ac:dyDescent="0.2">
      <c r="C105" s="26"/>
      <c r="E105" s="2"/>
      <c r="F105" s="23"/>
      <c r="G105" s="26"/>
      <c r="H105" s="26"/>
      <c r="I105" s="21"/>
    </row>
    <row r="109" spans="1:17" x14ac:dyDescent="0.2">
      <c r="C109" s="26"/>
      <c r="H109" s="3"/>
      <c r="I109" s="29"/>
      <c r="J109" s="26"/>
      <c r="K109" s="26"/>
      <c r="N109" s="26"/>
      <c r="O109" s="26"/>
      <c r="P109" s="26"/>
      <c r="Q109" s="21"/>
    </row>
    <row r="110" spans="1:17" x14ac:dyDescent="0.2">
      <c r="B110" s="21"/>
      <c r="C110" s="26"/>
      <c r="H110" s="3"/>
      <c r="I110" s="29"/>
      <c r="J110" s="26"/>
      <c r="K110" s="26"/>
      <c r="N110" s="26"/>
      <c r="O110" s="26"/>
      <c r="P110" s="26"/>
      <c r="Q110" s="21"/>
    </row>
    <row r="111" spans="1:17" x14ac:dyDescent="0.2">
      <c r="B111" s="21"/>
      <c r="C111" s="26"/>
      <c r="H111" s="3"/>
      <c r="I111" s="29"/>
      <c r="J111" s="26"/>
      <c r="K111" s="26"/>
      <c r="N111" s="26"/>
      <c r="O111" s="26"/>
      <c r="P111" s="26"/>
      <c r="Q111" s="21"/>
    </row>
    <row r="117" spans="1:9" x14ac:dyDescent="0.2">
      <c r="F117" s="21"/>
      <c r="H117" s="21"/>
    </row>
    <row r="118" spans="1:9" x14ac:dyDescent="0.2">
      <c r="C118" s="26"/>
      <c r="E118" s="2"/>
      <c r="F118" s="21"/>
      <c r="G118" s="26"/>
      <c r="H118" s="26"/>
    </row>
    <row r="119" spans="1:9" x14ac:dyDescent="0.2">
      <c r="C119" s="26"/>
      <c r="E119" s="2"/>
      <c r="F119" s="21"/>
      <c r="G119" s="26"/>
      <c r="H119" s="26"/>
    </row>
    <row r="120" spans="1:9" x14ac:dyDescent="0.2">
      <c r="C120" s="26"/>
      <c r="E120" s="2"/>
      <c r="F120" s="21"/>
      <c r="G120" s="26"/>
      <c r="H120" s="26"/>
    </row>
    <row r="122" spans="1:9" x14ac:dyDescent="0.2">
      <c r="A122" s="19"/>
      <c r="H122" s="21"/>
      <c r="I122" s="21"/>
    </row>
    <row r="123" spans="1:9" x14ac:dyDescent="0.2">
      <c r="C123" s="26"/>
      <c r="E123" s="2"/>
      <c r="F123" s="23"/>
      <c r="G123" s="26"/>
      <c r="H123" s="26"/>
      <c r="I123" s="21"/>
    </row>
    <row r="124" spans="1:9" x14ac:dyDescent="0.2">
      <c r="C124" s="26"/>
      <c r="E124" s="2"/>
      <c r="F124" s="23"/>
      <c r="G124" s="26"/>
      <c r="H124" s="26"/>
      <c r="I124" s="21"/>
    </row>
    <row r="125" spans="1:9" x14ac:dyDescent="0.2">
      <c r="C125" s="26"/>
      <c r="E125" s="2"/>
      <c r="F125" s="23"/>
      <c r="G125" s="26"/>
      <c r="H125" s="26"/>
      <c r="I125" s="21"/>
    </row>
    <row r="129" spans="1:16" x14ac:dyDescent="0.2">
      <c r="C129" s="26"/>
      <c r="H129" s="3"/>
      <c r="I129" s="29"/>
      <c r="J129" s="26"/>
      <c r="K129" s="26"/>
      <c r="N129" s="26"/>
      <c r="O129" s="26"/>
      <c r="P129" s="26"/>
    </row>
    <row r="130" spans="1:16" x14ac:dyDescent="0.2">
      <c r="B130" s="21"/>
      <c r="C130" s="26"/>
      <c r="H130" s="3"/>
      <c r="I130" s="29"/>
      <c r="J130" s="26"/>
      <c r="K130" s="26"/>
      <c r="N130" s="26"/>
      <c r="O130" s="26"/>
      <c r="P130" s="26"/>
    </row>
    <row r="131" spans="1:16" x14ac:dyDescent="0.2">
      <c r="B131" s="21"/>
      <c r="C131" s="26"/>
      <c r="H131" s="3"/>
      <c r="I131" s="29"/>
      <c r="J131" s="26"/>
      <c r="K131" s="26"/>
      <c r="N131" s="26"/>
      <c r="O131" s="26"/>
      <c r="P131" s="26"/>
    </row>
    <row r="136" spans="1:16" x14ac:dyDescent="0.2">
      <c r="F136" s="21"/>
      <c r="H136" s="21"/>
    </row>
    <row r="137" spans="1:16" x14ac:dyDescent="0.2">
      <c r="C137" s="26"/>
      <c r="E137" s="2"/>
      <c r="F137" s="21"/>
      <c r="G137" s="26"/>
      <c r="H137" s="26"/>
    </row>
    <row r="138" spans="1:16" x14ac:dyDescent="0.2">
      <c r="C138" s="26"/>
      <c r="E138" s="2"/>
      <c r="F138" s="21"/>
      <c r="G138" s="26"/>
      <c r="H138" s="26"/>
    </row>
    <row r="139" spans="1:16" x14ac:dyDescent="0.2">
      <c r="C139" s="26"/>
      <c r="E139" s="2"/>
      <c r="F139" s="21"/>
      <c r="G139" s="26"/>
      <c r="H139" s="26"/>
    </row>
    <row r="141" spans="1:16" x14ac:dyDescent="0.2">
      <c r="A141" s="19"/>
      <c r="H141" s="21"/>
      <c r="I141" s="21"/>
    </row>
    <row r="142" spans="1:16" x14ac:dyDescent="0.2">
      <c r="C142" s="26"/>
      <c r="E142" s="2"/>
      <c r="F142" s="23"/>
      <c r="G142" s="26"/>
      <c r="H142" s="26"/>
      <c r="I142" s="21"/>
    </row>
    <row r="143" spans="1:16" x14ac:dyDescent="0.2">
      <c r="C143" s="26"/>
      <c r="E143" s="2"/>
      <c r="F143" s="23"/>
      <c r="G143" s="26"/>
      <c r="H143" s="26"/>
      <c r="I143" s="21"/>
    </row>
    <row r="144" spans="1:16" x14ac:dyDescent="0.2">
      <c r="C144" s="26"/>
      <c r="E144" s="2"/>
      <c r="F144" s="23"/>
      <c r="G144" s="26"/>
      <c r="H144" s="26"/>
      <c r="I144" s="21"/>
    </row>
    <row r="148" spans="2:18" x14ac:dyDescent="0.2">
      <c r="C148" s="26"/>
      <c r="H148" s="3"/>
      <c r="I148" s="29"/>
      <c r="K148" s="27"/>
      <c r="L148" s="26"/>
      <c r="O148" s="26"/>
      <c r="P148" s="26"/>
      <c r="Q148" s="26"/>
      <c r="R148" s="26"/>
    </row>
    <row r="149" spans="2:18" x14ac:dyDescent="0.2">
      <c r="B149" s="21"/>
      <c r="C149" s="26"/>
      <c r="H149" s="3"/>
      <c r="I149" s="29"/>
      <c r="J149" s="26"/>
      <c r="K149" s="26"/>
      <c r="L149" s="26"/>
      <c r="O149" s="26"/>
      <c r="P149" s="26"/>
      <c r="Q149" s="26"/>
      <c r="R149" s="26"/>
    </row>
    <row r="150" spans="2:18" x14ac:dyDescent="0.2">
      <c r="B150" s="21"/>
      <c r="C150" s="26"/>
      <c r="H150" s="3"/>
      <c r="I150" s="29"/>
      <c r="K150" s="26"/>
      <c r="L150" s="26"/>
      <c r="O150" s="26"/>
      <c r="P150" s="26"/>
      <c r="Q150" s="26"/>
      <c r="R150" s="26"/>
    </row>
    <row r="156" spans="2:18" x14ac:dyDescent="0.2">
      <c r="F156" s="21"/>
      <c r="H156" s="21"/>
    </row>
    <row r="157" spans="2:18" x14ac:dyDescent="0.2">
      <c r="C157" s="26"/>
      <c r="E157" s="2"/>
      <c r="F157" s="23"/>
      <c r="G157" s="26"/>
      <c r="H157" s="26"/>
    </row>
    <row r="158" spans="2:18" x14ac:dyDescent="0.2">
      <c r="C158" s="26"/>
      <c r="E158" s="2"/>
      <c r="F158" s="23"/>
      <c r="G158" s="26"/>
      <c r="H158" s="26"/>
    </row>
    <row r="159" spans="2:18" x14ac:dyDescent="0.2">
      <c r="C159" s="26"/>
      <c r="E159" s="2"/>
      <c r="F159" s="23"/>
      <c r="G159" s="26"/>
      <c r="H159" s="26"/>
    </row>
    <row r="161" spans="1:17" x14ac:dyDescent="0.2">
      <c r="A161" s="19"/>
      <c r="H161" s="21"/>
      <c r="I161" s="21"/>
    </row>
    <row r="162" spans="1:17" x14ac:dyDescent="0.2">
      <c r="C162" s="26"/>
      <c r="E162" s="2"/>
      <c r="F162" s="23"/>
      <c r="G162" s="26"/>
      <c r="H162" s="26"/>
      <c r="I162" s="21"/>
    </row>
    <row r="163" spans="1:17" x14ac:dyDescent="0.2">
      <c r="C163" s="26"/>
      <c r="E163" s="2"/>
      <c r="F163" s="23"/>
      <c r="G163" s="26"/>
      <c r="H163" s="26"/>
      <c r="I163" s="21"/>
    </row>
    <row r="164" spans="1:17" x14ac:dyDescent="0.2">
      <c r="C164" s="26"/>
      <c r="E164" s="2"/>
      <c r="F164" s="23"/>
      <c r="G164" s="26"/>
      <c r="H164" s="26"/>
      <c r="I164" s="21"/>
    </row>
    <row r="168" spans="1:17" x14ac:dyDescent="0.2">
      <c r="C168" s="26"/>
      <c r="H168" s="3"/>
      <c r="I168" s="29"/>
      <c r="K168" s="26"/>
      <c r="N168" s="26"/>
      <c r="O168" s="26"/>
      <c r="P168" s="26"/>
      <c r="Q168" s="26"/>
    </row>
    <row r="169" spans="1:17" x14ac:dyDescent="0.2">
      <c r="B169" s="21"/>
      <c r="C169" s="26"/>
      <c r="H169" s="3"/>
      <c r="I169" s="29"/>
      <c r="K169" s="26"/>
      <c r="N169" s="26"/>
      <c r="O169" s="26"/>
      <c r="P169" s="26"/>
      <c r="Q169" s="21"/>
    </row>
    <row r="170" spans="1:17" x14ac:dyDescent="0.2">
      <c r="B170" s="21"/>
      <c r="C170" s="26"/>
      <c r="H170" s="3"/>
      <c r="I170" s="29"/>
      <c r="K170" s="26"/>
      <c r="N170" s="26"/>
      <c r="O170" s="26"/>
      <c r="P170" s="26"/>
      <c r="Q17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E822-4DD5-413B-B573-6039B3E9DB3D}">
  <dimension ref="A1:AD35"/>
  <sheetViews>
    <sheetView workbookViewId="0">
      <selection activeCell="D11" sqref="D11"/>
    </sheetView>
  </sheetViews>
  <sheetFormatPr baseColWidth="10" defaultColWidth="10.83203125" defaultRowHeight="16" x14ac:dyDescent="0.2"/>
  <cols>
    <col min="1" max="4" width="10.83203125" style="1"/>
    <col min="5" max="5" width="12.83203125" style="1" customWidth="1"/>
    <col min="6" max="16384" width="10.83203125" style="1"/>
  </cols>
  <sheetData>
    <row r="1" spans="1:30" x14ac:dyDescent="0.2">
      <c r="A1" s="1" t="s">
        <v>15</v>
      </c>
      <c r="AC1" s="1" t="s">
        <v>20</v>
      </c>
    </row>
    <row r="2" spans="1:30" x14ac:dyDescent="0.2">
      <c r="B2" s="5" t="s">
        <v>21</v>
      </c>
      <c r="AC2" s="6">
        <v>4.4277893518518523</v>
      </c>
      <c r="AD2" s="1" t="s">
        <v>22</v>
      </c>
    </row>
    <row r="3" spans="1:30" x14ac:dyDescent="0.2">
      <c r="AC3" s="1" t="s">
        <v>23</v>
      </c>
      <c r="AD3" s="1">
        <f>106/16</f>
        <v>6.625</v>
      </c>
    </row>
    <row r="4" spans="1:30" x14ac:dyDescent="0.2">
      <c r="C4" s="21" t="s">
        <v>113</v>
      </c>
      <c r="L4" s="19" t="s">
        <v>107</v>
      </c>
      <c r="M4" s="19" t="s">
        <v>107</v>
      </c>
      <c r="N4" s="19" t="s">
        <v>108</v>
      </c>
      <c r="R4" s="1" t="s">
        <v>24</v>
      </c>
      <c r="U4" s="5" t="s">
        <v>25</v>
      </c>
      <c r="AC4" s="1" t="s">
        <v>26</v>
      </c>
      <c r="AD4" s="1">
        <f>106</f>
        <v>106</v>
      </c>
    </row>
    <row r="5" spans="1:30" x14ac:dyDescent="0.2">
      <c r="B5" s="1">
        <v>1</v>
      </c>
      <c r="C5" s="21" t="s">
        <v>113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115</v>
      </c>
      <c r="J5" s="21" t="s">
        <v>114</v>
      </c>
      <c r="K5" s="5" t="s">
        <v>32</v>
      </c>
      <c r="L5" s="5" t="s">
        <v>33</v>
      </c>
      <c r="M5" s="5" t="s">
        <v>34</v>
      </c>
      <c r="N5" s="19" t="s">
        <v>79</v>
      </c>
      <c r="O5" s="5" t="s">
        <v>35</v>
      </c>
      <c r="P5" s="5"/>
      <c r="Q5" s="1" t="s">
        <v>36</v>
      </c>
      <c r="R5" s="1">
        <v>136.08600000000001</v>
      </c>
      <c r="V5" s="1" t="s">
        <v>37</v>
      </c>
      <c r="AC5" s="1" t="s">
        <v>38</v>
      </c>
      <c r="AD5" s="1">
        <v>16</v>
      </c>
    </row>
    <row r="6" spans="1:30" x14ac:dyDescent="0.2">
      <c r="D6" s="1">
        <v>0.5</v>
      </c>
      <c r="E6" s="1" t="s">
        <v>39</v>
      </c>
      <c r="F6" s="7">
        <f>K6/(L6+N6)</f>
        <v>100.53918551220686</v>
      </c>
      <c r="G6" s="7">
        <f>K6/(M6+N6)</f>
        <v>97.389211885917888</v>
      </c>
      <c r="H6" s="7">
        <f>K6/O6</f>
        <v>453.22720309065477</v>
      </c>
      <c r="I6" s="7">
        <f>(L6+N6)/O6</f>
        <v>4.5079657327801472</v>
      </c>
      <c r="J6" s="7">
        <f>(M6+N6)/O6</f>
        <v>4.6537721613515766</v>
      </c>
      <c r="K6" s="8">
        <f>D8/$R$7*6</f>
        <v>3.3304469459801505</v>
      </c>
      <c r="L6" s="8">
        <f>D7*F13/100*1/14+F14/100*D6*1/14</f>
        <v>3.2142857142857142E-3</v>
      </c>
      <c r="M6" s="8">
        <f>D7*G13/100*1/14+G14/100*D6*1/14</f>
        <v>4.2857142857142859E-3</v>
      </c>
      <c r="N6" s="8">
        <f>D9/R12</f>
        <v>2.991157390962966E-2</v>
      </c>
      <c r="O6" s="8">
        <f>V7/$R$5</f>
        <v>7.3482944608556349E-3</v>
      </c>
      <c r="P6" s="8"/>
      <c r="Q6" s="1" t="s">
        <v>40</v>
      </c>
      <c r="R6" s="1">
        <v>132.13999999999999</v>
      </c>
      <c r="V6" s="5" t="s">
        <v>27</v>
      </c>
      <c r="W6" s="5" t="s">
        <v>28</v>
      </c>
      <c r="X6" s="1" t="s">
        <v>41</v>
      </c>
      <c r="Z6" s="1" t="s">
        <v>42</v>
      </c>
    </row>
    <row r="7" spans="1:30" x14ac:dyDescent="0.2">
      <c r="D7" s="1">
        <v>0</v>
      </c>
      <c r="E7" s="19" t="s">
        <v>43</v>
      </c>
      <c r="Q7" s="1" t="s">
        <v>44</v>
      </c>
      <c r="R7" s="1">
        <v>180.15600000000001</v>
      </c>
      <c r="V7" s="1">
        <v>1</v>
      </c>
      <c r="W7" s="1" t="s">
        <v>36</v>
      </c>
      <c r="X7" s="1">
        <v>136.08600000000001</v>
      </c>
    </row>
    <row r="8" spans="1:30" x14ac:dyDescent="0.2">
      <c r="D8" s="1">
        <v>100</v>
      </c>
      <c r="E8" s="1" t="s">
        <v>44</v>
      </c>
      <c r="Q8" s="1" t="s">
        <v>45</v>
      </c>
      <c r="R8" s="1">
        <v>150.13</v>
      </c>
      <c r="V8" s="1">
        <v>0.5</v>
      </c>
      <c r="W8" s="1" t="s">
        <v>46</v>
      </c>
    </row>
    <row r="9" spans="1:30" x14ac:dyDescent="0.2">
      <c r="D9" s="1">
        <v>1.6</v>
      </c>
      <c r="E9" s="19" t="s">
        <v>55</v>
      </c>
      <c r="Q9" s="1" t="s">
        <v>47</v>
      </c>
      <c r="R9" s="8">
        <v>92.093999999999994</v>
      </c>
      <c r="V9" s="1">
        <v>0.1</v>
      </c>
      <c r="W9" s="1" t="s">
        <v>48</v>
      </c>
    </row>
    <row r="10" spans="1:30" x14ac:dyDescent="0.2">
      <c r="Q10" s="1" t="s">
        <v>49</v>
      </c>
      <c r="R10" s="1">
        <v>59.043999999999997</v>
      </c>
      <c r="V10" s="1">
        <v>0.1</v>
      </c>
      <c r="W10" s="1" t="s">
        <v>50</v>
      </c>
    </row>
    <row r="11" spans="1:30" x14ac:dyDescent="0.2">
      <c r="Q11" s="5" t="s">
        <v>51</v>
      </c>
      <c r="R11" s="1">
        <v>192.19399999999999</v>
      </c>
      <c r="V11" s="1">
        <f>SUM(V7:V10)</f>
        <v>1.7000000000000002</v>
      </c>
      <c r="W11" s="1" t="s">
        <v>52</v>
      </c>
    </row>
    <row r="12" spans="1:30" x14ac:dyDescent="0.2">
      <c r="F12" s="1" t="s">
        <v>53</v>
      </c>
      <c r="G12" s="1" t="s">
        <v>54</v>
      </c>
      <c r="Q12" s="1" t="s">
        <v>55</v>
      </c>
      <c r="R12" s="1">
        <v>53.491</v>
      </c>
      <c r="V12" s="1" t="s">
        <v>56</v>
      </c>
    </row>
    <row r="13" spans="1:30" x14ac:dyDescent="0.2">
      <c r="E13" s="1" t="s">
        <v>57</v>
      </c>
      <c r="F13" s="1">
        <v>14.2</v>
      </c>
      <c r="G13" s="1">
        <v>17.399999999999999</v>
      </c>
      <c r="Q13" s="1" t="s">
        <v>58</v>
      </c>
      <c r="R13" s="1">
        <v>60.06</v>
      </c>
      <c r="V13" s="5" t="s">
        <v>59</v>
      </c>
      <c r="W13" s="5" t="s">
        <v>28</v>
      </c>
    </row>
    <row r="14" spans="1:30" x14ac:dyDescent="0.2">
      <c r="E14" s="1" t="s">
        <v>60</v>
      </c>
      <c r="F14" s="1">
        <v>9</v>
      </c>
      <c r="G14" s="1">
        <v>12</v>
      </c>
      <c r="V14" s="1">
        <v>500</v>
      </c>
      <c r="W14" s="1" t="s">
        <v>61</v>
      </c>
    </row>
    <row r="15" spans="1:30" x14ac:dyDescent="0.2">
      <c r="V15" s="1">
        <v>40</v>
      </c>
      <c r="W15" s="1" t="s">
        <v>62</v>
      </c>
    </row>
    <row r="16" spans="1:30" x14ac:dyDescent="0.2">
      <c r="V16" s="1">
        <v>100</v>
      </c>
      <c r="W16" s="1" t="s">
        <v>63</v>
      </c>
    </row>
    <row r="17" spans="22:26" x14ac:dyDescent="0.2">
      <c r="V17" s="1">
        <v>200</v>
      </c>
      <c r="W17" s="1" t="s">
        <v>64</v>
      </c>
    </row>
    <row r="18" spans="22:26" x14ac:dyDescent="0.2">
      <c r="V18" s="1">
        <v>400</v>
      </c>
      <c r="W18" s="1" t="s">
        <v>65</v>
      </c>
    </row>
    <row r="19" spans="22:26" x14ac:dyDescent="0.2">
      <c r="V19" s="1">
        <v>200</v>
      </c>
      <c r="W19" s="1" t="s">
        <v>66</v>
      </c>
    </row>
    <row r="20" spans="22:26" x14ac:dyDescent="0.2">
      <c r="V20" s="1">
        <v>400</v>
      </c>
      <c r="W20" s="1" t="s">
        <v>67</v>
      </c>
    </row>
    <row r="21" spans="22:26" x14ac:dyDescent="0.2">
      <c r="V21" s="1">
        <f>SUM(V14:V20)/1000000</f>
        <v>1.8400000000000001E-3</v>
      </c>
      <c r="W21" s="1" t="s">
        <v>52</v>
      </c>
    </row>
    <row r="22" spans="22:26" x14ac:dyDescent="0.2">
      <c r="V22" s="1" t="s">
        <v>68</v>
      </c>
    </row>
    <row r="23" spans="22:26" x14ac:dyDescent="0.2">
      <c r="V23" s="5" t="s">
        <v>59</v>
      </c>
      <c r="W23" s="5" t="s">
        <v>28</v>
      </c>
    </row>
    <row r="24" spans="22:26" x14ac:dyDescent="0.2">
      <c r="V24" s="1">
        <v>2</v>
      </c>
      <c r="W24" s="1" t="s">
        <v>69</v>
      </c>
      <c r="Z24" s="1">
        <f>550*0.3</f>
        <v>165</v>
      </c>
    </row>
    <row r="25" spans="22:26" x14ac:dyDescent="0.2">
      <c r="V25" s="1">
        <v>400</v>
      </c>
      <c r="W25" s="1" t="s">
        <v>70</v>
      </c>
    </row>
    <row r="26" spans="22:26" x14ac:dyDescent="0.2">
      <c r="V26" s="1">
        <v>2</v>
      </c>
      <c r="W26" s="1" t="s">
        <v>71</v>
      </c>
    </row>
    <row r="27" spans="22:26" x14ac:dyDescent="0.2">
      <c r="V27" s="9">
        <v>2000</v>
      </c>
      <c r="W27" s="1" t="s">
        <v>72</v>
      </c>
    </row>
    <row r="28" spans="22:26" x14ac:dyDescent="0.2">
      <c r="V28" s="1">
        <v>400</v>
      </c>
      <c r="W28" s="1" t="s">
        <v>73</v>
      </c>
    </row>
    <row r="29" spans="22:26" x14ac:dyDescent="0.2">
      <c r="V29" s="1">
        <v>200</v>
      </c>
      <c r="W29" s="1" t="s">
        <v>74</v>
      </c>
    </row>
    <row r="30" spans="22:26" x14ac:dyDescent="0.2">
      <c r="V30" s="1">
        <v>400</v>
      </c>
      <c r="W30" s="1" t="s">
        <v>75</v>
      </c>
    </row>
    <row r="31" spans="22:26" x14ac:dyDescent="0.2">
      <c r="V31" s="1">
        <v>200</v>
      </c>
      <c r="W31" s="1" t="s">
        <v>76</v>
      </c>
    </row>
    <row r="32" spans="22:26" x14ac:dyDescent="0.2">
      <c r="V32" s="1">
        <v>400</v>
      </c>
      <c r="W32" s="1" t="s">
        <v>77</v>
      </c>
    </row>
    <row r="35" spans="22:23" x14ac:dyDescent="0.2">
      <c r="V35" s="1">
        <f>SUM(V24:V32)/1000000</f>
        <v>4.0039999999999997E-3</v>
      </c>
      <c r="W35" s="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C837-53AD-405E-9E8B-DA1E266B5740}">
  <dimension ref="A1:B5"/>
  <sheetViews>
    <sheetView workbookViewId="0">
      <selection activeCell="B3" sqref="B3"/>
    </sheetView>
  </sheetViews>
  <sheetFormatPr baseColWidth="10" defaultColWidth="10.83203125" defaultRowHeight="16" x14ac:dyDescent="0.2"/>
  <cols>
    <col min="1" max="16384" width="10.83203125" style="1"/>
  </cols>
  <sheetData>
    <row r="1" spans="1:2" x14ac:dyDescent="0.2">
      <c r="A1" s="1" t="s">
        <v>80</v>
      </c>
    </row>
    <row r="2" spans="1:2" x14ac:dyDescent="0.2">
      <c r="B2" s="1" t="s">
        <v>81</v>
      </c>
    </row>
    <row r="4" spans="1:2" x14ac:dyDescent="0.2">
      <c r="B4" s="1" t="s">
        <v>82</v>
      </c>
    </row>
    <row r="5" spans="1:2" x14ac:dyDescent="0.2">
      <c r="B5" s="1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B503-1D0D-486C-89C4-0E0D0CA137CF}">
  <dimension ref="A6:CB71"/>
  <sheetViews>
    <sheetView showGridLines="0" tabSelected="1" topLeftCell="B2" zoomScaleNormal="125" workbookViewId="0">
      <selection activeCell="U27" sqref="U27"/>
    </sheetView>
  </sheetViews>
  <sheetFormatPr baseColWidth="10" defaultColWidth="11.1640625" defaultRowHeight="16" x14ac:dyDescent="0.2"/>
  <cols>
    <col min="1" max="1" width="11.1640625" style="1"/>
    <col min="2" max="2" width="36.1640625" style="1" customWidth="1"/>
    <col min="3" max="45" width="11.1640625" style="1"/>
    <col min="46" max="50" width="9.5" style="1" customWidth="1"/>
    <col min="51" max="16384" width="11.1640625" style="1"/>
  </cols>
  <sheetData>
    <row r="6" spans="1:59" x14ac:dyDescent="0.2">
      <c r="AV6" s="19"/>
    </row>
    <row r="7" spans="1:59" x14ac:dyDescent="0.2">
      <c r="I7" s="19"/>
    </row>
    <row r="8" spans="1:59" x14ac:dyDescent="0.2">
      <c r="Q8" s="19" t="s">
        <v>106</v>
      </c>
    </row>
    <row r="10" spans="1:59" ht="17" thickBot="1" x14ac:dyDescent="0.25"/>
    <row r="11" spans="1:59" ht="17" thickBot="1" x14ac:dyDescent="0.25">
      <c r="C11" s="43" t="s">
        <v>105</v>
      </c>
      <c r="D11" s="44"/>
      <c r="E11" s="44"/>
      <c r="F11" s="44"/>
      <c r="G11" s="44"/>
      <c r="H11" s="44"/>
      <c r="I11" s="44"/>
      <c r="J11" s="44"/>
      <c r="K11" s="44"/>
      <c r="L11" s="44"/>
      <c r="M11" s="45"/>
      <c r="S11" s="4"/>
    </row>
    <row r="12" spans="1:59" x14ac:dyDescent="0.2">
      <c r="C12" s="40" t="s">
        <v>104</v>
      </c>
      <c r="D12" s="41"/>
      <c r="E12" s="41"/>
      <c r="F12" s="41"/>
      <c r="G12" s="41"/>
      <c r="H12" s="41"/>
      <c r="I12" s="41"/>
      <c r="J12" s="41"/>
      <c r="K12" s="41"/>
      <c r="L12" s="42"/>
      <c r="AL12" s="38" t="s">
        <v>84</v>
      </c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10"/>
      <c r="AX12" s="10"/>
      <c r="AY12" s="39"/>
      <c r="AZ12" s="39"/>
      <c r="BA12" s="39"/>
      <c r="BB12" s="39"/>
      <c r="BC12" s="31"/>
    </row>
    <row r="13" spans="1:59" ht="68" x14ac:dyDescent="0.2">
      <c r="A13" s="11" t="s">
        <v>85</v>
      </c>
      <c r="B13" s="14" t="s">
        <v>86</v>
      </c>
      <c r="C13" s="14" t="s">
        <v>102</v>
      </c>
      <c r="D13" s="14" t="s">
        <v>87</v>
      </c>
      <c r="E13" s="14" t="s">
        <v>44</v>
      </c>
      <c r="F13" s="14" t="s">
        <v>45</v>
      </c>
      <c r="G13" s="14" t="s">
        <v>171</v>
      </c>
      <c r="H13" s="14" t="s">
        <v>172</v>
      </c>
      <c r="I13" s="14" t="s">
        <v>88</v>
      </c>
      <c r="J13" s="14" t="s">
        <v>173</v>
      </c>
      <c r="K13" s="14" t="s">
        <v>89</v>
      </c>
      <c r="L13" s="14" t="s">
        <v>103</v>
      </c>
      <c r="Q13" s="1" t="s">
        <v>90</v>
      </c>
      <c r="R13" s="1" t="s">
        <v>91</v>
      </c>
      <c r="S13" s="12" t="s">
        <v>92</v>
      </c>
      <c r="T13" s="12" t="s">
        <v>93</v>
      </c>
      <c r="U13" s="1" t="s">
        <v>94</v>
      </c>
      <c r="V13" s="1" t="s">
        <v>95</v>
      </c>
      <c r="W13" s="1" t="s">
        <v>96</v>
      </c>
      <c r="X13" s="13"/>
      <c r="Y13" s="13" t="s">
        <v>97</v>
      </c>
      <c r="Z13" s="33" t="s">
        <v>174</v>
      </c>
      <c r="AA13" s="33" t="s">
        <v>175</v>
      </c>
      <c r="AB13" s="25" t="s">
        <v>98</v>
      </c>
      <c r="AC13" s="13" t="s">
        <v>99</v>
      </c>
      <c r="AD13" s="33" t="s">
        <v>176</v>
      </c>
      <c r="AE13" s="33" t="s">
        <v>177</v>
      </c>
      <c r="AL13" s="14" t="s">
        <v>102</v>
      </c>
      <c r="AM13" s="14" t="s">
        <v>87</v>
      </c>
      <c r="AN13" s="14" t="s">
        <v>44</v>
      </c>
      <c r="AO13" s="14" t="s">
        <v>45</v>
      </c>
      <c r="AP13" s="14" t="s">
        <v>171</v>
      </c>
      <c r="AQ13" s="14" t="s">
        <v>172</v>
      </c>
      <c r="AR13" s="14" t="s">
        <v>88</v>
      </c>
      <c r="AS13" s="14" t="s">
        <v>173</v>
      </c>
      <c r="AT13" s="14" t="s">
        <v>89</v>
      </c>
      <c r="AU13" s="14" t="s">
        <v>103</v>
      </c>
      <c r="AY13" s="32"/>
      <c r="AZ13" s="32"/>
    </row>
    <row r="14" spans="1:59" x14ac:dyDescent="0.2">
      <c r="A14" s="11"/>
      <c r="Q14" s="2"/>
      <c r="R14" s="3"/>
      <c r="T14" s="19"/>
      <c r="AL14" s="1" t="str">
        <f t="shared" ref="AL14:AL35" si="0">IF(ISNUMBER(C14),C14*1000/100,"")</f>
        <v/>
      </c>
      <c r="AO14" s="1" t="str">
        <f t="shared" ref="AO14:AU16" si="1">IF(ISNUMBER(F14),F14*1000/100,"")</f>
        <v/>
      </c>
      <c r="AP14" s="1" t="str">
        <f t="shared" si="1"/>
        <v/>
      </c>
      <c r="AQ14" s="1" t="str">
        <f t="shared" si="1"/>
        <v/>
      </c>
      <c r="AR14" s="1" t="str">
        <f t="shared" si="1"/>
        <v/>
      </c>
      <c r="AS14" s="1" t="str">
        <f t="shared" si="1"/>
        <v/>
      </c>
      <c r="AT14" s="1" t="str">
        <f t="shared" si="1"/>
        <v/>
      </c>
      <c r="AU14" s="1" t="str">
        <f t="shared" si="1"/>
        <v/>
      </c>
    </row>
    <row r="15" spans="1:59" x14ac:dyDescent="0.2">
      <c r="A15" s="11"/>
      <c r="Q15" s="2"/>
      <c r="R15" s="3"/>
      <c r="T15" s="19"/>
      <c r="AL15" s="1" t="str">
        <f t="shared" si="0"/>
        <v/>
      </c>
      <c r="AO15" s="1" t="str">
        <f t="shared" si="1"/>
        <v/>
      </c>
      <c r="AP15" s="1" t="str">
        <f t="shared" si="1"/>
        <v/>
      </c>
      <c r="AQ15" s="1" t="str">
        <f t="shared" si="1"/>
        <v/>
      </c>
      <c r="AR15" s="1" t="str">
        <f t="shared" si="1"/>
        <v/>
      </c>
      <c r="AS15" s="1" t="str">
        <f t="shared" si="1"/>
        <v/>
      </c>
      <c r="AT15" s="1" t="str">
        <f t="shared" si="1"/>
        <v/>
      </c>
      <c r="AU15" s="1" t="str">
        <f t="shared" si="1"/>
        <v/>
      </c>
      <c r="BE15" s="7"/>
      <c r="BF15" s="7"/>
      <c r="BG15" s="7"/>
    </row>
    <row r="16" spans="1:59" x14ac:dyDescent="0.2">
      <c r="A16" s="11"/>
      <c r="Q16" s="2"/>
      <c r="R16" s="3"/>
      <c r="T16" s="19"/>
      <c r="AL16" s="1" t="str">
        <f t="shared" si="0"/>
        <v/>
      </c>
      <c r="AO16" s="1" t="str">
        <f t="shared" si="1"/>
        <v/>
      </c>
      <c r="AP16" s="1" t="str">
        <f t="shared" si="1"/>
        <v/>
      </c>
      <c r="AQ16" s="1" t="str">
        <f t="shared" si="1"/>
        <v/>
      </c>
      <c r="AR16" s="1" t="str">
        <f t="shared" si="1"/>
        <v/>
      </c>
      <c r="AS16" s="1" t="str">
        <f t="shared" si="1"/>
        <v/>
      </c>
      <c r="AT16" s="1" t="str">
        <f t="shared" si="1"/>
        <v/>
      </c>
      <c r="AU16" s="1" t="str">
        <f t="shared" si="1"/>
        <v/>
      </c>
      <c r="AY16" s="15"/>
      <c r="AZ16" s="15"/>
      <c r="BE16" s="7"/>
      <c r="BF16" s="7"/>
      <c r="BG16" s="7"/>
    </row>
    <row r="17" spans="1:80" x14ac:dyDescent="0.2">
      <c r="B17" s="14" t="s">
        <v>186</v>
      </c>
      <c r="C17" s="14" t="s">
        <v>109</v>
      </c>
      <c r="D17" s="14">
        <v>4.582E-2</v>
      </c>
      <c r="E17" s="14">
        <v>10.005000000000001</v>
      </c>
      <c r="F17" s="14" t="s">
        <v>109</v>
      </c>
      <c r="G17" s="14" t="s">
        <v>109</v>
      </c>
      <c r="H17" s="14" t="s">
        <v>109</v>
      </c>
      <c r="I17" s="14" t="s">
        <v>109</v>
      </c>
      <c r="J17" s="14" t="s">
        <v>109</v>
      </c>
      <c r="K17" s="14" t="s">
        <v>109</v>
      </c>
      <c r="L17" s="14" t="s">
        <v>109</v>
      </c>
      <c r="M17" s="14" t="s">
        <v>109</v>
      </c>
      <c r="N17" s="20"/>
      <c r="O17" s="14" t="str">
        <f>F17</f>
        <v xml:space="preserve"> </v>
      </c>
      <c r="P17"/>
      <c r="Q17" s="2"/>
      <c r="R17" s="3"/>
      <c r="S17" s="7">
        <v>0.5</v>
      </c>
      <c r="T17" s="1" t="s">
        <v>100</v>
      </c>
      <c r="U17" s="1">
        <v>1</v>
      </c>
      <c r="V17" s="21"/>
      <c r="W17" s="1">
        <v>0.35599999999999998</v>
      </c>
      <c r="Y17" s="15">
        <f>($E$17-E17)*10</f>
        <v>0</v>
      </c>
      <c r="Z17" s="1">
        <f t="shared" ref="Z17:Z28" si="2">AM17/S17</f>
        <v>0.91639999999999999</v>
      </c>
      <c r="AA17" s="15" t="e">
        <f t="shared" ref="AA17:AA28" si="3">AM17/Y17</f>
        <v>#DIV/0!</v>
      </c>
      <c r="AB17" s="1">
        <f>AN17-AN17</f>
        <v>0</v>
      </c>
      <c r="AC17" s="8">
        <f>AB17/(S17)</f>
        <v>0</v>
      </c>
      <c r="AD17" s="8">
        <f t="shared" ref="AD17:AD28" si="4">(AM17-AM14)/(S17-S14)</f>
        <v>0.91639999999999999</v>
      </c>
      <c r="AE17" s="8" t="e">
        <f t="shared" ref="AE17:AE28" si="5">(AM17-AM14)/(Y17-Y14)</f>
        <v>#DIV/0!</v>
      </c>
      <c r="AL17" s="1" t="str">
        <f t="shared" si="0"/>
        <v/>
      </c>
      <c r="AM17" s="1">
        <f t="shared" ref="AM17:AM28" si="6">IF(ISNUMBER(D17),D17*1000/100,0)</f>
        <v>0.4582</v>
      </c>
      <c r="AN17" s="1">
        <f t="shared" ref="AN17:AN28" si="7">IF(ISNUMBER(E17),E17*1000/100,0)</f>
        <v>100.05</v>
      </c>
      <c r="AY17" s="15"/>
      <c r="AZ17" s="15"/>
      <c r="BE17" s="7"/>
      <c r="BF17" s="7"/>
      <c r="BG17" s="7"/>
    </row>
    <row r="18" spans="1:80" x14ac:dyDescent="0.2">
      <c r="B18" s="14" t="s">
        <v>187</v>
      </c>
      <c r="C18" s="14" t="s">
        <v>109</v>
      </c>
      <c r="D18" s="14">
        <v>4.8930000000000001E-2</v>
      </c>
      <c r="E18" s="14">
        <v>10.141579999999999</v>
      </c>
      <c r="F18" s="14" t="s">
        <v>109</v>
      </c>
      <c r="G18" s="14" t="s">
        <v>109</v>
      </c>
      <c r="H18" s="14" t="s">
        <v>109</v>
      </c>
      <c r="I18" s="14" t="s">
        <v>109</v>
      </c>
      <c r="J18" s="14" t="s">
        <v>109</v>
      </c>
      <c r="K18" s="14" t="s">
        <v>109</v>
      </c>
      <c r="L18" s="14" t="s">
        <v>109</v>
      </c>
      <c r="M18" s="14" t="s">
        <v>109</v>
      </c>
      <c r="N18" s="20"/>
      <c r="O18" s="14" t="str">
        <f t="shared" ref="O18:O42" si="8">F18</f>
        <v xml:space="preserve"> </v>
      </c>
      <c r="P18"/>
      <c r="Q18" s="2"/>
      <c r="R18" s="3"/>
      <c r="S18" s="7">
        <v>0.5</v>
      </c>
      <c r="T18" s="1" t="s">
        <v>101</v>
      </c>
      <c r="U18" s="1">
        <v>2</v>
      </c>
      <c r="V18" s="21"/>
      <c r="W18" s="1">
        <v>0.316</v>
      </c>
      <c r="Y18" s="15">
        <f>10*($E$18-E18)</f>
        <v>0</v>
      </c>
      <c r="Z18" s="1">
        <f t="shared" si="2"/>
        <v>0.97860000000000003</v>
      </c>
      <c r="AA18" s="15" t="e">
        <f t="shared" si="3"/>
        <v>#DIV/0!</v>
      </c>
      <c r="AB18" s="1">
        <f>AN18-AN18</f>
        <v>0</v>
      </c>
      <c r="AC18" s="8">
        <f>AB18/(S18)</f>
        <v>0</v>
      </c>
      <c r="AD18" s="8">
        <f t="shared" si="4"/>
        <v>0.97860000000000003</v>
      </c>
      <c r="AE18" s="8" t="e">
        <f t="shared" si="5"/>
        <v>#DIV/0!</v>
      </c>
      <c r="AL18" s="1" t="str">
        <f t="shared" si="0"/>
        <v/>
      </c>
      <c r="AM18" s="1">
        <f t="shared" si="6"/>
        <v>0.48930000000000001</v>
      </c>
      <c r="AN18" s="1">
        <f t="shared" si="7"/>
        <v>101.4158</v>
      </c>
      <c r="AY18" s="15"/>
      <c r="AZ18" s="15"/>
      <c r="BE18" s="7"/>
      <c r="BF18" s="8"/>
      <c r="BG18" s="7"/>
    </row>
    <row r="19" spans="1:80" x14ac:dyDescent="0.2">
      <c r="A19" s="12"/>
      <c r="B19" s="14" t="s">
        <v>188</v>
      </c>
      <c r="C19" s="14" t="s">
        <v>109</v>
      </c>
      <c r="D19" s="14">
        <v>0.11855</v>
      </c>
      <c r="E19" s="14">
        <v>8.0239200000000004</v>
      </c>
      <c r="F19" s="14" t="s">
        <v>109</v>
      </c>
      <c r="G19" s="14" t="s">
        <v>109</v>
      </c>
      <c r="H19" s="14" t="s">
        <v>109</v>
      </c>
      <c r="I19" s="14" t="s">
        <v>109</v>
      </c>
      <c r="J19" s="14" t="s">
        <v>109</v>
      </c>
      <c r="K19" s="14" t="s">
        <v>109</v>
      </c>
      <c r="L19" s="14" t="s">
        <v>109</v>
      </c>
      <c r="M19" s="14" t="s">
        <v>109</v>
      </c>
      <c r="N19" s="20"/>
      <c r="O19" s="14" t="str">
        <f t="shared" si="8"/>
        <v xml:space="preserve"> </v>
      </c>
      <c r="P19"/>
      <c r="Q19" s="2"/>
      <c r="R19" s="3"/>
      <c r="S19" s="7">
        <v>24</v>
      </c>
      <c r="T19" s="1" t="s">
        <v>100</v>
      </c>
      <c r="U19" s="1">
        <v>3</v>
      </c>
      <c r="V19" s="21"/>
      <c r="W19" s="1">
        <v>25.76</v>
      </c>
      <c r="Y19" s="15">
        <f>10*($E$19-E19)</f>
        <v>0</v>
      </c>
      <c r="Z19" s="1">
        <f t="shared" si="2"/>
        <v>4.9395833333333333E-2</v>
      </c>
      <c r="AA19" s="15" t="e">
        <f t="shared" si="3"/>
        <v>#DIV/0!</v>
      </c>
      <c r="AB19" s="1">
        <f>AN19-AN19</f>
        <v>0</v>
      </c>
      <c r="AC19" s="8">
        <f>AB19/(S19)</f>
        <v>0</v>
      </c>
      <c r="AD19" s="8">
        <f t="shared" si="4"/>
        <v>4.9395833333333333E-2</v>
      </c>
      <c r="AE19" s="8" t="e">
        <f t="shared" si="5"/>
        <v>#DIV/0!</v>
      </c>
      <c r="AL19" s="1" t="str">
        <f t="shared" si="0"/>
        <v/>
      </c>
      <c r="AM19" s="1">
        <f t="shared" si="6"/>
        <v>1.1855</v>
      </c>
      <c r="AN19" s="1">
        <f t="shared" si="7"/>
        <v>80.239199999999997</v>
      </c>
      <c r="AY19" s="15"/>
      <c r="AZ19" s="15"/>
      <c r="BE19" s="7"/>
      <c r="BF19" s="8"/>
      <c r="BG19" s="7"/>
    </row>
    <row r="20" spans="1:80" x14ac:dyDescent="0.2">
      <c r="B20" s="14" t="s">
        <v>189</v>
      </c>
      <c r="C20" s="14" t="s">
        <v>109</v>
      </c>
      <c r="D20" s="14">
        <v>0.13216</v>
      </c>
      <c r="E20" s="14">
        <v>7.9053699999999996</v>
      </c>
      <c r="F20" s="14" t="s">
        <v>109</v>
      </c>
      <c r="G20" s="14" t="s">
        <v>109</v>
      </c>
      <c r="H20" s="14" t="s">
        <v>109</v>
      </c>
      <c r="I20" s="14" t="s">
        <v>109</v>
      </c>
      <c r="J20" s="14" t="s">
        <v>109</v>
      </c>
      <c r="K20" s="14" t="s">
        <v>109</v>
      </c>
      <c r="L20" s="14" t="s">
        <v>109</v>
      </c>
      <c r="M20" s="14" t="s">
        <v>109</v>
      </c>
      <c r="N20" s="20"/>
      <c r="O20" s="14" t="str">
        <f t="shared" si="8"/>
        <v xml:space="preserve"> </v>
      </c>
      <c r="P20"/>
      <c r="Q20" s="2"/>
      <c r="R20" s="3"/>
      <c r="S20" s="7">
        <v>24</v>
      </c>
      <c r="T20" s="1" t="s">
        <v>101</v>
      </c>
      <c r="U20" s="1">
        <v>4</v>
      </c>
      <c r="V20" s="21"/>
      <c r="W20" s="1">
        <v>27.36</v>
      </c>
      <c r="Y20" s="15">
        <f>($E$17-E20)*10</f>
        <v>20.996300000000012</v>
      </c>
      <c r="Z20" s="1">
        <f t="shared" si="2"/>
        <v>5.506666666666666E-2</v>
      </c>
      <c r="AA20" s="15">
        <f t="shared" si="3"/>
        <v>6.2944423541290567E-2</v>
      </c>
      <c r="AB20" s="1">
        <f t="shared" ref="AB20:AB28" si="9">AN17-AN20</f>
        <v>20.996300000000005</v>
      </c>
      <c r="AC20" s="8">
        <f t="shared" ref="AC20:AC28" si="10">AB20/(S20-S17)</f>
        <v>0.89345957446808533</v>
      </c>
      <c r="AD20" s="8">
        <f t="shared" si="4"/>
        <v>3.6740425531914894E-2</v>
      </c>
      <c r="AE20" s="8">
        <f t="shared" si="5"/>
        <v>4.1121530936403056E-2</v>
      </c>
      <c r="AL20" s="1" t="str">
        <f t="shared" si="0"/>
        <v/>
      </c>
      <c r="AM20" s="1">
        <f t="shared" si="6"/>
        <v>1.3215999999999999</v>
      </c>
      <c r="AN20" s="1">
        <f t="shared" si="7"/>
        <v>79.053699999999992</v>
      </c>
      <c r="AY20" s="15"/>
      <c r="AZ20" s="15"/>
      <c r="BE20" s="7"/>
      <c r="BF20" s="8"/>
      <c r="BG20" s="7"/>
    </row>
    <row r="21" spans="1:80" x14ac:dyDescent="0.2">
      <c r="B21" s="14" t="s">
        <v>190</v>
      </c>
      <c r="C21" s="14" t="s">
        <v>109</v>
      </c>
      <c r="D21" s="14">
        <v>0.38573000000000002</v>
      </c>
      <c r="E21" s="14">
        <v>7.1424700000000003</v>
      </c>
      <c r="F21" s="14" t="s">
        <v>109</v>
      </c>
      <c r="G21" s="14" t="s">
        <v>109</v>
      </c>
      <c r="H21" s="14" t="s">
        <v>109</v>
      </c>
      <c r="I21" s="14" t="s">
        <v>109</v>
      </c>
      <c r="J21" s="14" t="s">
        <v>109</v>
      </c>
      <c r="K21" s="14" t="s">
        <v>109</v>
      </c>
      <c r="L21" s="14" t="s">
        <v>109</v>
      </c>
      <c r="M21" s="14" t="s">
        <v>109</v>
      </c>
      <c r="N21" s="20"/>
      <c r="O21" s="14" t="str">
        <f t="shared" si="8"/>
        <v xml:space="preserve"> </v>
      </c>
      <c r="P21"/>
      <c r="Q21" s="2"/>
      <c r="R21" s="3"/>
      <c r="S21" s="7">
        <v>31</v>
      </c>
      <c r="T21" s="1" t="s">
        <v>100</v>
      </c>
      <c r="U21" s="1">
        <v>5</v>
      </c>
      <c r="V21" s="21"/>
      <c r="Y21" s="15">
        <f>10*($E$18-E21)</f>
        <v>29.991099999999989</v>
      </c>
      <c r="Z21" s="1">
        <f t="shared" si="2"/>
        <v>0.12442903225806452</v>
      </c>
      <c r="AA21" s="15">
        <f t="shared" si="3"/>
        <v>0.12861482239731126</v>
      </c>
      <c r="AB21" s="1">
        <f t="shared" si="9"/>
        <v>29.991100000000003</v>
      </c>
      <c r="AC21" s="8">
        <f t="shared" si="10"/>
        <v>0.98331475409836078</v>
      </c>
      <c r="AD21" s="8">
        <f t="shared" si="4"/>
        <v>0.11042622950819674</v>
      </c>
      <c r="AE21" s="8">
        <f t="shared" si="5"/>
        <v>0.11229998232809071</v>
      </c>
      <c r="AL21" s="1" t="str">
        <f t="shared" si="0"/>
        <v/>
      </c>
      <c r="AM21" s="1">
        <f t="shared" si="6"/>
        <v>3.8573000000000004</v>
      </c>
      <c r="AN21" s="1">
        <f t="shared" si="7"/>
        <v>71.424700000000001</v>
      </c>
      <c r="AO21" s="1" t="str">
        <f t="shared" ref="AO21:AO28" si="11">IF(ISNUMBER(F21),F21*1000/100,"")</f>
        <v/>
      </c>
      <c r="AP21" s="1" t="str">
        <f t="shared" ref="AP21:AP28" si="12">IF(ISNUMBER(G21),G21*1000/100,"")</f>
        <v/>
      </c>
      <c r="AQ21" s="1" t="str">
        <f t="shared" ref="AQ21:AQ28" si="13">IF(ISNUMBER(H21),H21*1000/100,"")</f>
        <v/>
      </c>
      <c r="AR21" s="1" t="str">
        <f t="shared" ref="AR21:AR28" si="14">IF(ISNUMBER(I21),I21*1000/100,"")</f>
        <v/>
      </c>
      <c r="AS21" s="1" t="str">
        <f t="shared" ref="AS21:AS28" si="15">IF(ISNUMBER(J21),J21*1000/100,"")</f>
        <v/>
      </c>
      <c r="AT21" s="1" t="str">
        <f t="shared" ref="AT21:AT28" si="16">IF(ISNUMBER(K21),K21*1000/100,"")</f>
        <v/>
      </c>
      <c r="AU21" s="1" t="str">
        <f t="shared" ref="AU21:AU28" si="17">IF(ISNUMBER(L21),L21*1000/100,"")</f>
        <v/>
      </c>
      <c r="AY21" s="15"/>
      <c r="AZ21" s="15"/>
      <c r="BE21" s="7"/>
      <c r="BF21" s="8"/>
      <c r="BG21" s="7"/>
    </row>
    <row r="22" spans="1:80" x14ac:dyDescent="0.2">
      <c r="B22" s="14" t="s">
        <v>191</v>
      </c>
      <c r="C22" s="14" t="s">
        <v>109</v>
      </c>
      <c r="D22" s="14">
        <v>0.40503</v>
      </c>
      <c r="E22" s="14">
        <v>7.0345000000000004</v>
      </c>
      <c r="F22" s="14" t="s">
        <v>109</v>
      </c>
      <c r="G22" s="14" t="s">
        <v>109</v>
      </c>
      <c r="H22" s="14" t="s">
        <v>109</v>
      </c>
      <c r="I22" s="14" t="s">
        <v>109</v>
      </c>
      <c r="J22" s="14" t="s">
        <v>109</v>
      </c>
      <c r="K22" s="14" t="s">
        <v>109</v>
      </c>
      <c r="L22" s="14" t="s">
        <v>109</v>
      </c>
      <c r="M22" s="14" t="s">
        <v>109</v>
      </c>
      <c r="N22" s="20"/>
      <c r="O22" s="14" t="str">
        <f t="shared" si="8"/>
        <v xml:space="preserve"> </v>
      </c>
      <c r="P22"/>
      <c r="Q22" s="2"/>
      <c r="R22" s="3"/>
      <c r="S22" s="7">
        <v>31</v>
      </c>
      <c r="T22" s="1" t="s">
        <v>101</v>
      </c>
      <c r="U22" s="1">
        <v>6</v>
      </c>
      <c r="V22" s="21"/>
      <c r="Y22" s="15">
        <f>10*($E$19-E22)</f>
        <v>9.8941999999999997</v>
      </c>
      <c r="Z22" s="1">
        <f t="shared" si="2"/>
        <v>0.13065483870967742</v>
      </c>
      <c r="AA22" s="15">
        <f t="shared" si="3"/>
        <v>0.40936103980109562</v>
      </c>
      <c r="AB22" s="1">
        <f t="shared" si="9"/>
        <v>9.8941999999999979</v>
      </c>
      <c r="AC22" s="8">
        <f t="shared" si="10"/>
        <v>1.4134571428571425</v>
      </c>
      <c r="AD22" s="8">
        <f t="shared" si="4"/>
        <v>0.40925714285714282</v>
      </c>
      <c r="AE22" s="8">
        <f t="shared" si="5"/>
        <v>0.2895433688423521</v>
      </c>
      <c r="AL22" s="1" t="str">
        <f t="shared" si="0"/>
        <v/>
      </c>
      <c r="AM22" s="1">
        <f t="shared" si="6"/>
        <v>4.0503</v>
      </c>
      <c r="AN22" s="1">
        <f t="shared" si="7"/>
        <v>70.344999999999999</v>
      </c>
      <c r="AO22" s="1" t="str">
        <f t="shared" si="11"/>
        <v/>
      </c>
      <c r="AP22" s="1" t="str">
        <f t="shared" si="12"/>
        <v/>
      </c>
      <c r="AQ22" s="1" t="str">
        <f t="shared" si="13"/>
        <v/>
      </c>
      <c r="AR22" s="1" t="str">
        <f t="shared" si="14"/>
        <v/>
      </c>
      <c r="AS22" s="1" t="str">
        <f t="shared" si="15"/>
        <v/>
      </c>
      <c r="AT22" s="1" t="str">
        <f t="shared" si="16"/>
        <v/>
      </c>
      <c r="AU22" s="1" t="str">
        <f t="shared" si="17"/>
        <v/>
      </c>
      <c r="AY22" s="15"/>
      <c r="AZ22" s="15"/>
      <c r="BE22" s="7"/>
      <c r="BF22" s="8"/>
      <c r="BG22" s="7"/>
    </row>
    <row r="23" spans="1:80" x14ac:dyDescent="0.2">
      <c r="B23" s="14" t="s">
        <v>192</v>
      </c>
      <c r="C23" s="14" t="s">
        <v>109</v>
      </c>
      <c r="D23" s="14">
        <v>1.2572099999999999</v>
      </c>
      <c r="E23" s="14">
        <v>5.4011300000000002</v>
      </c>
      <c r="F23" s="14" t="s">
        <v>109</v>
      </c>
      <c r="G23" s="14" t="s">
        <v>109</v>
      </c>
      <c r="H23" s="14" t="s">
        <v>109</v>
      </c>
      <c r="I23" s="14" t="s">
        <v>109</v>
      </c>
      <c r="J23" s="14" t="s">
        <v>109</v>
      </c>
      <c r="K23" s="14" t="s">
        <v>109</v>
      </c>
      <c r="L23" s="14" t="s">
        <v>109</v>
      </c>
      <c r="M23" s="14" t="s">
        <v>109</v>
      </c>
      <c r="N23" s="14"/>
      <c r="O23" s="14" t="str">
        <f t="shared" si="8"/>
        <v xml:space="preserve"> </v>
      </c>
      <c r="P23"/>
      <c r="Q23" s="2"/>
      <c r="R23" s="3"/>
      <c r="S23" s="7">
        <v>48</v>
      </c>
      <c r="T23" s="1" t="s">
        <v>100</v>
      </c>
      <c r="U23" s="1">
        <v>7</v>
      </c>
      <c r="W23" s="18">
        <v>36.9</v>
      </c>
      <c r="Y23" s="15">
        <f>($E$17-E23)*10</f>
        <v>46.038700000000006</v>
      </c>
      <c r="Z23" s="1">
        <f t="shared" si="2"/>
        <v>0.26191875000000003</v>
      </c>
      <c r="AA23" s="15">
        <f t="shared" si="3"/>
        <v>0.27307678105593769</v>
      </c>
      <c r="AB23" s="1">
        <f t="shared" si="9"/>
        <v>25.042399999999994</v>
      </c>
      <c r="AC23" s="8">
        <f t="shared" si="10"/>
        <v>1.043433333333333</v>
      </c>
      <c r="AD23" s="8">
        <f t="shared" si="4"/>
        <v>0.46877083333333336</v>
      </c>
      <c r="AE23" s="8">
        <f t="shared" si="5"/>
        <v>0.44925805833306726</v>
      </c>
      <c r="AL23" s="1" t="str">
        <f t="shared" si="0"/>
        <v/>
      </c>
      <c r="AM23" s="1">
        <f t="shared" si="6"/>
        <v>12.572100000000001</v>
      </c>
      <c r="AN23" s="4">
        <f t="shared" si="7"/>
        <v>54.011299999999999</v>
      </c>
      <c r="AO23" s="1" t="str">
        <f t="shared" si="11"/>
        <v/>
      </c>
      <c r="AP23" s="1" t="str">
        <f t="shared" si="12"/>
        <v/>
      </c>
      <c r="AQ23" s="1" t="str">
        <f t="shared" si="13"/>
        <v/>
      </c>
      <c r="AR23" s="1" t="str">
        <f t="shared" si="14"/>
        <v/>
      </c>
      <c r="AS23" s="1" t="str">
        <f t="shared" si="15"/>
        <v/>
      </c>
      <c r="AT23" s="1" t="str">
        <f t="shared" si="16"/>
        <v/>
      </c>
      <c r="AU23" s="1" t="str">
        <f t="shared" si="17"/>
        <v/>
      </c>
      <c r="AY23" s="15"/>
      <c r="AZ23" s="15"/>
      <c r="BE23" s="7"/>
      <c r="BF23" s="8"/>
      <c r="BG23" s="7"/>
    </row>
    <row r="24" spans="1:80" x14ac:dyDescent="0.2">
      <c r="B24" s="14" t="s">
        <v>193</v>
      </c>
      <c r="C24" s="14" t="s">
        <v>109</v>
      </c>
      <c r="D24" s="14">
        <v>1.2556400000000001</v>
      </c>
      <c r="E24" s="14">
        <v>5.2971899999999996</v>
      </c>
      <c r="F24" s="14" t="s">
        <v>109</v>
      </c>
      <c r="G24" s="14" t="s">
        <v>109</v>
      </c>
      <c r="H24" s="14" t="s">
        <v>109</v>
      </c>
      <c r="I24" s="14" t="s">
        <v>109</v>
      </c>
      <c r="J24" s="14" t="s">
        <v>109</v>
      </c>
      <c r="K24" s="14" t="s">
        <v>109</v>
      </c>
      <c r="L24" s="14" t="s">
        <v>109</v>
      </c>
      <c r="M24" s="14" t="s">
        <v>109</v>
      </c>
      <c r="N24" s="14"/>
      <c r="O24" s="14" t="str">
        <f t="shared" si="8"/>
        <v xml:space="preserve"> </v>
      </c>
      <c r="P24"/>
      <c r="Q24" s="2"/>
      <c r="R24" s="3"/>
      <c r="S24" s="7">
        <v>48</v>
      </c>
      <c r="T24" s="1" t="s">
        <v>101</v>
      </c>
      <c r="U24" s="1">
        <v>8</v>
      </c>
      <c r="W24" s="18">
        <v>37.6</v>
      </c>
      <c r="Y24" s="15">
        <f>10*($E$18-E24)</f>
        <v>48.443899999999999</v>
      </c>
      <c r="Z24" s="1">
        <f t="shared" si="2"/>
        <v>0.26159166666666672</v>
      </c>
      <c r="AA24" s="15">
        <f t="shared" si="3"/>
        <v>0.25919465608673131</v>
      </c>
      <c r="AB24" s="1">
        <f t="shared" si="9"/>
        <v>18.452800000000003</v>
      </c>
      <c r="AC24" s="8">
        <f t="shared" si="10"/>
        <v>1.085458823529412</v>
      </c>
      <c r="AD24" s="8">
        <f t="shared" si="4"/>
        <v>0.51171176470588242</v>
      </c>
      <c r="AE24" s="8">
        <f t="shared" si="5"/>
        <v>0.47142439087834886</v>
      </c>
      <c r="AL24" s="1" t="str">
        <f t="shared" si="0"/>
        <v/>
      </c>
      <c r="AM24" s="1">
        <f t="shared" si="6"/>
        <v>12.556400000000002</v>
      </c>
      <c r="AN24" s="1">
        <f t="shared" si="7"/>
        <v>52.971899999999998</v>
      </c>
      <c r="AO24" s="1" t="str">
        <f t="shared" si="11"/>
        <v/>
      </c>
      <c r="AP24" s="1" t="str">
        <f t="shared" si="12"/>
        <v/>
      </c>
      <c r="AQ24" s="1" t="str">
        <f t="shared" si="13"/>
        <v/>
      </c>
      <c r="AR24" s="1" t="str">
        <f t="shared" si="14"/>
        <v/>
      </c>
      <c r="AS24" s="1" t="str">
        <f t="shared" si="15"/>
        <v/>
      </c>
      <c r="AT24" s="1" t="str">
        <f t="shared" si="16"/>
        <v/>
      </c>
      <c r="AU24" s="1" t="str">
        <f t="shared" si="17"/>
        <v/>
      </c>
      <c r="AY24" s="15"/>
      <c r="AZ24" s="15"/>
      <c r="BE24" s="7"/>
      <c r="BF24" s="8"/>
      <c r="BG24" s="7"/>
    </row>
    <row r="25" spans="1:80" x14ac:dyDescent="0.2">
      <c r="B25" s="14" t="s">
        <v>194</v>
      </c>
      <c r="C25" s="14" t="s">
        <v>109</v>
      </c>
      <c r="D25" s="14">
        <v>2.6543299999999999</v>
      </c>
      <c r="E25" s="14">
        <v>3.0145300000000002</v>
      </c>
      <c r="F25" s="14" t="s">
        <v>109</v>
      </c>
      <c r="G25" s="14" t="s">
        <v>109</v>
      </c>
      <c r="H25" s="14" t="s">
        <v>109</v>
      </c>
      <c r="I25" s="14" t="s">
        <v>109</v>
      </c>
      <c r="J25" s="14" t="s">
        <v>109</v>
      </c>
      <c r="K25" s="14" t="s">
        <v>109</v>
      </c>
      <c r="L25" s="14" t="s">
        <v>109</v>
      </c>
      <c r="M25" s="14" t="s">
        <v>109</v>
      </c>
      <c r="N25" s="14"/>
      <c r="O25" s="14" t="str">
        <f t="shared" si="8"/>
        <v xml:space="preserve"> </v>
      </c>
      <c r="P25"/>
      <c r="Q25" s="2"/>
      <c r="R25" s="3"/>
      <c r="S25" s="7">
        <v>72</v>
      </c>
      <c r="T25" s="1" t="s">
        <v>100</v>
      </c>
      <c r="U25" s="1">
        <v>9</v>
      </c>
      <c r="W25" s="18">
        <v>37.799999999999997</v>
      </c>
      <c r="Y25" s="15">
        <f>10*($E$19-E25)</f>
        <v>50.093899999999998</v>
      </c>
      <c r="Z25" s="1">
        <f t="shared" si="2"/>
        <v>0.36865694444444441</v>
      </c>
      <c r="AA25" s="15">
        <f t="shared" si="3"/>
        <v>0.52987090244520785</v>
      </c>
      <c r="AB25" s="1">
        <f t="shared" si="9"/>
        <v>40.199699999999993</v>
      </c>
      <c r="AC25" s="8">
        <f t="shared" si="10"/>
        <v>0.98048048780487784</v>
      </c>
      <c r="AD25" s="8">
        <f t="shared" si="4"/>
        <v>0.54860975609756091</v>
      </c>
      <c r="AE25" s="8">
        <f t="shared" si="5"/>
        <v>0.559531538792578</v>
      </c>
      <c r="AL25" s="1" t="str">
        <f t="shared" si="0"/>
        <v/>
      </c>
      <c r="AM25" s="1">
        <f t="shared" si="6"/>
        <v>26.543299999999999</v>
      </c>
      <c r="AN25" s="1">
        <f t="shared" si="7"/>
        <v>30.145300000000002</v>
      </c>
      <c r="AO25" s="1" t="str">
        <f t="shared" si="11"/>
        <v/>
      </c>
      <c r="AP25" s="1" t="str">
        <f t="shared" si="12"/>
        <v/>
      </c>
      <c r="AQ25" s="1" t="str">
        <f t="shared" si="13"/>
        <v/>
      </c>
      <c r="AR25" s="1" t="str">
        <f t="shared" si="14"/>
        <v/>
      </c>
      <c r="AS25" s="1" t="str">
        <f t="shared" si="15"/>
        <v/>
      </c>
      <c r="AT25" s="1" t="str">
        <f t="shared" si="16"/>
        <v/>
      </c>
      <c r="AU25" s="1" t="str">
        <f t="shared" si="17"/>
        <v/>
      </c>
      <c r="AY25" s="15"/>
      <c r="AZ25" s="15"/>
      <c r="BE25" s="7"/>
      <c r="BF25" s="8"/>
    </row>
    <row r="26" spans="1:80" s="17" customFormat="1" ht="17" thickBot="1" x14ac:dyDescent="0.25">
      <c r="B26" s="14" t="s">
        <v>195</v>
      </c>
      <c r="C26" s="14" t="s">
        <v>109</v>
      </c>
      <c r="D26" s="14">
        <v>2.6364100000000001</v>
      </c>
      <c r="E26" s="14">
        <v>2.9100799999999998</v>
      </c>
      <c r="F26" s="14" t="s">
        <v>109</v>
      </c>
      <c r="G26" s="14" t="s">
        <v>109</v>
      </c>
      <c r="H26" s="14" t="s">
        <v>109</v>
      </c>
      <c r="I26" s="14" t="s">
        <v>109</v>
      </c>
      <c r="J26" s="14" t="s">
        <v>109</v>
      </c>
      <c r="K26" s="14" t="s">
        <v>109</v>
      </c>
      <c r="L26" s="14" t="s">
        <v>109</v>
      </c>
      <c r="M26" s="14" t="s">
        <v>109</v>
      </c>
      <c r="N26" s="14"/>
      <c r="O26" s="14" t="str">
        <f t="shared" si="8"/>
        <v xml:space="preserve"> </v>
      </c>
      <c r="P26"/>
      <c r="Q26" s="2"/>
      <c r="R26" s="3"/>
      <c r="S26" s="7">
        <v>72</v>
      </c>
      <c r="T26" s="1" t="s">
        <v>101</v>
      </c>
      <c r="U26" s="1">
        <v>10</v>
      </c>
      <c r="V26" s="18"/>
      <c r="W26" s="1">
        <v>33.299999999999997</v>
      </c>
      <c r="X26" s="1"/>
      <c r="Y26" s="15">
        <f>($E$17-E26)*10</f>
        <v>70.949200000000005</v>
      </c>
      <c r="Z26" s="1">
        <f t="shared" si="2"/>
        <v>0.36616805555555559</v>
      </c>
      <c r="AA26" s="15">
        <f t="shared" si="3"/>
        <v>0.37159122301590436</v>
      </c>
      <c r="AB26" s="1">
        <f t="shared" si="9"/>
        <v>24.910499999999999</v>
      </c>
      <c r="AC26" s="8">
        <f t="shared" si="10"/>
        <v>1.0379375</v>
      </c>
      <c r="AD26" s="8">
        <f t="shared" si="4"/>
        <v>0.57466666666666677</v>
      </c>
      <c r="AE26" s="8">
        <f t="shared" si="5"/>
        <v>0.55366211035507129</v>
      </c>
      <c r="AF26" s="1"/>
      <c r="AG26" s="1"/>
      <c r="AH26" s="1"/>
      <c r="AI26" s="1"/>
      <c r="AJ26" s="1"/>
      <c r="AK26" s="1"/>
      <c r="AL26" s="1" t="str">
        <f t="shared" si="0"/>
        <v/>
      </c>
      <c r="AM26" s="1">
        <f t="shared" si="6"/>
        <v>26.364100000000004</v>
      </c>
      <c r="AN26" s="1">
        <f t="shared" si="7"/>
        <v>29.1008</v>
      </c>
      <c r="AO26" s="1" t="str">
        <f t="shared" si="11"/>
        <v/>
      </c>
      <c r="AP26" s="1" t="str">
        <f t="shared" si="12"/>
        <v/>
      </c>
      <c r="AQ26" s="1" t="str">
        <f t="shared" si="13"/>
        <v/>
      </c>
      <c r="AR26" s="1" t="str">
        <f t="shared" si="14"/>
        <v/>
      </c>
      <c r="AS26" s="1" t="str">
        <f t="shared" si="15"/>
        <v/>
      </c>
      <c r="AT26" s="1" t="str">
        <f t="shared" si="16"/>
        <v/>
      </c>
      <c r="AU26" s="1" t="str">
        <f t="shared" si="17"/>
        <v/>
      </c>
      <c r="AV26" s="1"/>
      <c r="AW26" s="1"/>
      <c r="AX26" s="1"/>
      <c r="AY26" s="15"/>
      <c r="AZ26" s="15"/>
      <c r="BA26" s="1"/>
      <c r="BB26" s="1"/>
      <c r="BC26" s="1"/>
      <c r="BD26" s="1"/>
      <c r="BE26" s="7"/>
      <c r="BF26" s="8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spans="1:80" x14ac:dyDescent="0.2">
      <c r="B27" s="14"/>
      <c r="C27" s="14"/>
      <c r="D27" s="14"/>
      <c r="E27" s="14"/>
      <c r="F27" s="14" t="s">
        <v>109</v>
      </c>
      <c r="G27" s="14" t="s">
        <v>109</v>
      </c>
      <c r="H27" s="14" t="s">
        <v>109</v>
      </c>
      <c r="I27" s="14" t="s">
        <v>109</v>
      </c>
      <c r="J27" s="14" t="s">
        <v>109</v>
      </c>
      <c r="K27" s="14" t="s">
        <v>109</v>
      </c>
      <c r="L27" s="14" t="s">
        <v>109</v>
      </c>
      <c r="M27" s="14" t="s">
        <v>109</v>
      </c>
      <c r="N27" s="14"/>
      <c r="O27" s="14" t="str">
        <f t="shared" si="8"/>
        <v xml:space="preserve"> </v>
      </c>
      <c r="P27"/>
      <c r="Q27" s="2"/>
      <c r="R27" s="3"/>
      <c r="S27" s="7"/>
      <c r="V27" s="18"/>
      <c r="Y27" s="15"/>
      <c r="AA27" s="15"/>
      <c r="AC27" s="8"/>
      <c r="AD27" s="8"/>
      <c r="AE27" s="8"/>
      <c r="AM27" s="1">
        <f t="shared" si="6"/>
        <v>0</v>
      </c>
      <c r="AN27" s="1">
        <f t="shared" si="7"/>
        <v>0</v>
      </c>
      <c r="AO27" s="1" t="str">
        <f t="shared" si="11"/>
        <v/>
      </c>
      <c r="AP27" s="1" t="str">
        <f t="shared" si="12"/>
        <v/>
      </c>
      <c r="AQ27" s="1" t="str">
        <f t="shared" si="13"/>
        <v/>
      </c>
      <c r="AR27" s="1" t="str">
        <f t="shared" si="14"/>
        <v/>
      </c>
      <c r="AS27" s="1" t="str">
        <f t="shared" si="15"/>
        <v/>
      </c>
      <c r="AT27" s="1" t="str">
        <f t="shared" si="16"/>
        <v/>
      </c>
      <c r="AU27" s="1" t="str">
        <f t="shared" si="17"/>
        <v/>
      </c>
      <c r="AY27" s="15"/>
      <c r="AZ27" s="15"/>
      <c r="BE27" s="7"/>
      <c r="BF27" s="8"/>
    </row>
    <row r="28" spans="1:80" x14ac:dyDescent="0.2">
      <c r="B28" s="14"/>
      <c r="C28" s="14"/>
      <c r="D28" s="14"/>
      <c r="E28" s="14"/>
      <c r="F28" s="14" t="s">
        <v>109</v>
      </c>
      <c r="G28" s="14" t="s">
        <v>109</v>
      </c>
      <c r="H28" s="14" t="s">
        <v>109</v>
      </c>
      <c r="I28" s="14" t="s">
        <v>109</v>
      </c>
      <c r="J28" s="14" t="s">
        <v>109</v>
      </c>
      <c r="K28" s="14" t="s">
        <v>109</v>
      </c>
      <c r="L28" s="14" t="s">
        <v>109</v>
      </c>
      <c r="M28" s="14" t="s">
        <v>109</v>
      </c>
      <c r="N28" s="14"/>
      <c r="O28" s="14" t="str">
        <f t="shared" si="8"/>
        <v xml:space="preserve"> </v>
      </c>
      <c r="P28"/>
      <c r="Q28" s="2"/>
      <c r="R28" s="3"/>
      <c r="S28" s="7"/>
      <c r="V28" s="18"/>
      <c r="Y28" s="15"/>
      <c r="AA28" s="15"/>
      <c r="AC28" s="8"/>
      <c r="AD28" s="8"/>
      <c r="AE28" s="8"/>
      <c r="AM28" s="1">
        <f t="shared" si="6"/>
        <v>0</v>
      </c>
      <c r="AN28" s="1">
        <f t="shared" si="7"/>
        <v>0</v>
      </c>
      <c r="AO28" s="1" t="str">
        <f t="shared" si="11"/>
        <v/>
      </c>
      <c r="AP28" s="1" t="str">
        <f t="shared" si="12"/>
        <v/>
      </c>
      <c r="AQ28" s="1" t="str">
        <f t="shared" si="13"/>
        <v/>
      </c>
      <c r="AR28" s="1" t="str">
        <f t="shared" si="14"/>
        <v/>
      </c>
      <c r="AS28" s="1" t="str">
        <f t="shared" si="15"/>
        <v/>
      </c>
      <c r="AT28" s="1" t="str">
        <f t="shared" si="16"/>
        <v/>
      </c>
      <c r="AU28" s="1" t="str">
        <f t="shared" si="17"/>
        <v/>
      </c>
    </row>
    <row r="29" spans="1:80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/>
      <c r="Q29" s="2"/>
      <c r="R29" s="3"/>
      <c r="S29" s="7"/>
      <c r="T29" s="19"/>
      <c r="V29" s="18"/>
      <c r="Y29" s="15"/>
      <c r="AA29" s="15"/>
      <c r="AC29" s="8"/>
      <c r="AD29" s="8"/>
      <c r="AE29" s="8"/>
    </row>
    <row r="30" spans="1:80" ht="17" thickBot="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/>
      <c r="Q30" s="2"/>
      <c r="R30" s="3"/>
      <c r="S30" s="7"/>
      <c r="T30" s="19"/>
      <c r="V30" s="18"/>
      <c r="W30" s="17"/>
      <c r="Y30" s="15"/>
      <c r="AA30" s="15"/>
      <c r="AC30" s="8"/>
      <c r="AD30" s="8"/>
      <c r="AE30" s="8"/>
    </row>
    <row r="31" spans="1:80" x14ac:dyDescent="0.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/>
      <c r="Q31" s="2"/>
      <c r="R31" s="3"/>
      <c r="S31" s="7"/>
      <c r="T31" s="26"/>
      <c r="V31" s="18"/>
      <c r="Y31" s="15"/>
      <c r="AA31" s="15"/>
      <c r="AC31" s="8"/>
      <c r="AD31" s="8"/>
      <c r="AE31" s="8"/>
    </row>
    <row r="32" spans="1:80" x14ac:dyDescent="0.2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/>
      <c r="Q32" s="2"/>
      <c r="R32" s="3"/>
      <c r="S32" s="7"/>
      <c r="T32" s="19"/>
      <c r="V32" s="18"/>
      <c r="Y32" s="15"/>
      <c r="AA32" s="15"/>
      <c r="AC32" s="8"/>
      <c r="AD32" s="8"/>
      <c r="AE32" s="8"/>
      <c r="AY32" s="15"/>
      <c r="AZ32" s="15"/>
      <c r="BE32" s="7"/>
      <c r="BF32" s="8"/>
      <c r="BG32" s="7"/>
    </row>
    <row r="33" spans="2:80" x14ac:dyDescent="0.2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/>
      <c r="Q33" s="2"/>
      <c r="R33" s="3"/>
      <c r="S33" s="7"/>
      <c r="T33" s="19"/>
      <c r="V33" s="18"/>
      <c r="Y33" s="15"/>
      <c r="AA33" s="15"/>
      <c r="AC33" s="8"/>
      <c r="AD33" s="8"/>
      <c r="AE33" s="8"/>
      <c r="AY33" s="15"/>
      <c r="AZ33" s="15"/>
      <c r="BE33" s="7"/>
      <c r="BF33" s="8"/>
    </row>
    <row r="34" spans="2:80" s="17" customFormat="1" ht="17" thickBot="1" x14ac:dyDescent="0.25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/>
      <c r="Q34" s="2"/>
      <c r="R34" s="3"/>
      <c r="S34" s="7"/>
      <c r="T34" s="26"/>
      <c r="U34" s="1"/>
      <c r="V34" s="18"/>
      <c r="X34" s="1"/>
      <c r="Y34" s="15"/>
      <c r="Z34" s="1"/>
      <c r="AA34" s="15"/>
      <c r="AB34" s="1"/>
      <c r="AC34" s="8"/>
      <c r="AD34" s="8"/>
      <c r="AE34" s="8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5"/>
      <c r="AZ34" s="15"/>
      <c r="BA34" s="1"/>
      <c r="BB34" s="1"/>
      <c r="BC34" s="1"/>
      <c r="BD34" s="1"/>
      <c r="BE34" s="7"/>
      <c r="BF34" s="8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2:80" x14ac:dyDescent="0.2">
      <c r="B35" s="14"/>
      <c r="C35" s="14"/>
      <c r="D35" s="14"/>
      <c r="E35" s="14"/>
      <c r="F35" s="14" t="s">
        <v>109</v>
      </c>
      <c r="G35" s="14" t="s">
        <v>109</v>
      </c>
      <c r="H35" s="11"/>
      <c r="I35" s="11"/>
      <c r="J35" s="11"/>
      <c r="K35" s="11"/>
      <c r="L35" s="11"/>
      <c r="M35" s="11"/>
      <c r="O35" s="14" t="str">
        <f t="shared" si="8"/>
        <v xml:space="preserve"> </v>
      </c>
      <c r="Q35" s="2"/>
      <c r="R35" s="3"/>
      <c r="S35" s="7"/>
      <c r="T35" s="19"/>
      <c r="V35" s="18"/>
      <c r="Y35" s="15"/>
      <c r="AA35" s="15"/>
      <c r="AC35" s="8"/>
      <c r="AD35" s="8"/>
      <c r="AE35" s="16"/>
      <c r="AL35" s="1" t="str">
        <f t="shared" si="0"/>
        <v/>
      </c>
      <c r="AY35" s="15"/>
      <c r="AZ35" s="15"/>
      <c r="BE35" s="7"/>
      <c r="BF35" s="8"/>
    </row>
    <row r="36" spans="2:80" x14ac:dyDescent="0.2">
      <c r="B36" s="14"/>
      <c r="C36" s="14"/>
      <c r="D36" s="14"/>
      <c r="E36" s="24"/>
      <c r="F36" s="14"/>
      <c r="G36" s="14"/>
      <c r="H36" s="11"/>
      <c r="I36" s="11"/>
      <c r="J36" s="11"/>
      <c r="K36" s="11"/>
      <c r="L36" s="11"/>
      <c r="M36" s="11"/>
      <c r="O36" s="14">
        <f t="shared" si="8"/>
        <v>0</v>
      </c>
      <c r="Q36" s="2"/>
      <c r="R36" s="3"/>
      <c r="S36" s="7"/>
      <c r="T36" s="19"/>
      <c r="Y36" s="15"/>
      <c r="AA36" s="15"/>
      <c r="AC36" s="8"/>
      <c r="AD36" s="8"/>
      <c r="AE36" s="16"/>
    </row>
    <row r="37" spans="2:80" x14ac:dyDescent="0.2">
      <c r="B37" s="14"/>
      <c r="C37" s="14"/>
      <c r="D37" s="14"/>
      <c r="E37" s="24"/>
      <c r="F37" s="14"/>
      <c r="G37" s="14"/>
      <c r="H37" s="11"/>
      <c r="I37" s="11"/>
      <c r="J37" s="11"/>
      <c r="K37" s="11"/>
      <c r="L37" s="11"/>
      <c r="M37" s="11"/>
      <c r="O37" s="14">
        <f t="shared" si="8"/>
        <v>0</v>
      </c>
      <c r="Q37" s="2"/>
      <c r="R37" s="3"/>
      <c r="S37" s="7"/>
      <c r="T37" s="19"/>
      <c r="Y37" s="15"/>
      <c r="AA37" s="15"/>
      <c r="AC37" s="8"/>
      <c r="AD37" s="8"/>
      <c r="AE37" s="16"/>
    </row>
    <row r="38" spans="2:80" x14ac:dyDescent="0.2">
      <c r="B38" s="14"/>
      <c r="C38" s="14"/>
      <c r="D38" s="14"/>
      <c r="E38" s="24"/>
      <c r="F38" s="14"/>
      <c r="G38" s="14"/>
      <c r="L38" s="11"/>
      <c r="M38" s="11"/>
      <c r="O38" s="14">
        <f t="shared" si="8"/>
        <v>0</v>
      </c>
      <c r="Q38" s="2"/>
      <c r="R38" s="3"/>
      <c r="S38" s="7"/>
      <c r="T38" s="19"/>
      <c r="Y38" s="15"/>
      <c r="AA38" s="15"/>
      <c r="AC38" s="8"/>
      <c r="AD38" s="8"/>
      <c r="AE38" s="16"/>
    </row>
    <row r="39" spans="2:80" x14ac:dyDescent="0.2">
      <c r="B39" s="14"/>
      <c r="C39" s="14"/>
      <c r="D39" s="14"/>
      <c r="E39" s="14"/>
      <c r="F39" s="14"/>
      <c r="G39" s="14"/>
      <c r="L39" s="11"/>
      <c r="M39" s="11"/>
      <c r="O39" s="14">
        <f t="shared" si="8"/>
        <v>0</v>
      </c>
      <c r="Q39" s="2"/>
      <c r="R39" s="3"/>
      <c r="S39" s="7"/>
      <c r="T39" s="19"/>
      <c r="Y39" s="15"/>
      <c r="AA39" s="15"/>
      <c r="AC39" s="8"/>
      <c r="AD39" s="8"/>
      <c r="AE39" s="16"/>
    </row>
    <row r="40" spans="2:80" x14ac:dyDescent="0.2">
      <c r="B40" s="14"/>
      <c r="C40" s="14"/>
      <c r="D40" s="14"/>
      <c r="E40" s="14"/>
      <c r="F40" s="14"/>
      <c r="G40" s="14"/>
      <c r="O40" s="14">
        <f t="shared" si="8"/>
        <v>0</v>
      </c>
      <c r="Q40" s="2"/>
      <c r="R40" s="3"/>
      <c r="S40" s="7"/>
      <c r="T40" s="19"/>
      <c r="Y40" s="15"/>
      <c r="AA40" s="15"/>
      <c r="AC40" s="8"/>
      <c r="AD40" s="8"/>
      <c r="AE40" s="16"/>
    </row>
    <row r="41" spans="2:80" x14ac:dyDescent="0.2">
      <c r="B41" s="14"/>
      <c r="C41" s="14"/>
      <c r="D41" s="14"/>
      <c r="E41" s="14"/>
      <c r="F41" s="14"/>
      <c r="G41" s="14"/>
      <c r="O41" s="14">
        <f t="shared" si="8"/>
        <v>0</v>
      </c>
      <c r="Q41" s="2"/>
      <c r="R41" s="3"/>
      <c r="S41" s="7"/>
      <c r="T41" s="19"/>
      <c r="Y41" s="15"/>
      <c r="AA41" s="15"/>
      <c r="AC41" s="8"/>
      <c r="AD41" s="8"/>
      <c r="AE41" s="16"/>
    </row>
    <row r="42" spans="2:80" x14ac:dyDescent="0.2">
      <c r="O42" s="14">
        <f t="shared" si="8"/>
        <v>0</v>
      </c>
      <c r="Y42" s="15"/>
      <c r="AA42" s="15"/>
      <c r="AC42" s="8"/>
      <c r="AD42" s="8"/>
      <c r="AE42" s="16"/>
    </row>
    <row r="67" spans="22:58" x14ac:dyDescent="0.2">
      <c r="AY67" s="15"/>
      <c r="AZ67" s="15"/>
      <c r="BE67" s="7"/>
      <c r="BF67" s="7"/>
    </row>
    <row r="71" spans="22:58" x14ac:dyDescent="0.2">
      <c r="V71" s="1">
        <f>390/24</f>
        <v>16.25</v>
      </c>
    </row>
  </sheetData>
  <autoFilter ref="A13:AX67" xr:uid="{B3D1077A-180E-2048-ACB0-3483679027C1}"/>
  <mergeCells count="4">
    <mergeCell ref="AL12:AV12"/>
    <mergeCell ref="AY12:BB12"/>
    <mergeCell ref="C12:L12"/>
    <mergeCell ref="C11:M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medium</vt:lpstr>
      <vt:lpstr>vessel setup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2025-03-21T18:19:30Z</dcterms:created>
  <dcterms:modified xsi:type="dcterms:W3CDTF">2026-09-14T20:21:00Z</dcterms:modified>
</cp:coreProperties>
</file>