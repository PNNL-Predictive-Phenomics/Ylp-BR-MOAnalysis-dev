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Biostat2L_81/"/>
    </mc:Choice>
  </mc:AlternateContent>
  <xr:revisionPtr revIDLastSave="0" documentId="13_ncr:1_{C26A158E-774C-7942-9B26-468120089FFD}" xr6:coauthVersionLast="47" xr6:coauthVersionMax="47" xr10:uidLastSave="{00000000-0000-0000-0000-000000000000}"/>
  <bookViews>
    <workbookView xWindow="0" yWindow="600" windowWidth="38400" windowHeight="1954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6" l="1"/>
  <c r="Z28" i="6"/>
  <c r="AL35" i="6"/>
  <c r="AN17" i="6"/>
  <c r="AB20" i="6" s="1"/>
  <c r="AC20" i="6" s="1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8" i="6"/>
  <c r="Y27" i="6"/>
  <c r="Y26" i="6"/>
  <c r="Y25" i="6"/>
  <c r="Y24" i="6"/>
  <c r="Y23" i="6"/>
  <c r="Y22" i="6"/>
  <c r="Y21" i="6"/>
  <c r="Y20" i="6"/>
  <c r="Y19" i="6"/>
  <c r="Y18" i="6"/>
  <c r="Y17" i="6"/>
  <c r="AA18" i="6" l="1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28" i="6"/>
  <c r="AD27" i="6"/>
  <c r="AE27" i="6"/>
  <c r="AE26" i="6"/>
  <c r="AD26" i="6"/>
  <c r="AE25" i="6"/>
  <c r="AD25" i="6"/>
  <c r="AE24" i="6"/>
  <c r="AD24" i="6"/>
  <c r="AA28" i="6"/>
  <c r="Z23" i="6"/>
  <c r="AA23" i="6"/>
  <c r="Z21" i="6"/>
  <c r="AA21" i="6"/>
  <c r="AA27" i="6"/>
  <c r="Z27" i="6"/>
  <c r="AA26" i="6"/>
  <c r="Z26" i="6"/>
  <c r="AA22" i="6"/>
  <c r="AA25" i="6"/>
  <c r="Z25" i="6"/>
  <c r="AB28" i="6"/>
  <c r="AC28" i="6" s="1"/>
  <c r="AA24" i="6"/>
  <c r="Z24" i="6"/>
  <c r="AB24" i="6"/>
  <c r="AC24" i="6" s="1"/>
  <c r="AB25" i="6"/>
  <c r="AC25" i="6" s="1"/>
  <c r="AB27" i="6"/>
  <c r="AC27" i="6" s="1"/>
  <c r="AB26" i="6"/>
  <c r="AC26" i="6" s="1"/>
</calcChain>
</file>

<file path=xl/sharedStrings.xml><?xml version="1.0" encoding="utf-8"?>
<sst xmlns="http://schemas.openxmlformats.org/spreadsheetml/2006/main" count="453" uniqueCount="200">
  <si>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</si>
  <si>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</si>
  <si>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</si>
  <si>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</si>
  <si>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</si>
  <si>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</si>
  <si>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</si>
  <si>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</si>
  <si>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</si>
  <si>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</si>
  <si>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</si>
  <si>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</si>
  <si>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</si>
  <si>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</si>
  <si>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</si>
  <si>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</si>
  <si>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</si>
  <si>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</si>
  <si>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</si>
  <si>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</si>
  <si>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</si>
  <si>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</si>
  <si>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</si>
  <si>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</si>
  <si>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</si>
  <si>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</si>
  <si>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</si>
  <si>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</si>
  <si>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</si>
  <si>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</si>
  <si>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</si>
  <si>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</si>
  <si>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</si>
  <si>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</si>
  <si>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</si>
  <si>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</si>
  <si>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</si>
  <si>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</si>
  <si>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</si>
  <si>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</si>
  <si>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</si>
  <si>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</si>
  <si>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</si>
  <si>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</si>
  <si>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</si>
  <si>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</si>
  <si>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</si>
  <si>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</si>
  <si>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</si>
  <si>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</si>
  <si>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</si>
  <si>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</si>
  <si>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</si>
  <si>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</si>
  <si>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</si>
  <si>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</si>
  <si>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</si>
  <si>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</si>
  <si>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</si>
  <si>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</si>
  <si>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</si>
  <si>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</si>
  <si>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</si>
  <si>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</si>
  <si>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</si>
  <si>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</si>
  <si>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</si>
  <si>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</si>
  <si>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</si>
  <si>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</si>
  <si>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</si>
  <si>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</si>
  <si>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</si>
  <si>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</si>
  <si>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</si>
  <si>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</si>
  <si>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</si>
  <si>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</si>
  <si>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</si>
  <si>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</si>
  <si>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</si>
  <si>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</si>
  <si>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</si>
  <si>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</si>
  <si>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</si>
  <si>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</si>
  <si>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</si>
  <si>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</si>
  <si>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</si>
  <si>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</si>
  <si>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</si>
  <si>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</si>
  <si>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</si>
  <si>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</si>
  <si>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</si>
  <si>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</si>
  <si>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</si>
  <si>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</si>
  <si>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</si>
  <si>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</si>
  <si>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</si>
  <si>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</si>
  <si>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</si>
  <si>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</si>
  <si>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</si>
  <si>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</si>
  <si>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</si>
  <si>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</si>
  <si>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</si>
  <si>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</si>
  <si>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 xml:space="preserve"> </t>
  </si>
  <si>
    <t>Time inoculation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</si>
  <si>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</si>
  <si>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</si>
  <si>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</si>
  <si>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</si>
  <si>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</si>
  <si>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</si>
  <si>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</si>
  <si>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</si>
  <si>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</si>
  <si>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</si>
  <si>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</si>
  <si>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</si>
  <si>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</si>
  <si>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</si>
  <si>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</si>
  <si>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</si>
  <si>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</si>
  <si>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</si>
  <si>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Biostat2L_71</t>
  </si>
  <si>
    <t>oscillating</t>
  </si>
  <si>
    <t>25%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</si>
  <si>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</si>
  <si>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</si>
  <si>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</si>
  <si>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</si>
  <si>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</si>
  <si>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</si>
  <si>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</si>
  <si>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</si>
  <si>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</si>
  <si>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</si>
  <si>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</si>
  <si>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</si>
  <si>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</si>
  <si>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</si>
  <si>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</si>
  <si>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</si>
  <si>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</si>
  <si>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</si>
  <si>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</si>
  <si>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</si>
  <si>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</si>
  <si>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</si>
  <si>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</si>
  <si>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</si>
  <si>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</si>
  <si>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</si>
  <si>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</si>
  <si>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</si>
  <si>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</si>
  <si>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</si>
  <si>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</si>
  <si>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</si>
  <si>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</si>
  <si>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</si>
  <si>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</si>
  <si>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</si>
  <si>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</si>
  <si>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</si>
  <si>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</si>
  <si>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</si>
  <si>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</si>
  <si>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</si>
  <si>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</si>
  <si>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</si>
  <si>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</si>
  <si>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</si>
  <si>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400 (0%)-600(50%)-800(100%)</t>
  </si>
  <si>
    <t>(0.325 (0%) - 0.5 (25%) - 1.125 (100%)</t>
  </si>
  <si>
    <t>pO2 - 25%</t>
  </si>
  <si>
    <t>~35 mL in 250 ML flasks</t>
  </si>
  <si>
    <t>Control (PO1g+leu2)</t>
  </si>
  <si>
    <t>Biostat2L_72</t>
  </si>
  <si>
    <t>Biostat2L_80</t>
  </si>
  <si>
    <t>Biostat2L_81</t>
  </si>
  <si>
    <t>Oscillating</t>
  </si>
  <si>
    <t>Jeff_SloHot50_Biostat 2L 80-1</t>
  </si>
  <si>
    <t>Jeff_SloHot50_Biostat 2L 80-2</t>
  </si>
  <si>
    <t>Jeff_SloHot50_Biostat 2L 80-3</t>
  </si>
  <si>
    <t>Jeff_SloHot50_Biostat 2L 80-4</t>
  </si>
  <si>
    <t>Jeff_SloHot50_Biostat 2L 80-5</t>
  </si>
  <si>
    <t>Jeff_SloHot50_Biostat 2L 80-6</t>
  </si>
  <si>
    <t>Jeff_SloHot50_Biostat 2L 80-7</t>
  </si>
  <si>
    <t>Jeff_SloHot50_Biostat 2L 80-8</t>
  </si>
  <si>
    <t>Jeff_SloHot50_Biostat 2L 80-9</t>
  </si>
  <si>
    <t>Jeff_SloHot50_Biostat 2L 80-10</t>
  </si>
  <si>
    <t>Jeff_SloHot50_Biostat 2L 80-11</t>
  </si>
  <si>
    <t>Jeff_SloHot50_Biostat 2L 80-12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</si>
</sst>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0" fontId="10" fillId="2" borderId="0" applyNumberFormat="0" applyBorder="0" applyAlignment="0" applyProtection="0"/>
    <xf numFmtId="0" fontId="11" fillId="3" borderId="1" applyNumberFormat="0" applyAlignment="0" applyProtection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7" fillId="0" borderId="0" xfId="1"/>
    <xf numFmtId="14" fontId="7" fillId="0" borderId="0" xfId="1" applyNumberFormat="1"/>
    <xf numFmtId="18" fontId="7" fillId="0" borderId="0" xfId="1" applyNumberFormat="1"/>
    <xf numFmtId="0" fontId="8" fillId="0" borderId="0" xfId="1" applyFont="1"/>
    <xf numFmtId="0" fontId="9" fillId="0" borderId="0" xfId="1" applyFont="1"/>
    <xf numFmtId="46" fontId="7" fillId="0" borderId="0" xfId="1" applyNumberFormat="1"/>
    <xf numFmtId="164" fontId="7" fillId="0" borderId="0" xfId="1" applyNumberFormat="1"/>
    <xf numFmtId="165" fontId="7" fillId="0" borderId="0" xfId="1" applyNumberFormat="1"/>
    <xf numFmtId="3" fontId="7" fillId="0" borderId="0" xfId="1" applyNumberFormat="1"/>
    <xf numFmtId="0" fontId="10" fillId="2" borderId="0" xfId="2" applyBorder="1" applyAlignment="1">
      <alignment horizontal="center"/>
    </xf>
    <xf numFmtId="0" fontId="7" fillId="0" borderId="3" xfId="1" applyBorder="1"/>
    <xf numFmtId="0" fontId="7" fillId="0" borderId="4" xfId="1" applyBorder="1"/>
    <xf numFmtId="0" fontId="7" fillId="0" borderId="0" xfId="1" applyAlignment="1">
      <alignment wrapText="1"/>
    </xf>
    <xf numFmtId="0" fontId="0" fillId="0" borderId="3" xfId="0" applyBorder="1"/>
    <xf numFmtId="2" fontId="7" fillId="0" borderId="0" xfId="1" applyNumberFormat="1"/>
    <xf numFmtId="165" fontId="12" fillId="0" borderId="0" xfId="1" applyNumberFormat="1" applyFont="1"/>
    <xf numFmtId="0" fontId="7" fillId="0" borderId="5" xfId="1" applyBorder="1"/>
    <xf numFmtId="0" fontId="13" fillId="0" borderId="0" xfId="1" applyFont="1"/>
    <xf numFmtId="0" fontId="6" fillId="0" borderId="0" xfId="1" applyFont="1"/>
    <xf numFmtId="0" fontId="14" fillId="0" borderId="3" xfId="0" applyFont="1" applyBorder="1"/>
    <xf numFmtId="0" fontId="5" fillId="0" borderId="0" xfId="1" applyFont="1"/>
    <xf numFmtId="0" fontId="5" fillId="0" borderId="0" xfId="1" applyFont="1" applyAlignment="1">
      <alignment horizontal="left"/>
    </xf>
    <xf numFmtId="18" fontId="5" fillId="0" borderId="0" xfId="1" applyNumberFormat="1" applyFont="1"/>
    <xf numFmtId="0" fontId="15" fillId="0" borderId="3" xfId="0" applyFont="1" applyBorder="1"/>
    <xf numFmtId="0" fontId="5" fillId="0" borderId="0" xfId="1" applyFont="1" applyAlignment="1">
      <alignment wrapText="1"/>
    </xf>
    <xf numFmtId="0" fontId="4" fillId="0" borderId="0" xfId="1" applyFont="1"/>
    <xf numFmtId="9" fontId="4" fillId="0" borderId="0" xfId="1" applyNumberFormat="1" applyFont="1"/>
    <xf numFmtId="0" fontId="16" fillId="0" borderId="0" xfId="0" applyFont="1"/>
    <xf numFmtId="14" fontId="17" fillId="0" borderId="0" xfId="1" applyNumberFormat="1" applyFont="1"/>
    <xf numFmtId="0" fontId="17" fillId="0" borderId="0" xfId="1" applyFont="1"/>
    <xf numFmtId="0" fontId="11" fillId="0" borderId="0" xfId="3" applyFill="1" applyBorder="1" applyAlignment="1">
      <alignment horizontal="center"/>
    </xf>
    <xf numFmtId="0" fontId="7" fillId="0" borderId="0" xfId="1" applyAlignment="1">
      <alignment horizontal="center" wrapText="1"/>
    </xf>
    <xf numFmtId="0" fontId="4" fillId="0" borderId="0" xfId="1" applyFont="1" applyAlignment="1">
      <alignment wrapText="1"/>
    </xf>
    <xf numFmtId="0" fontId="3" fillId="0" borderId="0" xfId="1" applyFont="1"/>
    <xf numFmtId="18" fontId="3" fillId="0" borderId="0" xfId="1" applyNumberFormat="1" applyFont="1"/>
    <xf numFmtId="0" fontId="2" fillId="0" borderId="0" xfId="1" applyFont="1"/>
    <xf numFmtId="0" fontId="1" fillId="0" borderId="0" xfId="1" applyFont="1"/>
    <xf numFmtId="0" fontId="10" fillId="2" borderId="2" xfId="2" applyBorder="1" applyAlignment="1">
      <alignment horizontal="center"/>
    </xf>
    <xf numFmtId="0" fontId="11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24</c:v>
                </c:pt>
                <c:pt idx="7" formatCode="0.0">
                  <c:v>24</c:v>
                </c:pt>
                <c:pt idx="8" formatCode="0.0">
                  <c:v>24</c:v>
                </c:pt>
                <c:pt idx="9" formatCode="0.0">
                  <c:v>48</c:v>
                </c:pt>
                <c:pt idx="10" formatCode="0.0">
                  <c:v>48</c:v>
                </c:pt>
                <c:pt idx="11" formatCode="0.0">
                  <c:v>48</c:v>
                </c:pt>
                <c:pt idx="12" formatCode="0.0">
                  <c:v>72</c:v>
                </c:pt>
                <c:pt idx="13" formatCode="0.0">
                  <c:v>72</c:v>
                </c:pt>
                <c:pt idx="14" formatCode="0.0">
                  <c:v>72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0.63400000000000001</c:v>
                </c:pt>
                <c:pt idx="4">
                  <c:v>0.499</c:v>
                </c:pt>
                <c:pt idx="5">
                  <c:v>0.54200000000000004</c:v>
                </c:pt>
                <c:pt idx="6">
                  <c:v>30.4</c:v>
                </c:pt>
                <c:pt idx="7">
                  <c:v>23.32</c:v>
                </c:pt>
                <c:pt idx="8">
                  <c:v>23.56</c:v>
                </c:pt>
                <c:pt idx="9">
                  <c:v>35.28</c:v>
                </c:pt>
                <c:pt idx="10">
                  <c:v>34.08</c:v>
                </c:pt>
                <c:pt idx="11">
                  <c:v>33.36</c:v>
                </c:pt>
                <c:pt idx="12">
                  <c:v>35.200000000000003</c:v>
                </c:pt>
                <c:pt idx="13">
                  <c:v>37.28</c:v>
                </c:pt>
                <c:pt idx="14">
                  <c:v>36.64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11" workbookViewId="0">
      <selection activeCell="X27" sqref="X27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117</v>
      </c>
    </row>
    <row r="2" spans="1:9" x14ac:dyDescent="0.2">
      <c r="B2" s="21"/>
    </row>
    <row r="3" spans="1:9" x14ac:dyDescent="0.2">
      <c r="A3" s="26" t="s">
        <v>118</v>
      </c>
    </row>
    <row r="5" spans="1:9" x14ac:dyDescent="0.2">
      <c r="B5" s="36" t="s">
        <v>120</v>
      </c>
      <c r="C5" s="36" t="s">
        <v>121</v>
      </c>
      <c r="D5" s="36" t="s">
        <v>123</v>
      </c>
      <c r="F5" s="36" t="s">
        <v>133</v>
      </c>
      <c r="G5" s="36" t="s">
        <v>122</v>
      </c>
      <c r="H5" s="1" t="s">
        <v>139</v>
      </c>
      <c r="I5" s="1" t="s">
        <v>140</v>
      </c>
    </row>
    <row r="6" spans="1:9" x14ac:dyDescent="0.2">
      <c r="B6" s="36" t="s">
        <v>119</v>
      </c>
      <c r="C6" s="36" t="s">
        <v>17</v>
      </c>
      <c r="D6" s="36" t="s">
        <v>183</v>
      </c>
      <c r="F6" s="36" t="s">
        <v>131</v>
      </c>
    </row>
    <row r="7" spans="1:9" x14ac:dyDescent="0.2">
      <c r="B7" s="36" t="s">
        <v>119</v>
      </c>
      <c r="C7" s="36" t="s">
        <v>112</v>
      </c>
      <c r="D7" s="36" t="s">
        <v>124</v>
      </c>
      <c r="F7" s="36" t="s">
        <v>131</v>
      </c>
      <c r="G7" s="28" t="s">
        <v>157</v>
      </c>
      <c r="H7" s="1" t="s">
        <v>158</v>
      </c>
      <c r="I7" s="1" t="s">
        <v>159</v>
      </c>
    </row>
    <row r="8" spans="1:9" x14ac:dyDescent="0.2">
      <c r="B8" s="36" t="s">
        <v>119</v>
      </c>
      <c r="C8" s="36" t="s">
        <v>113</v>
      </c>
      <c r="D8" s="36" t="s">
        <v>125</v>
      </c>
      <c r="F8" s="36" t="s">
        <v>131</v>
      </c>
      <c r="G8" s="28" t="s">
        <v>155</v>
      </c>
      <c r="H8" s="1" t="s">
        <v>156</v>
      </c>
      <c r="I8" s="1" t="s">
        <v>138</v>
      </c>
    </row>
    <row r="9" spans="1:9" x14ac:dyDescent="0.2">
      <c r="B9" s="36" t="s">
        <v>126</v>
      </c>
      <c r="C9" s="36" t="s">
        <v>17</v>
      </c>
      <c r="D9" s="36" t="s">
        <v>161</v>
      </c>
      <c r="F9" s="36" t="s">
        <v>131</v>
      </c>
      <c r="G9" s="36" t="s">
        <v>131</v>
      </c>
      <c r="H9" s="28" t="s">
        <v>153</v>
      </c>
      <c r="I9" s="28" t="s">
        <v>154</v>
      </c>
    </row>
    <row r="10" spans="1:9" x14ac:dyDescent="0.2">
      <c r="B10" s="36" t="s">
        <v>126</v>
      </c>
      <c r="C10" s="36" t="s">
        <v>112</v>
      </c>
      <c r="D10" s="36" t="s">
        <v>160</v>
      </c>
      <c r="F10" s="36" t="s">
        <v>131</v>
      </c>
      <c r="G10" s="28" t="s">
        <v>147</v>
      </c>
      <c r="H10" s="1" t="s">
        <v>148</v>
      </c>
    </row>
    <row r="11" spans="1:9" x14ac:dyDescent="0.2">
      <c r="B11" s="36" t="s">
        <v>126</v>
      </c>
      <c r="C11" s="36" t="s">
        <v>113</v>
      </c>
      <c r="D11" s="36" t="s">
        <v>136</v>
      </c>
      <c r="F11" s="36" t="s">
        <v>131</v>
      </c>
      <c r="G11" s="28" t="s">
        <v>135</v>
      </c>
      <c r="H11" s="1" t="s">
        <v>143</v>
      </c>
      <c r="I11" s="1" t="s">
        <v>138</v>
      </c>
    </row>
    <row r="12" spans="1:9" x14ac:dyDescent="0.2">
      <c r="B12" s="36" t="s">
        <v>127</v>
      </c>
      <c r="C12" s="36" t="s">
        <v>17</v>
      </c>
      <c r="D12" s="36" t="s">
        <v>166</v>
      </c>
      <c r="F12" s="36" t="s">
        <v>131</v>
      </c>
      <c r="G12" s="28" t="s">
        <v>134</v>
      </c>
      <c r="H12" s="1" t="s">
        <v>141</v>
      </c>
      <c r="I12" s="1" t="s">
        <v>142</v>
      </c>
    </row>
    <row r="13" spans="1:9" x14ac:dyDescent="0.2">
      <c r="B13" s="36" t="s">
        <v>127</v>
      </c>
      <c r="C13" s="36" t="s">
        <v>112</v>
      </c>
      <c r="D13" s="36" t="s">
        <v>167</v>
      </c>
      <c r="F13" s="36" t="s">
        <v>131</v>
      </c>
      <c r="G13" s="28" t="s">
        <v>144</v>
      </c>
      <c r="H13" s="1" t="s">
        <v>145</v>
      </c>
      <c r="I13" s="1" t="s">
        <v>146</v>
      </c>
    </row>
    <row r="14" spans="1:9" x14ac:dyDescent="0.2">
      <c r="B14" s="36" t="s">
        <v>127</v>
      </c>
      <c r="C14" s="36" t="s">
        <v>113</v>
      </c>
      <c r="D14" s="36" t="s">
        <v>168</v>
      </c>
      <c r="F14" s="36" t="s">
        <v>131</v>
      </c>
      <c r="G14" s="28" t="s">
        <v>147</v>
      </c>
      <c r="H14" s="1" t="s">
        <v>148</v>
      </c>
    </row>
    <row r="15" spans="1:9" x14ac:dyDescent="0.2">
      <c r="B15" s="36" t="s">
        <v>128</v>
      </c>
      <c r="C15" s="36" t="s">
        <v>17</v>
      </c>
      <c r="D15" s="36" t="s">
        <v>183</v>
      </c>
      <c r="F15" s="36" t="s">
        <v>131</v>
      </c>
    </row>
    <row r="16" spans="1:9" x14ac:dyDescent="0.2">
      <c r="B16" s="36" t="s">
        <v>128</v>
      </c>
      <c r="C16" s="36" t="s">
        <v>112</v>
      </c>
      <c r="D16" s="36" t="s">
        <v>168</v>
      </c>
      <c r="F16" s="36" t="s">
        <v>131</v>
      </c>
      <c r="G16" s="28" t="s">
        <v>147</v>
      </c>
      <c r="H16" s="1" t="s">
        <v>148</v>
      </c>
    </row>
    <row r="17" spans="1:9" x14ac:dyDescent="0.2">
      <c r="B17" s="36" t="s">
        <v>128</v>
      </c>
      <c r="C17" s="36" t="s">
        <v>113</v>
      </c>
      <c r="D17" s="36" t="s">
        <v>136</v>
      </c>
      <c r="F17" s="36" t="s">
        <v>131</v>
      </c>
      <c r="G17" s="28" t="s">
        <v>135</v>
      </c>
      <c r="H17" s="1" t="s">
        <v>143</v>
      </c>
    </row>
    <row r="18" spans="1:9" x14ac:dyDescent="0.2">
      <c r="B18" s="36" t="s">
        <v>129</v>
      </c>
      <c r="C18" s="36" t="s">
        <v>17</v>
      </c>
      <c r="D18" s="36" t="s">
        <v>169</v>
      </c>
      <c r="F18" s="36" t="s">
        <v>131</v>
      </c>
      <c r="G18" s="28" t="s">
        <v>137</v>
      </c>
      <c r="H18" s="1" t="s">
        <v>149</v>
      </c>
      <c r="I18" s="1" t="s">
        <v>138</v>
      </c>
    </row>
    <row r="19" spans="1:9" x14ac:dyDescent="0.2">
      <c r="B19" s="36" t="s">
        <v>129</v>
      </c>
      <c r="C19" s="36" t="s">
        <v>112</v>
      </c>
      <c r="D19" s="36" t="s">
        <v>170</v>
      </c>
      <c r="F19" s="36" t="s">
        <v>131</v>
      </c>
      <c r="G19" s="28" t="s">
        <v>150</v>
      </c>
      <c r="H19" s="1" t="s">
        <v>151</v>
      </c>
      <c r="I19" s="1" t="s">
        <v>152</v>
      </c>
    </row>
    <row r="20" spans="1:9" x14ac:dyDescent="0.2">
      <c r="B20" s="36" t="s">
        <v>129</v>
      </c>
      <c r="C20" s="36" t="s">
        <v>113</v>
      </c>
      <c r="D20" s="36" t="s">
        <v>171</v>
      </c>
      <c r="F20" s="36" t="s">
        <v>131</v>
      </c>
      <c r="G20" s="28" t="s">
        <v>153</v>
      </c>
      <c r="H20" s="28" t="s">
        <v>154</v>
      </c>
    </row>
    <row r="21" spans="1:9" x14ac:dyDescent="0.2">
      <c r="B21" s="36" t="s">
        <v>130</v>
      </c>
      <c r="C21" s="36" t="s">
        <v>17</v>
      </c>
      <c r="D21" s="36" t="s">
        <v>183</v>
      </c>
      <c r="F21" s="36" t="s">
        <v>132</v>
      </c>
    </row>
    <row r="22" spans="1:9" x14ac:dyDescent="0.2">
      <c r="B22" s="36" t="s">
        <v>130</v>
      </c>
      <c r="C22" s="36" t="s">
        <v>112</v>
      </c>
      <c r="D22" s="36" t="s">
        <v>136</v>
      </c>
      <c r="F22" s="36" t="s">
        <v>132</v>
      </c>
      <c r="G22" s="28" t="s">
        <v>135</v>
      </c>
      <c r="H22" s="1" t="s">
        <v>143</v>
      </c>
    </row>
    <row r="23" spans="1:9" x14ac:dyDescent="0.2">
      <c r="B23" s="36" t="s">
        <v>130</v>
      </c>
      <c r="C23" s="36" t="s">
        <v>113</v>
      </c>
      <c r="D23" s="36" t="s">
        <v>168</v>
      </c>
      <c r="F23" s="36" t="s">
        <v>132</v>
      </c>
      <c r="G23" s="28" t="s">
        <v>147</v>
      </c>
      <c r="H23" s="1" t="s">
        <v>148</v>
      </c>
    </row>
    <row r="24" spans="1:9" x14ac:dyDescent="0.2">
      <c r="B24" s="36" t="s">
        <v>184</v>
      </c>
      <c r="C24" s="36" t="s">
        <v>17</v>
      </c>
      <c r="D24" s="36" t="s">
        <v>136</v>
      </c>
      <c r="F24" s="36" t="s">
        <v>131</v>
      </c>
      <c r="G24" s="28" t="s">
        <v>135</v>
      </c>
      <c r="H24" s="1" t="s">
        <v>143</v>
      </c>
    </row>
    <row r="25" spans="1:9" x14ac:dyDescent="0.2">
      <c r="B25" s="36" t="s">
        <v>184</v>
      </c>
      <c r="C25" s="36" t="s">
        <v>112</v>
      </c>
      <c r="D25" t="s">
        <v>168</v>
      </c>
      <c r="F25" s="36" t="s">
        <v>131</v>
      </c>
      <c r="G25" s="28" t="s">
        <v>147</v>
      </c>
      <c r="H25" s="1" t="s">
        <v>148</v>
      </c>
    </row>
    <row r="26" spans="1:9" x14ac:dyDescent="0.2">
      <c r="B26" s="36" t="s">
        <v>185</v>
      </c>
      <c r="C26" s="36" t="s">
        <v>113</v>
      </c>
      <c r="D26" s="36" t="s">
        <v>183</v>
      </c>
      <c r="F26" s="36" t="s">
        <v>132</v>
      </c>
    </row>
    <row r="27" spans="1:9" x14ac:dyDescent="0.2">
      <c r="B27" s="36" t="s">
        <v>186</v>
      </c>
      <c r="C27" s="36" t="s">
        <v>17</v>
      </c>
      <c r="D27" s="36" t="s">
        <v>183</v>
      </c>
      <c r="F27" s="36" t="s">
        <v>132</v>
      </c>
    </row>
    <row r="28" spans="1:9" x14ac:dyDescent="0.2">
      <c r="B28" s="36" t="s">
        <v>186</v>
      </c>
      <c r="C28" s="36" t="s">
        <v>112</v>
      </c>
      <c r="D28" s="36" t="s">
        <v>168</v>
      </c>
      <c r="F28" s="36" t="s">
        <v>131</v>
      </c>
      <c r="G28" s="28" t="s">
        <v>147</v>
      </c>
      <c r="H28" s="1" t="s">
        <v>148</v>
      </c>
    </row>
    <row r="29" spans="1:9" x14ac:dyDescent="0.2">
      <c r="B29" s="36" t="s">
        <v>186</v>
      </c>
      <c r="C29" s="36" t="s">
        <v>113</v>
      </c>
      <c r="D29" s="36" t="s">
        <v>136</v>
      </c>
      <c r="F29" s="36" t="s">
        <v>131</v>
      </c>
      <c r="G29" s="28" t="s">
        <v>135</v>
      </c>
      <c r="H29" s="1" t="s">
        <v>143</v>
      </c>
    </row>
    <row r="30" spans="1:9" x14ac:dyDescent="0.2">
      <c r="A30" s="26" t="s">
        <v>162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4" t="s">
        <v>111</v>
      </c>
      <c r="G32" s="1" t="s">
        <v>4</v>
      </c>
      <c r="H32" s="34" t="s">
        <v>78</v>
      </c>
    </row>
    <row r="33" spans="1:17" x14ac:dyDescent="0.2">
      <c r="C33" s="34" t="s">
        <v>182</v>
      </c>
      <c r="E33" s="2">
        <v>46272</v>
      </c>
      <c r="F33" s="35">
        <v>0.5625</v>
      </c>
      <c r="G33" s="34" t="s">
        <v>183</v>
      </c>
      <c r="H33" s="34" t="s">
        <v>163</v>
      </c>
    </row>
    <row r="34" spans="1:17" x14ac:dyDescent="0.2">
      <c r="C34" s="34" t="s">
        <v>182</v>
      </c>
      <c r="E34" s="2">
        <v>46272</v>
      </c>
      <c r="F34" s="35">
        <v>0.5625</v>
      </c>
      <c r="G34" s="34" t="s">
        <v>136</v>
      </c>
      <c r="H34" s="34" t="s">
        <v>163</v>
      </c>
    </row>
    <row r="35" spans="1:17" x14ac:dyDescent="0.2">
      <c r="C35" s="34" t="s">
        <v>182</v>
      </c>
      <c r="E35" s="2">
        <v>46272</v>
      </c>
      <c r="F35" s="35">
        <v>0.5625</v>
      </c>
      <c r="G35" s="34" t="s">
        <v>168</v>
      </c>
      <c r="H35" s="34" t="s">
        <v>163</v>
      </c>
    </row>
    <row r="37" spans="1:17" x14ac:dyDescent="0.2">
      <c r="A37" s="34"/>
      <c r="H37" s="34"/>
      <c r="I37" s="34"/>
    </row>
    <row r="38" spans="1:17" x14ac:dyDescent="0.2">
      <c r="C38" s="34"/>
      <c r="E38" s="2"/>
      <c r="F38" s="35"/>
      <c r="G38" s="34"/>
      <c r="H38" s="34"/>
      <c r="I38" s="34"/>
    </row>
    <row r="39" spans="1:17" x14ac:dyDescent="0.2">
      <c r="C39" s="34"/>
      <c r="E39" s="2"/>
      <c r="F39" s="35"/>
      <c r="G39" s="34"/>
      <c r="H39" s="34"/>
      <c r="I39" s="34"/>
    </row>
    <row r="40" spans="1:17" x14ac:dyDescent="0.2">
      <c r="C40" s="34"/>
      <c r="E40" s="2"/>
      <c r="F40" s="35"/>
      <c r="G40" s="34"/>
      <c r="H40" s="34"/>
      <c r="I40" s="34"/>
    </row>
    <row r="42" spans="1:17" x14ac:dyDescent="0.2">
      <c r="A42" s="1" t="s">
        <v>18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19</v>
      </c>
      <c r="G43" s="1" t="s">
        <v>9</v>
      </c>
      <c r="H43" s="1" t="s">
        <v>10</v>
      </c>
      <c r="I43" s="1" t="s">
        <v>3</v>
      </c>
      <c r="J43" s="1" t="s">
        <v>11</v>
      </c>
      <c r="K43" s="1" t="s">
        <v>12</v>
      </c>
      <c r="L43" s="1" t="s">
        <v>13</v>
      </c>
      <c r="M43" s="1" t="s">
        <v>14</v>
      </c>
      <c r="N43" s="1" t="s">
        <v>15</v>
      </c>
      <c r="O43" s="1" t="s">
        <v>4</v>
      </c>
      <c r="Q43" s="1" t="s">
        <v>16</v>
      </c>
    </row>
    <row r="44" spans="1:17" x14ac:dyDescent="0.2">
      <c r="B44" s="1" t="s">
        <v>17</v>
      </c>
      <c r="C44" s="34" t="s">
        <v>181</v>
      </c>
      <c r="D44" s="1">
        <v>1.5</v>
      </c>
      <c r="F44" s="1">
        <v>0.63400000000000001</v>
      </c>
      <c r="G44" s="1">
        <v>5.6</v>
      </c>
      <c r="H44" s="3">
        <v>0.5625</v>
      </c>
      <c r="I44" s="29">
        <v>46155</v>
      </c>
      <c r="J44" s="1" t="s">
        <v>179</v>
      </c>
      <c r="K44" s="34" t="s">
        <v>180</v>
      </c>
      <c r="L44" s="1">
        <v>5.6</v>
      </c>
      <c r="M44" s="1">
        <v>28</v>
      </c>
      <c r="N44" s="34" t="s">
        <v>164</v>
      </c>
      <c r="O44" s="34" t="s">
        <v>165</v>
      </c>
      <c r="P44" s="34" t="s">
        <v>183</v>
      </c>
      <c r="Q44" s="34" t="s">
        <v>183</v>
      </c>
    </row>
    <row r="45" spans="1:17" x14ac:dyDescent="0.2">
      <c r="B45" s="34" t="s">
        <v>112</v>
      </c>
      <c r="C45" s="37" t="s">
        <v>187</v>
      </c>
      <c r="D45" s="1">
        <v>1.5</v>
      </c>
      <c r="F45" s="1">
        <v>0.499</v>
      </c>
      <c r="G45" s="1">
        <v>5.6</v>
      </c>
      <c r="H45" s="3">
        <v>0.5625</v>
      </c>
      <c r="I45" s="29">
        <v>46155</v>
      </c>
      <c r="J45" s="1" t="s">
        <v>179</v>
      </c>
      <c r="K45" s="34" t="s">
        <v>180</v>
      </c>
      <c r="L45" s="1">
        <v>5.6</v>
      </c>
      <c r="M45" s="1">
        <v>28</v>
      </c>
      <c r="N45" s="34" t="s">
        <v>164</v>
      </c>
      <c r="O45" s="34" t="s">
        <v>165</v>
      </c>
      <c r="P45" s="34" t="s">
        <v>136</v>
      </c>
      <c r="Q45" s="34"/>
    </row>
    <row r="46" spans="1:17" x14ac:dyDescent="0.2">
      <c r="B46" s="34" t="s">
        <v>113</v>
      </c>
      <c r="C46" s="37" t="s">
        <v>187</v>
      </c>
      <c r="D46" s="1">
        <v>1.5</v>
      </c>
      <c r="F46" s="1">
        <v>0.54200000000000004</v>
      </c>
      <c r="G46" s="1">
        <v>5.6</v>
      </c>
      <c r="H46" s="3">
        <v>0.5625</v>
      </c>
      <c r="I46" s="29">
        <v>46155</v>
      </c>
      <c r="J46" s="1" t="s">
        <v>179</v>
      </c>
      <c r="K46" s="34" t="s">
        <v>180</v>
      </c>
      <c r="L46" s="1">
        <v>5.6</v>
      </c>
      <c r="M46" s="1">
        <v>28</v>
      </c>
      <c r="N46" s="34" t="s">
        <v>164</v>
      </c>
      <c r="O46" s="34" t="s">
        <v>165</v>
      </c>
      <c r="P46" s="34" t="s">
        <v>168</v>
      </c>
      <c r="Q46" s="34"/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15</v>
      </c>
      <c r="AC1" s="1" t="s">
        <v>20</v>
      </c>
    </row>
    <row r="2" spans="1:30" x14ac:dyDescent="0.2">
      <c r="B2" s="5" t="s">
        <v>21</v>
      </c>
      <c r="AC2" s="6">
        <v>4.4277893518518523</v>
      </c>
      <c r="AD2" s="1" t="s">
        <v>22</v>
      </c>
    </row>
    <row r="3" spans="1:30" x14ac:dyDescent="0.2">
      <c r="AC3" s="1" t="s">
        <v>23</v>
      </c>
      <c r="AD3" s="1">
        <f>106/16</f>
        <v>6.625</v>
      </c>
    </row>
    <row r="4" spans="1:30" x14ac:dyDescent="0.2">
      <c r="C4" s="21" t="s">
        <v>114</v>
      </c>
      <c r="L4" s="19" t="s">
        <v>108</v>
      </c>
      <c r="M4" s="19" t="s">
        <v>108</v>
      </c>
      <c r="N4" s="19" t="s">
        <v>109</v>
      </c>
      <c r="R4" s="1" t="s">
        <v>24</v>
      </c>
      <c r="U4" s="5" t="s">
        <v>25</v>
      </c>
      <c r="AC4" s="1" t="s">
        <v>26</v>
      </c>
      <c r="AD4" s="1">
        <f>106</f>
        <v>106</v>
      </c>
    </row>
    <row r="5" spans="1:30" x14ac:dyDescent="0.2">
      <c r="B5" s="1">
        <v>1</v>
      </c>
      <c r="C5" s="21" t="s">
        <v>114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116</v>
      </c>
      <c r="J5" s="21" t="s">
        <v>115</v>
      </c>
      <c r="K5" s="5" t="s">
        <v>32</v>
      </c>
      <c r="L5" s="5" t="s">
        <v>33</v>
      </c>
      <c r="M5" s="5" t="s">
        <v>34</v>
      </c>
      <c r="N5" s="19" t="s">
        <v>79</v>
      </c>
      <c r="O5" s="5" t="s">
        <v>35</v>
      </c>
      <c r="P5" s="5"/>
      <c r="Q5" s="1" t="s">
        <v>36</v>
      </c>
      <c r="R5" s="1">
        <v>136.08600000000001</v>
      </c>
      <c r="V5" s="1" t="s">
        <v>37</v>
      </c>
      <c r="AC5" s="1" t="s">
        <v>38</v>
      </c>
      <c r="AD5" s="1">
        <v>16</v>
      </c>
    </row>
    <row r="6" spans="1:30" x14ac:dyDescent="0.2">
      <c r="D6" s="1">
        <v>0.5</v>
      </c>
      <c r="E6" s="1" t="s">
        <v>39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40</v>
      </c>
      <c r="R6" s="1">
        <v>132.13999999999999</v>
      </c>
      <c r="V6" s="5" t="s">
        <v>27</v>
      </c>
      <c r="W6" s="5" t="s">
        <v>28</v>
      </c>
      <c r="X6" s="1" t="s">
        <v>41</v>
      </c>
      <c r="Z6" s="1" t="s">
        <v>42</v>
      </c>
    </row>
    <row r="7" spans="1:30" x14ac:dyDescent="0.2">
      <c r="D7" s="1">
        <v>0</v>
      </c>
      <c r="E7" s="19" t="s">
        <v>43</v>
      </c>
      <c r="Q7" s="1" t="s">
        <v>44</v>
      </c>
      <c r="R7" s="1">
        <v>180.15600000000001</v>
      </c>
      <c r="V7" s="1">
        <v>1</v>
      </c>
      <c r="W7" s="1" t="s">
        <v>36</v>
      </c>
      <c r="X7" s="1">
        <v>136.08600000000001</v>
      </c>
    </row>
    <row r="8" spans="1:30" x14ac:dyDescent="0.2">
      <c r="D8" s="1">
        <v>100</v>
      </c>
      <c r="E8" s="1" t="s">
        <v>44</v>
      </c>
      <c r="Q8" s="1" t="s">
        <v>45</v>
      </c>
      <c r="R8" s="1">
        <v>150.13</v>
      </c>
      <c r="V8" s="1">
        <v>0.5</v>
      </c>
      <c r="W8" s="1" t="s">
        <v>46</v>
      </c>
    </row>
    <row r="9" spans="1:30" x14ac:dyDescent="0.2">
      <c r="D9" s="1">
        <v>1.6</v>
      </c>
      <c r="E9" s="19" t="s">
        <v>55</v>
      </c>
      <c r="Q9" s="1" t="s">
        <v>47</v>
      </c>
      <c r="R9" s="8">
        <v>92.093999999999994</v>
      </c>
      <c r="V9" s="1">
        <v>0.1</v>
      </c>
      <c r="W9" s="1" t="s">
        <v>48</v>
      </c>
    </row>
    <row r="10" spans="1:30" x14ac:dyDescent="0.2">
      <c r="Q10" s="1" t="s">
        <v>49</v>
      </c>
      <c r="R10" s="1">
        <v>59.043999999999997</v>
      </c>
      <c r="V10" s="1">
        <v>0.1</v>
      </c>
      <c r="W10" s="1" t="s">
        <v>50</v>
      </c>
    </row>
    <row r="11" spans="1:30" x14ac:dyDescent="0.2">
      <c r="Q11" s="5" t="s">
        <v>51</v>
      </c>
      <c r="R11" s="1">
        <v>192.19399999999999</v>
      </c>
      <c r="V11" s="1">
        <f>SUM(V7:V10)</f>
        <v>1.7000000000000002</v>
      </c>
      <c r="W11" s="1" t="s">
        <v>52</v>
      </c>
    </row>
    <row r="12" spans="1:30" x14ac:dyDescent="0.2">
      <c r="F12" s="1" t="s">
        <v>53</v>
      </c>
      <c r="G12" s="1" t="s">
        <v>54</v>
      </c>
      <c r="Q12" s="1" t="s">
        <v>55</v>
      </c>
      <c r="R12" s="1">
        <v>53.491</v>
      </c>
      <c r="V12" s="1" t="s">
        <v>56</v>
      </c>
    </row>
    <row r="13" spans="1:30" x14ac:dyDescent="0.2">
      <c r="E13" s="1" t="s">
        <v>57</v>
      </c>
      <c r="F13" s="1">
        <v>14.2</v>
      </c>
      <c r="G13" s="1">
        <v>17.399999999999999</v>
      </c>
      <c r="Q13" s="1" t="s">
        <v>58</v>
      </c>
      <c r="R13" s="1">
        <v>60.06</v>
      </c>
      <c r="V13" s="5" t="s">
        <v>59</v>
      </c>
      <c r="W13" s="5" t="s">
        <v>28</v>
      </c>
    </row>
    <row r="14" spans="1:30" x14ac:dyDescent="0.2">
      <c r="E14" s="1" t="s">
        <v>60</v>
      </c>
      <c r="F14" s="1">
        <v>9</v>
      </c>
      <c r="G14" s="1">
        <v>12</v>
      </c>
      <c r="V14" s="1">
        <v>500</v>
      </c>
      <c r="W14" s="1" t="s">
        <v>61</v>
      </c>
    </row>
    <row r="15" spans="1:30" x14ac:dyDescent="0.2">
      <c r="V15" s="1">
        <v>40</v>
      </c>
      <c r="W15" s="1" t="s">
        <v>62</v>
      </c>
    </row>
    <row r="16" spans="1:30" x14ac:dyDescent="0.2">
      <c r="V16" s="1">
        <v>100</v>
      </c>
      <c r="W16" s="1" t="s">
        <v>63</v>
      </c>
    </row>
    <row r="17" spans="22:26" x14ac:dyDescent="0.2">
      <c r="V17" s="1">
        <v>200</v>
      </c>
      <c r="W17" s="1" t="s">
        <v>64</v>
      </c>
    </row>
    <row r="18" spans="22:26" x14ac:dyDescent="0.2">
      <c r="V18" s="1">
        <v>400</v>
      </c>
      <c r="W18" s="1" t="s">
        <v>65</v>
      </c>
    </row>
    <row r="19" spans="22:26" x14ac:dyDescent="0.2">
      <c r="V19" s="1">
        <v>200</v>
      </c>
      <c r="W19" s="1" t="s">
        <v>66</v>
      </c>
    </row>
    <row r="20" spans="22:26" x14ac:dyDescent="0.2">
      <c r="V20" s="1">
        <v>400</v>
      </c>
      <c r="W20" s="1" t="s">
        <v>67</v>
      </c>
    </row>
    <row r="21" spans="22:26" x14ac:dyDescent="0.2">
      <c r="V21" s="1">
        <f>SUM(V14:V20)/1000000</f>
        <v>1.8400000000000001E-3</v>
      </c>
      <c r="W21" s="1" t="s">
        <v>52</v>
      </c>
    </row>
    <row r="22" spans="22:26" x14ac:dyDescent="0.2">
      <c r="V22" s="1" t="s">
        <v>68</v>
      </c>
    </row>
    <row r="23" spans="22:26" x14ac:dyDescent="0.2">
      <c r="V23" s="5" t="s">
        <v>59</v>
      </c>
      <c r="W23" s="5" t="s">
        <v>28</v>
      </c>
    </row>
    <row r="24" spans="22:26" x14ac:dyDescent="0.2">
      <c r="V24" s="1">
        <v>2</v>
      </c>
      <c r="W24" s="1" t="s">
        <v>69</v>
      </c>
      <c r="Z24" s="1">
        <f>550*0.3</f>
        <v>165</v>
      </c>
    </row>
    <row r="25" spans="22:26" x14ac:dyDescent="0.2">
      <c r="V25" s="1">
        <v>400</v>
      </c>
      <c r="W25" s="1" t="s">
        <v>70</v>
      </c>
    </row>
    <row r="26" spans="22:26" x14ac:dyDescent="0.2">
      <c r="V26" s="1">
        <v>2</v>
      </c>
      <c r="W26" s="1" t="s">
        <v>71</v>
      </c>
    </row>
    <row r="27" spans="22:26" x14ac:dyDescent="0.2">
      <c r="V27" s="9">
        <v>2000</v>
      </c>
      <c r="W27" s="1" t="s">
        <v>72</v>
      </c>
    </row>
    <row r="28" spans="22:26" x14ac:dyDescent="0.2">
      <c r="V28" s="1">
        <v>400</v>
      </c>
      <c r="W28" s="1" t="s">
        <v>73</v>
      </c>
    </row>
    <row r="29" spans="22:26" x14ac:dyDescent="0.2">
      <c r="V29" s="1">
        <v>200</v>
      </c>
      <c r="W29" s="1" t="s">
        <v>74</v>
      </c>
    </row>
    <row r="30" spans="22:26" x14ac:dyDescent="0.2">
      <c r="V30" s="1">
        <v>400</v>
      </c>
      <c r="W30" s="1" t="s">
        <v>75</v>
      </c>
    </row>
    <row r="31" spans="22:26" x14ac:dyDescent="0.2">
      <c r="V31" s="1">
        <v>200</v>
      </c>
      <c r="W31" s="1" t="s">
        <v>76</v>
      </c>
    </row>
    <row r="32" spans="22:26" x14ac:dyDescent="0.2">
      <c r="V32" s="1">
        <v>400</v>
      </c>
      <c r="W32" s="1" t="s">
        <v>77</v>
      </c>
    </row>
    <row r="35" spans="22:23" x14ac:dyDescent="0.2">
      <c r="V35" s="1">
        <f>SUM(V24:V32)/1000000</f>
        <v>4.0039999999999997E-3</v>
      </c>
      <c r="W35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80</v>
      </c>
    </row>
    <row r="2" spans="1:2" x14ac:dyDescent="0.2">
      <c r="B2" s="1" t="s">
        <v>81</v>
      </c>
    </row>
    <row r="4" spans="1:2" x14ac:dyDescent="0.2">
      <c r="B4" s="1" t="s">
        <v>82</v>
      </c>
    </row>
    <row r="5" spans="1:2" x14ac:dyDescent="0.2">
      <c r="B5" s="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K7" zoomScaleNormal="125" workbookViewId="0">
      <selection activeCell="T29" sqref="T29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107</v>
      </c>
    </row>
    <row r="10" spans="1:59" ht="17" thickBot="1" x14ac:dyDescent="0.25"/>
    <row r="11" spans="1:59" ht="17" thickBot="1" x14ac:dyDescent="0.25">
      <c r="C11" s="43" t="s">
        <v>106</v>
      </c>
      <c r="D11" s="44"/>
      <c r="E11" s="44"/>
      <c r="F11" s="44"/>
      <c r="G11" s="44"/>
      <c r="H11" s="44"/>
      <c r="I11" s="44"/>
      <c r="J11" s="44"/>
      <c r="K11" s="44"/>
      <c r="L11" s="44"/>
      <c r="M11" s="45"/>
      <c r="S11" s="4"/>
    </row>
    <row r="12" spans="1:59" x14ac:dyDescent="0.2">
      <c r="C12" s="40" t="s">
        <v>105</v>
      </c>
      <c r="D12" s="41"/>
      <c r="E12" s="41"/>
      <c r="F12" s="41"/>
      <c r="G12" s="41"/>
      <c r="H12" s="41"/>
      <c r="I12" s="41"/>
      <c r="J12" s="41"/>
      <c r="K12" s="41"/>
      <c r="L12" s="42"/>
      <c r="AL12" s="38" t="s">
        <v>84</v>
      </c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10"/>
      <c r="AX12" s="10"/>
      <c r="AY12" s="39"/>
      <c r="AZ12" s="39"/>
      <c r="BA12" s="39"/>
      <c r="BB12" s="39"/>
      <c r="BC12" s="31"/>
    </row>
    <row r="13" spans="1:59" ht="68" x14ac:dyDescent="0.2">
      <c r="A13" s="11" t="s">
        <v>85</v>
      </c>
      <c r="B13" s="14" t="s">
        <v>86</v>
      </c>
      <c r="C13" s="14" t="s">
        <v>103</v>
      </c>
      <c r="D13" s="14" t="s">
        <v>87</v>
      </c>
      <c r="E13" s="14" t="s">
        <v>44</v>
      </c>
      <c r="F13" s="14" t="s">
        <v>45</v>
      </c>
      <c r="G13" s="14" t="s">
        <v>172</v>
      </c>
      <c r="H13" s="14" t="s">
        <v>173</v>
      </c>
      <c r="I13" s="14" t="s">
        <v>88</v>
      </c>
      <c r="J13" s="14" t="s">
        <v>174</v>
      </c>
      <c r="K13" s="14" t="s">
        <v>89</v>
      </c>
      <c r="L13" s="14" t="s">
        <v>104</v>
      </c>
      <c r="Q13" s="1" t="s">
        <v>90</v>
      </c>
      <c r="R13" s="1" t="s">
        <v>91</v>
      </c>
      <c r="S13" s="12" t="s">
        <v>92</v>
      </c>
      <c r="T13" s="12" t="s">
        <v>93</v>
      </c>
      <c r="U13" s="1" t="s">
        <v>94</v>
      </c>
      <c r="V13" s="1" t="s">
        <v>95</v>
      </c>
      <c r="W13" s="1" t="s">
        <v>96</v>
      </c>
      <c r="X13" s="13"/>
      <c r="Y13" s="13" t="s">
        <v>97</v>
      </c>
      <c r="Z13" s="33" t="s">
        <v>175</v>
      </c>
      <c r="AA13" s="33" t="s">
        <v>176</v>
      </c>
      <c r="AB13" s="25" t="s">
        <v>98</v>
      </c>
      <c r="AC13" s="13" t="s">
        <v>99</v>
      </c>
      <c r="AD13" s="33" t="s">
        <v>177</v>
      </c>
      <c r="AE13" s="33" t="s">
        <v>178</v>
      </c>
      <c r="AL13" s="14" t="s">
        <v>103</v>
      </c>
      <c r="AM13" s="14" t="s">
        <v>87</v>
      </c>
      <c r="AN13" s="14" t="s">
        <v>44</v>
      </c>
      <c r="AO13" s="14" t="s">
        <v>45</v>
      </c>
      <c r="AP13" s="14" t="s">
        <v>172</v>
      </c>
      <c r="AQ13" s="14" t="s">
        <v>173</v>
      </c>
      <c r="AR13" s="14" t="s">
        <v>88</v>
      </c>
      <c r="AS13" s="14" t="s">
        <v>174</v>
      </c>
      <c r="AT13" s="14" t="s">
        <v>89</v>
      </c>
      <c r="AU13" s="14" t="s">
        <v>104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188</v>
      </c>
      <c r="C17" s="14" t="s">
        <v>110</v>
      </c>
      <c r="D17" s="14">
        <v>4.8800000000000003E-2</v>
      </c>
      <c r="E17" s="14">
        <v>9.8881899999999998</v>
      </c>
      <c r="F17" s="14" t="s">
        <v>110</v>
      </c>
      <c r="G17" s="14" t="s">
        <v>110</v>
      </c>
      <c r="H17" s="14" t="s">
        <v>110</v>
      </c>
      <c r="I17" s="14" t="s">
        <v>110</v>
      </c>
      <c r="J17" s="14" t="s">
        <v>110</v>
      </c>
      <c r="K17" s="14" t="s">
        <v>110</v>
      </c>
      <c r="L17" s="14" t="s">
        <v>110</v>
      </c>
      <c r="M17" s="14" t="s">
        <v>110</v>
      </c>
      <c r="N17" s="20"/>
      <c r="O17" s="14" t="str">
        <f>F17</f>
        <v xml:space="preserve"> </v>
      </c>
      <c r="P17"/>
      <c r="Q17" s="2">
        <v>46154</v>
      </c>
      <c r="R17" s="3">
        <v>0.5625</v>
      </c>
      <c r="S17" s="7">
        <v>0.5</v>
      </c>
      <c r="T17" s="1" t="s">
        <v>100</v>
      </c>
      <c r="U17" s="1">
        <v>1</v>
      </c>
      <c r="V17" s="21"/>
      <c r="W17" s="1">
        <v>0.63400000000000001</v>
      </c>
      <c r="Y17" s="15">
        <f>($E$17-E17)*10</f>
        <v>0</v>
      </c>
      <c r="Z17" s="1">
        <f t="shared" ref="Z17:Z28" si="2">AM17/S17</f>
        <v>0.97600000000000009</v>
      </c>
      <c r="AA17" s="15" t="e">
        <f t="shared" ref="AA17:AA28" si="3">AM17/Y17</f>
        <v>#DIV/0!</v>
      </c>
      <c r="AB17" s="1">
        <f>AN17-AN17</f>
        <v>0</v>
      </c>
      <c r="AC17" s="8">
        <f>AB17/(S17)</f>
        <v>0</v>
      </c>
      <c r="AD17" s="8">
        <f t="shared" ref="AD17:AD28" si="4">(AM17-AM14)/(S17-S14)</f>
        <v>0.97600000000000009</v>
      </c>
      <c r="AE17" s="8" t="e">
        <f t="shared" ref="AE17:AE28" si="5">(AM17-AM14)/(Y17-Y14)</f>
        <v>#DIV/0!</v>
      </c>
      <c r="AL17" s="1" t="str">
        <f t="shared" si="0"/>
        <v/>
      </c>
      <c r="AM17" s="1">
        <f t="shared" ref="AM17:AM28" si="6">IF(ISNUMBER(D17),D17*1000/100,0)</f>
        <v>0.48800000000000004</v>
      </c>
      <c r="AN17" s="1">
        <f t="shared" ref="AN17:AN28" si="7">IF(ISNUMBER(E17),E17*1000/100,0)</f>
        <v>98.881900000000002</v>
      </c>
      <c r="AY17" s="15"/>
      <c r="AZ17" s="15"/>
      <c r="BE17" s="7"/>
      <c r="BF17" s="7"/>
      <c r="BG17" s="7"/>
    </row>
    <row r="18" spans="1:80" x14ac:dyDescent="0.2">
      <c r="B18" s="14" t="s">
        <v>189</v>
      </c>
      <c r="C18" s="14" t="s">
        <v>110</v>
      </c>
      <c r="D18" s="14">
        <v>4.5370000000000001E-2</v>
      </c>
      <c r="E18" s="14">
        <v>9.8004899999999999</v>
      </c>
      <c r="F18" s="14" t="s">
        <v>110</v>
      </c>
      <c r="G18" s="14" t="s">
        <v>110</v>
      </c>
      <c r="H18" s="14" t="s">
        <v>110</v>
      </c>
      <c r="I18" s="14" t="s">
        <v>110</v>
      </c>
      <c r="J18" s="14" t="s">
        <v>110</v>
      </c>
      <c r="K18" s="14" t="s">
        <v>110</v>
      </c>
      <c r="L18" s="14" t="s">
        <v>110</v>
      </c>
      <c r="M18" s="14" t="s">
        <v>110</v>
      </c>
      <c r="N18" s="20"/>
      <c r="O18" s="14" t="str">
        <f t="shared" ref="O18:O42" si="8">F18</f>
        <v xml:space="preserve"> </v>
      </c>
      <c r="P18"/>
      <c r="Q18" s="2">
        <v>46154</v>
      </c>
      <c r="R18" s="3">
        <v>0.5625</v>
      </c>
      <c r="S18" s="7">
        <v>0.5</v>
      </c>
      <c r="T18" s="1" t="s">
        <v>101</v>
      </c>
      <c r="U18" s="1">
        <v>2</v>
      </c>
      <c r="V18" s="21"/>
      <c r="W18" s="1">
        <v>0.499</v>
      </c>
      <c r="Y18" s="15">
        <f>10*($E$18-E18)</f>
        <v>0</v>
      </c>
      <c r="Z18" s="1">
        <f t="shared" si="2"/>
        <v>0.90739999999999998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0.90739999999999998</v>
      </c>
      <c r="AE18" s="8" t="e">
        <f t="shared" si="5"/>
        <v>#DIV/0!</v>
      </c>
      <c r="AL18" s="1" t="str">
        <f t="shared" si="0"/>
        <v/>
      </c>
      <c r="AM18" s="1">
        <f t="shared" si="6"/>
        <v>0.45369999999999999</v>
      </c>
      <c r="AN18" s="1">
        <f t="shared" si="7"/>
        <v>98.004899999999992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190</v>
      </c>
      <c r="C19" s="14" t="s">
        <v>110</v>
      </c>
      <c r="D19" s="14">
        <v>5.0380000000000001E-2</v>
      </c>
      <c r="E19" s="14">
        <v>9.9243799999999993</v>
      </c>
      <c r="F19" s="14" t="s">
        <v>110</v>
      </c>
      <c r="G19" s="14" t="s">
        <v>110</v>
      </c>
      <c r="H19" s="14" t="s">
        <v>110</v>
      </c>
      <c r="I19" s="14" t="s">
        <v>110</v>
      </c>
      <c r="J19" s="14" t="s">
        <v>110</v>
      </c>
      <c r="K19" s="14" t="s">
        <v>110</v>
      </c>
      <c r="L19" s="14" t="s">
        <v>110</v>
      </c>
      <c r="M19" s="14" t="s">
        <v>110</v>
      </c>
      <c r="N19" s="20"/>
      <c r="O19" s="14" t="str">
        <f t="shared" si="8"/>
        <v xml:space="preserve"> </v>
      </c>
      <c r="P19"/>
      <c r="Q19" s="2">
        <v>46154</v>
      </c>
      <c r="R19" s="3">
        <v>0.5625</v>
      </c>
      <c r="S19" s="7">
        <v>0.5</v>
      </c>
      <c r="T19" s="1" t="s">
        <v>102</v>
      </c>
      <c r="U19" s="1">
        <v>3</v>
      </c>
      <c r="V19" s="21"/>
      <c r="W19" s="1">
        <v>0.54200000000000004</v>
      </c>
      <c r="Y19" s="15">
        <f>10*($E$19-E19)</f>
        <v>0</v>
      </c>
      <c r="Z19" s="1">
        <f t="shared" si="2"/>
        <v>1.0076000000000001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1.0076000000000001</v>
      </c>
      <c r="AE19" s="8" t="e">
        <f t="shared" si="5"/>
        <v>#DIV/0!</v>
      </c>
      <c r="AL19" s="1" t="str">
        <f t="shared" si="0"/>
        <v/>
      </c>
      <c r="AM19" s="1">
        <f t="shared" si="6"/>
        <v>0.50380000000000003</v>
      </c>
      <c r="AN19" s="1">
        <f t="shared" si="7"/>
        <v>99.243799999999993</v>
      </c>
      <c r="AY19" s="15"/>
      <c r="AZ19" s="15"/>
      <c r="BE19" s="7"/>
      <c r="BF19" s="8"/>
      <c r="BG19" s="7"/>
    </row>
    <row r="20" spans="1:80" x14ac:dyDescent="0.2">
      <c r="B20" s="14" t="s">
        <v>191</v>
      </c>
      <c r="C20" s="14">
        <v>5.6800000000000003E-2</v>
      </c>
      <c r="D20" s="14">
        <v>0.37497999999999998</v>
      </c>
      <c r="E20" s="14">
        <v>6.9770300000000001</v>
      </c>
      <c r="F20" s="14" t="s">
        <v>110</v>
      </c>
      <c r="G20" s="14" t="s">
        <v>110</v>
      </c>
      <c r="H20" s="14" t="s">
        <v>110</v>
      </c>
      <c r="I20" s="14" t="s">
        <v>110</v>
      </c>
      <c r="J20" s="14" t="s">
        <v>110</v>
      </c>
      <c r="K20" s="14" t="s">
        <v>110</v>
      </c>
      <c r="L20" s="14" t="s">
        <v>110</v>
      </c>
      <c r="M20" s="14" t="s">
        <v>110</v>
      </c>
      <c r="N20" s="20"/>
      <c r="O20" s="14" t="str">
        <f t="shared" si="8"/>
        <v xml:space="preserve"> </v>
      </c>
      <c r="P20"/>
      <c r="Q20" s="2">
        <v>46155</v>
      </c>
      <c r="R20" s="3">
        <v>0.60416666666666663</v>
      </c>
      <c r="S20" s="7">
        <v>24</v>
      </c>
      <c r="T20" s="1" t="s">
        <v>100</v>
      </c>
      <c r="U20" s="1">
        <v>4</v>
      </c>
      <c r="V20" s="21"/>
      <c r="W20" s="1">
        <v>30.4</v>
      </c>
      <c r="Y20" s="15">
        <f>($E$17-E20)*10</f>
        <v>29.111599999999996</v>
      </c>
      <c r="Z20" s="1">
        <f t="shared" si="2"/>
        <v>0.15624166666666664</v>
      </c>
      <c r="AA20" s="15">
        <f t="shared" si="3"/>
        <v>0.12880776048035836</v>
      </c>
      <c r="AB20" s="1">
        <f t="shared" ref="AB20:AB28" si="9">AN17-AN20</f>
        <v>29.11160000000001</v>
      </c>
      <c r="AC20" s="8">
        <f t="shared" ref="AC20:AC28" si="10">AB20/(S20-S17)</f>
        <v>1.2387914893617025</v>
      </c>
      <c r="AD20" s="8">
        <f t="shared" si="4"/>
        <v>0.13879999999999998</v>
      </c>
      <c r="AE20" s="8">
        <f t="shared" si="5"/>
        <v>0.11204468321906044</v>
      </c>
      <c r="AL20" s="1">
        <f t="shared" si="0"/>
        <v>0.56800000000000006</v>
      </c>
      <c r="AM20" s="1">
        <f t="shared" si="6"/>
        <v>3.7497999999999996</v>
      </c>
      <c r="AN20" s="1">
        <f t="shared" si="7"/>
        <v>69.770299999999992</v>
      </c>
      <c r="AY20" s="15"/>
      <c r="AZ20" s="15"/>
      <c r="BE20" s="7"/>
      <c r="BF20" s="8"/>
      <c r="BG20" s="7"/>
    </row>
    <row r="21" spans="1:80" x14ac:dyDescent="0.2">
      <c r="B21" s="14" t="s">
        <v>192</v>
      </c>
      <c r="C21" s="14">
        <v>4.8460000000000003E-2</v>
      </c>
      <c r="D21" s="14">
        <v>3.1230000000000001E-2</v>
      </c>
      <c r="E21" s="14">
        <v>8.4234600000000004</v>
      </c>
      <c r="F21" s="14" t="s">
        <v>110</v>
      </c>
      <c r="G21" s="14" t="s">
        <v>110</v>
      </c>
      <c r="H21" s="14" t="s">
        <v>110</v>
      </c>
      <c r="I21" s="14" t="s">
        <v>110</v>
      </c>
      <c r="J21" s="14" t="s">
        <v>110</v>
      </c>
      <c r="K21" s="14" t="s">
        <v>110</v>
      </c>
      <c r="L21" s="14" t="s">
        <v>110</v>
      </c>
      <c r="M21" s="14" t="s">
        <v>110</v>
      </c>
      <c r="N21" s="20"/>
      <c r="O21" s="14" t="str">
        <f t="shared" si="8"/>
        <v xml:space="preserve"> </v>
      </c>
      <c r="P21"/>
      <c r="Q21" s="2">
        <v>46155</v>
      </c>
      <c r="R21" s="3">
        <v>0.60416666666666663</v>
      </c>
      <c r="S21" s="7">
        <v>24</v>
      </c>
      <c r="T21" s="1" t="s">
        <v>101</v>
      </c>
      <c r="U21" s="1">
        <v>5</v>
      </c>
      <c r="V21" s="21"/>
      <c r="W21" s="1">
        <v>23.32</v>
      </c>
      <c r="Y21" s="15">
        <f>10*($E$18-E21)</f>
        <v>13.770299999999995</v>
      </c>
      <c r="Z21" s="1">
        <f t="shared" si="2"/>
        <v>1.3012500000000001E-2</v>
      </c>
      <c r="AA21" s="15">
        <f t="shared" si="3"/>
        <v>2.2679244460904999E-2</v>
      </c>
      <c r="AB21" s="1">
        <f t="shared" si="9"/>
        <v>13.770299999999978</v>
      </c>
      <c r="AC21" s="8">
        <f t="shared" si="10"/>
        <v>0.58597021276595651</v>
      </c>
      <c r="AD21" s="8">
        <f t="shared" si="4"/>
        <v>-6.0170212765957437E-3</v>
      </c>
      <c r="AE21" s="8">
        <f t="shared" si="5"/>
        <v>-1.0268476358539757E-2</v>
      </c>
      <c r="AL21" s="1">
        <f t="shared" si="0"/>
        <v>0.48460000000000003</v>
      </c>
      <c r="AM21" s="1">
        <f t="shared" si="6"/>
        <v>0.31230000000000002</v>
      </c>
      <c r="AN21" s="1">
        <f t="shared" si="7"/>
        <v>84.234600000000015</v>
      </c>
      <c r="AO21" s="1" t="str">
        <f t="shared" ref="AO21:AO28" si="11">IF(ISNUMBER(F21),F21*1000/100,"")</f>
        <v/>
      </c>
      <c r="AP21" s="1" t="str">
        <f t="shared" ref="AP21:AP28" si="12">IF(ISNUMBER(G21),G21*1000/100,"")</f>
        <v/>
      </c>
      <c r="AQ21" s="1" t="str">
        <f t="shared" ref="AQ21:AQ28" si="13">IF(ISNUMBER(H21),H21*1000/100,"")</f>
        <v/>
      </c>
      <c r="AR21" s="1" t="str">
        <f t="shared" ref="AR21:AR28" si="14">IF(ISNUMBER(I21),I21*1000/100,"")</f>
        <v/>
      </c>
      <c r="AS21" s="1" t="str">
        <f t="shared" ref="AS21:AS28" si="15">IF(ISNUMBER(J21),J21*1000/100,"")</f>
        <v/>
      </c>
      <c r="AT21" s="1" t="str">
        <f t="shared" ref="AT21:AT28" si="16">IF(ISNUMBER(K21),K21*1000/100,"")</f>
        <v/>
      </c>
      <c r="AU21" s="1" t="str">
        <f t="shared" ref="AU21:AU28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193</v>
      </c>
      <c r="C22" s="14">
        <v>5.1659999999999998E-2</v>
      </c>
      <c r="D22" s="14" t="s">
        <v>110</v>
      </c>
      <c r="E22" s="14">
        <v>8.3672699999999995</v>
      </c>
      <c r="F22" s="14" t="s">
        <v>110</v>
      </c>
      <c r="G22" s="14" t="s">
        <v>110</v>
      </c>
      <c r="H22" s="14" t="s">
        <v>110</v>
      </c>
      <c r="I22" s="14" t="s">
        <v>110</v>
      </c>
      <c r="J22" s="14" t="s">
        <v>110</v>
      </c>
      <c r="K22" s="14" t="s">
        <v>110</v>
      </c>
      <c r="L22" s="14" t="s">
        <v>110</v>
      </c>
      <c r="M22" s="14" t="s">
        <v>110</v>
      </c>
      <c r="N22" s="20"/>
      <c r="O22" s="14" t="str">
        <f t="shared" si="8"/>
        <v xml:space="preserve"> </v>
      </c>
      <c r="P22"/>
      <c r="Q22" s="2">
        <v>46155</v>
      </c>
      <c r="R22" s="3">
        <v>0.60416666666666663</v>
      </c>
      <c r="S22" s="7">
        <v>24</v>
      </c>
      <c r="T22" s="1" t="s">
        <v>102</v>
      </c>
      <c r="U22" s="1">
        <v>6</v>
      </c>
      <c r="V22" s="21"/>
      <c r="W22" s="1">
        <v>23.56</v>
      </c>
      <c r="Y22" s="15">
        <f>10*($E$19-E22)</f>
        <v>15.571099999999998</v>
      </c>
      <c r="Z22" s="1">
        <f>AM22/S22</f>
        <v>0</v>
      </c>
      <c r="AA22" s="15">
        <f t="shared" si="3"/>
        <v>0</v>
      </c>
      <c r="AB22" s="1">
        <f t="shared" si="9"/>
        <v>15.571099999999987</v>
      </c>
      <c r="AC22" s="8">
        <f t="shared" si="10"/>
        <v>0.66259999999999941</v>
      </c>
      <c r="AD22" s="8">
        <f t="shared" si="4"/>
        <v>-2.1438297872340428E-2</v>
      </c>
      <c r="AE22" s="8">
        <f t="shared" si="5"/>
        <v>-3.2354811156565695E-2</v>
      </c>
      <c r="AL22" s="1">
        <f t="shared" si="0"/>
        <v>0.51659999999999995</v>
      </c>
      <c r="AM22" s="1">
        <f t="shared" si="6"/>
        <v>0</v>
      </c>
      <c r="AN22" s="1">
        <f t="shared" si="7"/>
        <v>83.672700000000006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194</v>
      </c>
      <c r="C23" s="14">
        <v>4.9950000000000001E-2</v>
      </c>
      <c r="D23" s="14">
        <v>1.89008</v>
      </c>
      <c r="E23" s="14">
        <v>4.09091</v>
      </c>
      <c r="F23" s="14" t="s">
        <v>110</v>
      </c>
      <c r="G23" s="14" t="s">
        <v>110</v>
      </c>
      <c r="H23" s="14" t="s">
        <v>110</v>
      </c>
      <c r="I23" s="14" t="s">
        <v>110</v>
      </c>
      <c r="J23" s="14" t="s">
        <v>110</v>
      </c>
      <c r="K23" s="14" t="s">
        <v>110</v>
      </c>
      <c r="L23" s="14" t="s">
        <v>110</v>
      </c>
      <c r="M23" s="14" t="s">
        <v>110</v>
      </c>
      <c r="N23" s="14"/>
      <c r="O23" s="14" t="str">
        <f t="shared" si="8"/>
        <v xml:space="preserve"> </v>
      </c>
      <c r="P23"/>
      <c r="Q23" s="2">
        <v>46156</v>
      </c>
      <c r="R23" s="3">
        <v>0.59375</v>
      </c>
      <c r="S23" s="7">
        <v>48</v>
      </c>
      <c r="T23" s="1" t="s">
        <v>100</v>
      </c>
      <c r="U23" s="1">
        <v>7</v>
      </c>
      <c r="W23" s="18">
        <v>35.28</v>
      </c>
      <c r="Y23" s="15">
        <f>($E$17-E23)*10</f>
        <v>57.972799999999999</v>
      </c>
      <c r="Z23" s="1">
        <f t="shared" si="2"/>
        <v>0.39376666666666665</v>
      </c>
      <c r="AA23" s="15">
        <f t="shared" si="3"/>
        <v>0.32602875831424394</v>
      </c>
      <c r="AB23" s="1">
        <f t="shared" si="9"/>
        <v>28.861199999999997</v>
      </c>
      <c r="AC23" s="8">
        <f t="shared" si="10"/>
        <v>1.2025499999999998</v>
      </c>
      <c r="AD23" s="8">
        <f t="shared" si="4"/>
        <v>0.6312916666666667</v>
      </c>
      <c r="AE23" s="8">
        <f t="shared" si="5"/>
        <v>0.52496084708882507</v>
      </c>
      <c r="AL23" s="1">
        <f t="shared" si="0"/>
        <v>0.49950000000000006</v>
      </c>
      <c r="AM23" s="1">
        <f t="shared" si="6"/>
        <v>18.9008</v>
      </c>
      <c r="AN23" s="4">
        <f t="shared" si="7"/>
        <v>40.909099999999995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195</v>
      </c>
      <c r="C24" s="14">
        <v>4.7989999999999998E-2</v>
      </c>
      <c r="D24" s="14">
        <v>0.28594999999999998</v>
      </c>
      <c r="E24" s="14">
        <v>6.9064800000000002</v>
      </c>
      <c r="F24" s="14" t="s">
        <v>110</v>
      </c>
      <c r="G24" s="14" t="s">
        <v>110</v>
      </c>
      <c r="H24" s="14" t="s">
        <v>110</v>
      </c>
      <c r="I24" s="14" t="s">
        <v>110</v>
      </c>
      <c r="J24" s="14" t="s">
        <v>110</v>
      </c>
      <c r="K24" s="14" t="s">
        <v>110</v>
      </c>
      <c r="L24" s="14" t="s">
        <v>110</v>
      </c>
      <c r="M24" s="14" t="s">
        <v>110</v>
      </c>
      <c r="N24" s="14"/>
      <c r="O24" s="14" t="str">
        <f t="shared" si="8"/>
        <v xml:space="preserve"> </v>
      </c>
      <c r="P24"/>
      <c r="Q24" s="2">
        <v>46156</v>
      </c>
      <c r="R24" s="3">
        <v>0.59375</v>
      </c>
      <c r="S24" s="7">
        <v>48</v>
      </c>
      <c r="T24" s="1" t="s">
        <v>101</v>
      </c>
      <c r="U24" s="1">
        <v>8</v>
      </c>
      <c r="W24" s="18">
        <v>34.08</v>
      </c>
      <c r="Y24" s="15">
        <f>10*($E$18-E24)</f>
        <v>28.940099999999997</v>
      </c>
      <c r="Z24" s="1">
        <f t="shared" si="2"/>
        <v>5.9572916666666663E-2</v>
      </c>
      <c r="AA24" s="15">
        <f t="shared" si="3"/>
        <v>9.8807536947004324E-2</v>
      </c>
      <c r="AB24" s="1">
        <f t="shared" si="9"/>
        <v>15.169800000000009</v>
      </c>
      <c r="AC24" s="8">
        <f t="shared" si="10"/>
        <v>0.63207500000000039</v>
      </c>
      <c r="AD24" s="8">
        <f t="shared" si="4"/>
        <v>0.10613333333333332</v>
      </c>
      <c r="AE24" s="8">
        <f t="shared" si="5"/>
        <v>0.16791256311882816</v>
      </c>
      <c r="AL24" s="1">
        <f t="shared" si="0"/>
        <v>0.47989999999999994</v>
      </c>
      <c r="AM24" s="1">
        <f t="shared" si="6"/>
        <v>2.8594999999999997</v>
      </c>
      <c r="AN24" s="1">
        <f t="shared" si="7"/>
        <v>69.064800000000005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196</v>
      </c>
      <c r="C25" s="14">
        <v>4.9459999999999997E-2</v>
      </c>
      <c r="D25" s="14">
        <v>0.32718000000000003</v>
      </c>
      <c r="E25" s="14">
        <v>6.7681500000000003</v>
      </c>
      <c r="F25" s="14" t="s">
        <v>110</v>
      </c>
      <c r="G25" s="14" t="s">
        <v>110</v>
      </c>
      <c r="H25" s="14" t="s">
        <v>110</v>
      </c>
      <c r="I25" s="14" t="s">
        <v>110</v>
      </c>
      <c r="J25" s="14" t="s">
        <v>110</v>
      </c>
      <c r="K25" s="14" t="s">
        <v>110</v>
      </c>
      <c r="L25" s="14" t="s">
        <v>110</v>
      </c>
      <c r="M25" s="14" t="s">
        <v>110</v>
      </c>
      <c r="N25" s="14"/>
      <c r="O25" s="14" t="str">
        <f t="shared" si="8"/>
        <v xml:space="preserve"> </v>
      </c>
      <c r="P25"/>
      <c r="Q25" s="2">
        <v>46156</v>
      </c>
      <c r="R25" s="3">
        <v>0.59375</v>
      </c>
      <c r="S25" s="7">
        <v>48</v>
      </c>
      <c r="T25" s="1" t="s">
        <v>102</v>
      </c>
      <c r="U25" s="1">
        <v>9</v>
      </c>
      <c r="W25" s="18">
        <v>33.36</v>
      </c>
      <c r="Y25" s="15">
        <f>10*($E$19-E25)</f>
        <v>31.56229999999999</v>
      </c>
      <c r="Z25" s="1">
        <f t="shared" si="2"/>
        <v>6.8162500000000001E-2</v>
      </c>
      <c r="AA25" s="15">
        <f t="shared" si="3"/>
        <v>0.1036616469648917</v>
      </c>
      <c r="AB25" s="1">
        <f t="shared" si="9"/>
        <v>15.991200000000006</v>
      </c>
      <c r="AC25" s="8">
        <f t="shared" si="10"/>
        <v>0.66630000000000023</v>
      </c>
      <c r="AD25" s="8">
        <f t="shared" si="4"/>
        <v>0.136325</v>
      </c>
      <c r="AE25" s="8">
        <f t="shared" si="5"/>
        <v>0.2046000300165092</v>
      </c>
      <c r="AL25" s="1">
        <f t="shared" si="0"/>
        <v>0.49459999999999993</v>
      </c>
      <c r="AM25" s="1">
        <f t="shared" si="6"/>
        <v>3.2718000000000003</v>
      </c>
      <c r="AN25" s="1">
        <f t="shared" si="7"/>
        <v>67.6815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197</v>
      </c>
      <c r="C26" s="14">
        <v>0.05</v>
      </c>
      <c r="D26" s="14">
        <v>3.2719900000000002</v>
      </c>
      <c r="E26" s="14">
        <v>1.87323</v>
      </c>
      <c r="F26" s="14" t="s">
        <v>110</v>
      </c>
      <c r="G26" s="14" t="s">
        <v>110</v>
      </c>
      <c r="H26" s="14" t="s">
        <v>110</v>
      </c>
      <c r="I26" s="14" t="s">
        <v>110</v>
      </c>
      <c r="J26" s="14" t="s">
        <v>110</v>
      </c>
      <c r="K26" s="14" t="s">
        <v>110</v>
      </c>
      <c r="L26" s="14" t="s">
        <v>110</v>
      </c>
      <c r="M26" s="14" t="s">
        <v>110</v>
      </c>
      <c r="N26" s="14"/>
      <c r="O26" s="14" t="str">
        <f t="shared" si="8"/>
        <v xml:space="preserve"> </v>
      </c>
      <c r="P26"/>
      <c r="Q26" s="2">
        <v>46157</v>
      </c>
      <c r="R26" s="3">
        <v>0.47916666666666669</v>
      </c>
      <c r="S26" s="7">
        <v>72</v>
      </c>
      <c r="T26" s="1" t="s">
        <v>100</v>
      </c>
      <c r="U26" s="1">
        <v>10</v>
      </c>
      <c r="V26" s="18"/>
      <c r="W26" s="1">
        <v>35.200000000000003</v>
      </c>
      <c r="X26" s="1"/>
      <c r="Y26" s="15">
        <f>($E$17-E26)*10</f>
        <v>80.149600000000007</v>
      </c>
      <c r="Z26" s="1">
        <f t="shared" si="2"/>
        <v>0.45444305555555559</v>
      </c>
      <c r="AA26" s="15">
        <f t="shared" si="3"/>
        <v>0.40823534989569504</v>
      </c>
      <c r="AB26" s="1">
        <f t="shared" si="9"/>
        <v>22.176799999999997</v>
      </c>
      <c r="AC26" s="8">
        <f t="shared" si="10"/>
        <v>0.92403333333333315</v>
      </c>
      <c r="AD26" s="8">
        <f t="shared" si="4"/>
        <v>0.5757958333333334</v>
      </c>
      <c r="AE26" s="8">
        <f t="shared" si="5"/>
        <v>0.62313318422856312</v>
      </c>
      <c r="AF26" s="1"/>
      <c r="AG26" s="1"/>
      <c r="AH26" s="1"/>
      <c r="AI26" s="1"/>
      <c r="AJ26" s="1"/>
      <c r="AK26" s="1"/>
      <c r="AL26" s="1">
        <f t="shared" si="0"/>
        <v>0.5</v>
      </c>
      <c r="AM26" s="1">
        <f t="shared" si="6"/>
        <v>32.719900000000003</v>
      </c>
      <c r="AN26" s="1">
        <f t="shared" si="7"/>
        <v>18.732299999999999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 t="s">
        <v>198</v>
      </c>
      <c r="C27" s="14">
        <v>5.3999999999999999E-2</v>
      </c>
      <c r="D27" s="14">
        <v>1.05358</v>
      </c>
      <c r="E27" s="14">
        <v>5.2387199999999998</v>
      </c>
      <c r="F27" s="14" t="s">
        <v>110</v>
      </c>
      <c r="G27" s="14" t="s">
        <v>110</v>
      </c>
      <c r="H27" s="14" t="s">
        <v>110</v>
      </c>
      <c r="I27" s="14" t="s">
        <v>110</v>
      </c>
      <c r="J27" s="14" t="s">
        <v>110</v>
      </c>
      <c r="K27" s="14" t="s">
        <v>110</v>
      </c>
      <c r="L27" s="14" t="s">
        <v>110</v>
      </c>
      <c r="M27" s="14" t="s">
        <v>110</v>
      </c>
      <c r="N27" s="14"/>
      <c r="O27" s="14" t="str">
        <f t="shared" si="8"/>
        <v xml:space="preserve"> </v>
      </c>
      <c r="P27"/>
      <c r="Q27" s="2">
        <v>46157</v>
      </c>
      <c r="R27" s="3">
        <v>0.47916666666666669</v>
      </c>
      <c r="S27" s="7">
        <v>72</v>
      </c>
      <c r="T27" s="1" t="s">
        <v>101</v>
      </c>
      <c r="U27" s="1">
        <v>11</v>
      </c>
      <c r="V27" s="18"/>
      <c r="W27" s="1">
        <v>37.28</v>
      </c>
      <c r="Y27" s="15">
        <f>10*($E$18-E27)</f>
        <v>45.617699999999999</v>
      </c>
      <c r="Z27" s="1">
        <f t="shared" si="2"/>
        <v>0.14633055555555555</v>
      </c>
      <c r="AA27" s="15">
        <f t="shared" si="3"/>
        <v>0.23095859721117024</v>
      </c>
      <c r="AB27" s="1">
        <f t="shared" si="9"/>
        <v>16.677600000000005</v>
      </c>
      <c r="AC27" s="8">
        <f t="shared" si="10"/>
        <v>0.69490000000000018</v>
      </c>
      <c r="AD27" s="8">
        <f t="shared" si="4"/>
        <v>0.31984583333333333</v>
      </c>
      <c r="AE27" s="8">
        <f t="shared" si="5"/>
        <v>0.46027605890535805</v>
      </c>
      <c r="AL27" s="1">
        <f t="shared" si="0"/>
        <v>0.54</v>
      </c>
      <c r="AM27" s="1">
        <f t="shared" si="6"/>
        <v>10.5358</v>
      </c>
      <c r="AN27" s="1">
        <f t="shared" si="7"/>
        <v>52.3872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 t="s">
        <v>199</v>
      </c>
      <c r="C28" s="14">
        <v>5.219E-2</v>
      </c>
      <c r="D28" s="14">
        <v>1.1440600000000001</v>
      </c>
      <c r="E28" s="14">
        <v>5.1403100000000004</v>
      </c>
      <c r="F28" s="14" t="s">
        <v>110</v>
      </c>
      <c r="G28" s="14" t="s">
        <v>110</v>
      </c>
      <c r="H28" s="14" t="s">
        <v>110</v>
      </c>
      <c r="I28" s="14" t="s">
        <v>110</v>
      </c>
      <c r="J28" s="14" t="s">
        <v>110</v>
      </c>
      <c r="K28" s="14" t="s">
        <v>110</v>
      </c>
      <c r="L28" s="14" t="s">
        <v>110</v>
      </c>
      <c r="M28" s="14" t="s">
        <v>110</v>
      </c>
      <c r="N28" s="14"/>
      <c r="O28" s="14" t="str">
        <f t="shared" si="8"/>
        <v xml:space="preserve"> </v>
      </c>
      <c r="P28"/>
      <c r="Q28" s="2">
        <v>46157</v>
      </c>
      <c r="R28" s="3">
        <v>0.47916666666666669</v>
      </c>
      <c r="S28" s="7">
        <v>72</v>
      </c>
      <c r="T28" s="1" t="s">
        <v>102</v>
      </c>
      <c r="U28" s="1">
        <v>12</v>
      </c>
      <c r="V28" s="18"/>
      <c r="W28" s="1">
        <v>36.64</v>
      </c>
      <c r="Y28" s="15">
        <f>10*($E$19-E28)</f>
        <v>47.840699999999991</v>
      </c>
      <c r="Z28" s="1">
        <f>AM28/S28</f>
        <v>0.15889722222222225</v>
      </c>
      <c r="AA28" s="15">
        <f t="shared" si="3"/>
        <v>0.23913947747420092</v>
      </c>
      <c r="AB28" s="1">
        <f t="shared" si="9"/>
        <v>16.278399999999998</v>
      </c>
      <c r="AC28" s="8">
        <f t="shared" si="10"/>
        <v>0.67826666666666657</v>
      </c>
      <c r="AD28" s="8">
        <f t="shared" si="4"/>
        <v>0.34036666666666671</v>
      </c>
      <c r="AE28" s="8">
        <f t="shared" si="5"/>
        <v>0.50181836052683315</v>
      </c>
      <c r="AL28" s="1">
        <f t="shared" si="0"/>
        <v>0.52190000000000003</v>
      </c>
      <c r="AM28" s="1">
        <f t="shared" si="6"/>
        <v>11.440600000000002</v>
      </c>
      <c r="AN28" s="1">
        <f t="shared" si="7"/>
        <v>51.403100000000002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110</v>
      </c>
      <c r="G35" s="14" t="s">
        <v>110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2026-09-14T20:18:14Z</dcterms:modified>
</cp:coreProperties>
</file>