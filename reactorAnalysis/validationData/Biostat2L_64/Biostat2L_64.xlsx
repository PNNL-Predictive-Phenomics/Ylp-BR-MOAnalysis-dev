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CC31B840-0804-D84A-89FB-A2BDA1C5FABE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6" l="1"/>
  <c r="AN17" i="6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8" i="6"/>
  <c r="Y27" i="6"/>
  <c r="Y26" i="6"/>
  <c r="Y25" i="6"/>
  <c r="Y24" i="6"/>
  <c r="Y23" i="6"/>
  <c r="Y22" i="6"/>
  <c r="Y21" i="6"/>
  <c r="Y20" i="6"/>
  <c r="Y19" i="6"/>
  <c r="Y18" i="6"/>
  <c r="Y17" i="6"/>
  <c r="AB20" i="6" l="1"/>
  <c r="AC20" i="6" s="1"/>
  <c r="AA18" i="6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28" i="6"/>
  <c r="AD27" i="6"/>
  <c r="AE27" i="6"/>
  <c r="AE26" i="6"/>
  <c r="AD26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B24" i="6"/>
  <c r="AC24" i="6" s="1"/>
  <c r="AB25" i="6"/>
  <c r="AC25" i="6" s="1"/>
  <c r="AB27" i="6"/>
  <c r="AC27" i="6" s="1"/>
  <c r="AB26" i="6"/>
  <c r="AC26" i="6" s="1"/>
</calcChain>
</file>

<file path=xl/sharedStrings.xml><?xml version="1.0" encoding="utf-8"?>
<sst xmlns="http://schemas.openxmlformats.org/spreadsheetml/2006/main" count="415" uniqueCount="203">
  <si>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</si>
  <si>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</si>
  <si>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</si>
  <si>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</si>
  <si>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</si>
  <si>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</si>
  <si>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</si>
  <si>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</si>
  <si>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</si>
  <si>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</si>
  <si>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</si>
  <si>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</si>
  <si>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</si>
  <si>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</si>
  <si>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</si>
  <si>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</si>
  <si>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</si>
  <si>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</si>
  <si>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</si>
  <si>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</si>
  <si>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</si>
  <si>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</si>
  <si>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</si>
  <si>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</si>
  <si>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</si>
  <si>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</si>
  <si>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</si>
  <si>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</si>
  <si>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</si>
  <si>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</si>
  <si>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</si>
  <si>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</si>
  <si>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</si>
  <si>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</si>
  <si>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</si>
  <si>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</si>
  <si>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</si>
  <si>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</si>
  <si>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</si>
  <si>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</si>
  <si>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</si>
  <si>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</si>
  <si>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</si>
  <si>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</si>
  <si>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</si>
  <si>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</si>
  <si>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</si>
  <si>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</si>
  <si>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</si>
  <si>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</si>
  <si>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</si>
  <si>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</si>
  <si>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</si>
  <si>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</si>
  <si>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</si>
  <si>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</si>
  <si>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</si>
  <si>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</si>
  <si>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</si>
  <si>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</si>
  <si>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</si>
  <si>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</si>
  <si>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</si>
  <si>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</si>
  <si>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</si>
  <si>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</si>
  <si>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</si>
  <si>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</si>
  <si>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</si>
  <si>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</si>
  <si>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</si>
  <si>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</si>
  <si>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</si>
  <si>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</si>
  <si>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</si>
  <si>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</si>
  <si>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</si>
  <si>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</si>
  <si>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</si>
  <si>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</si>
  <si>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</si>
  <si>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</si>
  <si>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</si>
  <si>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</si>
  <si>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</si>
  <si>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</si>
  <si>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</si>
  <si>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</si>
  <si>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</si>
  <si>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</si>
  <si>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</si>
  <si>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</si>
  <si>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</si>
  <si>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</si>
  <si>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</si>
  <si>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</si>
  <si>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</si>
  <si>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</si>
  <si>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</si>
  <si>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</si>
  <si>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</si>
  <si>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</si>
  <si>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</si>
  <si>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</si>
  <si>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</si>
  <si>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</si>
  <si>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</si>
  <si>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</si>
  <si>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</si>
  <si>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</si>
  <si>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</si>
  <si>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</si>
  <si>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</si>
  <si>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</si>
  <si>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</si>
  <si>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</si>
  <si>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</si>
  <si>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</si>
  <si>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</si>
  <si>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</si>
  <si>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</si>
  <si>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</si>
  <si>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~100 mL in 1 L flasks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</si>
  <si>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</si>
  <si>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</si>
  <si>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</si>
  <si>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</si>
  <si>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</si>
  <si>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</si>
  <si>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</si>
  <si>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</si>
  <si>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</si>
  <si>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</si>
  <si>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</si>
  <si>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</si>
  <si>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</si>
  <si>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</si>
  <si>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</si>
  <si>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</si>
  <si>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</si>
  <si>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</si>
  <si>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</si>
  <si>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</si>
  <si>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</si>
  <si>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</si>
  <si>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</si>
  <si>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</si>
  <si>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</si>
  <si>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</si>
  <si>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</si>
  <si>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</si>
  <si>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</si>
  <si>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</si>
  <si>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</si>
  <si>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</si>
  <si>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</si>
  <si>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</si>
  <si>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</si>
  <si>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</si>
  <si>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</si>
  <si>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</si>
  <si>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</si>
  <si>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</si>
  <si>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</si>
  <si>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</si>
  <si>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</si>
  <si>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</si>
  <si>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</si>
  <si>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</si>
  <si>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</si>
  <si>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</si>
  <si>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</si>
  <si>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</si>
  <si>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</si>
  <si>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</si>
  <si>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</si>
  <si>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</si>
  <si>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</si>
  <si>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</si>
  <si>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</si>
  <si>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</si>
  <si>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</si>
  <si>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</si>
  <si>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</si>
  <si>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</si>
  <si>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</si>
  <si>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</si>
  <si>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</si>
  <si>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</si>
  <si>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</si>
  <si>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</si>
  <si>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Jeff_SloHot50_BioStat2L 64-1</t>
  </si>
  <si>
    <t>Jeff_SloHot50_BioStat2L 64-2</t>
  </si>
  <si>
    <t>Jeff_SloHot50_BioStat2L 64-3</t>
  </si>
  <si>
    <t>Jeff_SloHot50_BioStat2L 64-4</t>
  </si>
  <si>
    <t>Jeff_SloHot50_BioStat2L 64-5</t>
  </si>
  <si>
    <t>Jeff_SloHot50_BioStat2L 64-6</t>
  </si>
  <si>
    <t>Jeff_SloHot50_BioStat2L 64-7</t>
  </si>
  <si>
    <t>Jeff_SloHot50_BioStat2L 64-8</t>
  </si>
  <si>
    <t>Jeff_SloHot50_BioStat2L 64-9</t>
  </si>
  <si>
    <t>Jeff_SloHot50_BioStat2L 64-10</t>
  </si>
  <si>
    <t>Jeff_SloHot50_BioStat2L 64-11</t>
  </si>
  <si>
    <t>Jeff_SloHot50_BioStat2L 64-12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</si>
</sst>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7" fillId="2" borderId="0" xfId="2" applyBorder="1" applyAlignment="1">
      <alignment horizontal="center"/>
    </xf>
    <xf numFmtId="0" fontId="4" fillId="0" borderId="3" xfId="1" applyBorder="1"/>
    <xf numFmtId="0" fontId="4" fillId="0" borderId="4" xfId="1" applyBorder="1"/>
    <xf numFmtId="0" fontId="4" fillId="0" borderId="0" xfId="1" applyAlignment="1">
      <alignment wrapText="1"/>
    </xf>
    <xf numFmtId="0" fontId="0" fillId="0" borderId="3" xfId="0" applyBorder="1"/>
    <xf numFmtId="2" fontId="4" fillId="0" borderId="0" xfId="1" applyNumberFormat="1"/>
    <xf numFmtId="165" fontId="9" fillId="0" borderId="0" xfId="1" applyNumberFormat="1" applyFont="1"/>
    <xf numFmtId="0" fontId="4" fillId="0" borderId="5" xfId="1" applyBorder="1"/>
    <xf numFmtId="0" fontId="10" fillId="0" borderId="0" xfId="1" applyFont="1"/>
    <xf numFmtId="0" fontId="3" fillId="0" borderId="0" xfId="1" applyFont="1"/>
    <xf numFmtId="0" fontId="11" fillId="0" borderId="3" xfId="0" applyFont="1" applyBorder="1"/>
    <xf numFmtId="0" fontId="2" fillId="0" borderId="0" xfId="1" applyFont="1"/>
    <xf numFmtId="0" fontId="2" fillId="0" borderId="0" xfId="1" applyFont="1" applyAlignment="1">
      <alignment horizontal="left"/>
    </xf>
    <xf numFmtId="18" fontId="2" fillId="0" borderId="0" xfId="1" applyNumberFormat="1" applyFont="1"/>
    <xf numFmtId="0" fontId="12" fillId="0" borderId="3" xfId="0" applyFont="1" applyBorder="1"/>
    <xf numFmtId="0" fontId="2" fillId="0" borderId="0" xfId="1" applyFont="1" applyAlignment="1">
      <alignment wrapText="1"/>
    </xf>
    <xf numFmtId="0" fontId="7" fillId="2" borderId="2" xfId="2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  <xf numFmtId="9" fontId="1" fillId="0" borderId="0" xfId="1" applyNumberFormat="1" applyFont="1"/>
    <xf numFmtId="0" fontId="13" fillId="0" borderId="0" xfId="0" applyFont="1"/>
    <xf numFmtId="14" fontId="14" fillId="0" borderId="0" xfId="1" applyNumberFormat="1" applyFont="1"/>
    <xf numFmtId="0" fontId="14" fillId="0" borderId="0" xfId="1" applyFont="1"/>
    <xf numFmtId="0" fontId="4" fillId="0" borderId="0" xfId="1" applyFill="1" applyBorder="1"/>
    <xf numFmtId="0" fontId="8" fillId="0" borderId="0" xfId="3" applyFill="1" applyBorder="1" applyAlignment="1">
      <alignment horizontal="center"/>
    </xf>
    <xf numFmtId="0" fontId="8" fillId="0" borderId="0" xfId="3" applyFill="1" applyBorder="1" applyAlignment="1">
      <alignment horizontal="center"/>
    </xf>
    <xf numFmtId="0" fontId="4" fillId="0" borderId="0" xfId="1" applyFill="1" applyBorder="1" applyAlignment="1">
      <alignment horizontal="center" wrapText="1"/>
    </xf>
    <xf numFmtId="164" fontId="4" fillId="0" borderId="0" xfId="1" applyNumberFormat="1" applyFill="1" applyBorder="1"/>
    <xf numFmtId="2" fontId="4" fillId="0" borderId="0" xfId="1" applyNumberFormat="1" applyFill="1" applyBorder="1"/>
    <xf numFmtId="165" fontId="4" fillId="0" borderId="0" xfId="1" applyNumberFormat="1" applyFill="1" applyBorder="1"/>
    <xf numFmtId="0" fontId="1" fillId="0" borderId="0" xfId="1" applyFont="1" applyAlignment="1">
      <alignment wrapText="1"/>
    </xf>
    <xf numFmtId="18" fontId="1" fillId="0" borderId="0" xfId="1" applyNumberFormat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23.75</c:v>
                </c:pt>
                <c:pt idx="7" formatCode="0.0">
                  <c:v>23.75</c:v>
                </c:pt>
                <c:pt idx="8" formatCode="0.0">
                  <c:v>23.75</c:v>
                </c:pt>
                <c:pt idx="9" formatCode="0.0">
                  <c:v>48.25</c:v>
                </c:pt>
                <c:pt idx="10" formatCode="0.0">
                  <c:v>48.25</c:v>
                </c:pt>
                <c:pt idx="11" formatCode="0.0">
                  <c:v>48.25</c:v>
                </c:pt>
                <c:pt idx="12" formatCode="0.0">
                  <c:v>73.5</c:v>
                </c:pt>
                <c:pt idx="13" formatCode="0.0">
                  <c:v>73.5</c:v>
                </c:pt>
                <c:pt idx="14" formatCode="0.0">
                  <c:v>73.5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0.37</c:v>
                </c:pt>
                <c:pt idx="4">
                  <c:v>0.34100000000000003</c:v>
                </c:pt>
                <c:pt idx="5">
                  <c:v>0.33700000000000002</c:v>
                </c:pt>
                <c:pt idx="6">
                  <c:v>22.76</c:v>
                </c:pt>
                <c:pt idx="7">
                  <c:v>17.28</c:v>
                </c:pt>
                <c:pt idx="8">
                  <c:v>18.920000000000002</c:v>
                </c:pt>
                <c:pt idx="9">
                  <c:v>31.44</c:v>
                </c:pt>
                <c:pt idx="10">
                  <c:v>28.92</c:v>
                </c:pt>
                <c:pt idx="11">
                  <c:v>27.36</c:v>
                </c:pt>
                <c:pt idx="12">
                  <c:v>33.880000000000003</c:v>
                </c:pt>
                <c:pt idx="13">
                  <c:v>31.48</c:v>
                </c:pt>
                <c:pt idx="1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6" workbookViewId="0">
      <selection activeCell="F44" sqref="F44:F46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33" t="s">
        <v>121</v>
      </c>
    </row>
    <row r="2" spans="1:9" x14ac:dyDescent="0.2">
      <c r="B2" s="21"/>
    </row>
    <row r="3" spans="1:9" x14ac:dyDescent="0.2">
      <c r="A3" s="33" t="s">
        <v>123</v>
      </c>
    </row>
    <row r="5" spans="1:9" x14ac:dyDescent="0.2">
      <c r="B5" s="33" t="s">
        <v>125</v>
      </c>
      <c r="C5" s="33" t="s">
        <v>126</v>
      </c>
      <c r="D5" s="33" t="s">
        <v>128</v>
      </c>
      <c r="F5" s="33" t="s">
        <v>141</v>
      </c>
      <c r="G5" s="33" t="s">
        <v>127</v>
      </c>
      <c r="H5" s="1" t="s">
        <v>147</v>
      </c>
      <c r="I5" s="1" t="s">
        <v>148</v>
      </c>
    </row>
    <row r="6" spans="1:9" x14ac:dyDescent="0.2">
      <c r="B6" s="33" t="s">
        <v>124</v>
      </c>
      <c r="C6" s="33" t="s">
        <v>18</v>
      </c>
      <c r="D6" s="33" t="s">
        <v>137</v>
      </c>
      <c r="F6" s="33" t="s">
        <v>138</v>
      </c>
    </row>
    <row r="7" spans="1:9" x14ac:dyDescent="0.2">
      <c r="B7" s="33" t="s">
        <v>124</v>
      </c>
      <c r="C7" s="33" t="s">
        <v>116</v>
      </c>
      <c r="D7" s="33" t="s">
        <v>129</v>
      </c>
      <c r="F7" s="33" t="s">
        <v>138</v>
      </c>
      <c r="G7" s="35" t="s">
        <v>165</v>
      </c>
      <c r="H7" s="1" t="s">
        <v>166</v>
      </c>
      <c r="I7" s="1" t="s">
        <v>167</v>
      </c>
    </row>
    <row r="8" spans="1:9" x14ac:dyDescent="0.2">
      <c r="B8" s="33" t="s">
        <v>124</v>
      </c>
      <c r="C8" s="33" t="s">
        <v>117</v>
      </c>
      <c r="D8" s="33" t="s">
        <v>130</v>
      </c>
      <c r="F8" s="33" t="s">
        <v>138</v>
      </c>
      <c r="G8" s="35" t="s">
        <v>163</v>
      </c>
      <c r="H8" s="1" t="s">
        <v>164</v>
      </c>
      <c r="I8" s="1" t="s">
        <v>146</v>
      </c>
    </row>
    <row r="9" spans="1:9" x14ac:dyDescent="0.2">
      <c r="B9" s="33" t="s">
        <v>131</v>
      </c>
      <c r="C9" s="33" t="s">
        <v>18</v>
      </c>
      <c r="D9" s="33" t="s">
        <v>169</v>
      </c>
      <c r="F9" s="33" t="s">
        <v>138</v>
      </c>
      <c r="G9" s="33" t="s">
        <v>138</v>
      </c>
      <c r="H9" s="35" t="s">
        <v>161</v>
      </c>
      <c r="I9" s="35" t="s">
        <v>162</v>
      </c>
    </row>
    <row r="10" spans="1:9" x14ac:dyDescent="0.2">
      <c r="B10" s="33" t="s">
        <v>131</v>
      </c>
      <c r="C10" s="33" t="s">
        <v>116</v>
      </c>
      <c r="D10" s="33" t="s">
        <v>168</v>
      </c>
      <c r="F10" s="33" t="s">
        <v>138</v>
      </c>
      <c r="G10" s="35" t="s">
        <v>155</v>
      </c>
      <c r="H10" s="1" t="s">
        <v>156</v>
      </c>
    </row>
    <row r="11" spans="1:9" x14ac:dyDescent="0.2">
      <c r="B11" s="33" t="s">
        <v>131</v>
      </c>
      <c r="C11" s="33" t="s">
        <v>117</v>
      </c>
      <c r="D11" s="33" t="s">
        <v>144</v>
      </c>
      <c r="F11" s="33" t="s">
        <v>138</v>
      </c>
      <c r="G11" s="35" t="s">
        <v>143</v>
      </c>
      <c r="H11" s="1" t="s">
        <v>151</v>
      </c>
      <c r="I11" s="1" t="s">
        <v>146</v>
      </c>
    </row>
    <row r="12" spans="1:9" x14ac:dyDescent="0.2">
      <c r="B12" s="33" t="s">
        <v>132</v>
      </c>
      <c r="C12" s="33" t="s">
        <v>18</v>
      </c>
      <c r="D12" s="33" t="s">
        <v>177</v>
      </c>
      <c r="F12" s="33" t="s">
        <v>138</v>
      </c>
      <c r="G12" s="35" t="s">
        <v>142</v>
      </c>
      <c r="H12" s="1" t="s">
        <v>149</v>
      </c>
      <c r="I12" s="1" t="s">
        <v>150</v>
      </c>
    </row>
    <row r="13" spans="1:9" x14ac:dyDescent="0.2">
      <c r="B13" s="33" t="s">
        <v>132</v>
      </c>
      <c r="C13" s="33" t="s">
        <v>116</v>
      </c>
      <c r="D13" s="33" t="s">
        <v>178</v>
      </c>
      <c r="F13" s="33" t="s">
        <v>138</v>
      </c>
      <c r="G13" s="35" t="s">
        <v>152</v>
      </c>
      <c r="H13" s="1" t="s">
        <v>153</v>
      </c>
      <c r="I13" s="1" t="s">
        <v>154</v>
      </c>
    </row>
    <row r="14" spans="1:9" x14ac:dyDescent="0.2">
      <c r="B14" s="33" t="s">
        <v>132</v>
      </c>
      <c r="C14" s="33" t="s">
        <v>117</v>
      </c>
      <c r="D14" s="33" t="s">
        <v>179</v>
      </c>
      <c r="F14" s="33" t="s">
        <v>138</v>
      </c>
      <c r="G14" s="35" t="s">
        <v>155</v>
      </c>
      <c r="H14" s="1" t="s">
        <v>156</v>
      </c>
    </row>
    <row r="15" spans="1:9" x14ac:dyDescent="0.2">
      <c r="B15" s="33" t="s">
        <v>133</v>
      </c>
      <c r="C15" s="33" t="s">
        <v>18</v>
      </c>
      <c r="D15" s="33" t="s">
        <v>137</v>
      </c>
      <c r="F15" s="33" t="s">
        <v>138</v>
      </c>
    </row>
    <row r="16" spans="1:9" x14ac:dyDescent="0.2">
      <c r="B16" s="33" t="s">
        <v>133</v>
      </c>
      <c r="C16" s="33" t="s">
        <v>116</v>
      </c>
      <c r="D16" s="33" t="s">
        <v>179</v>
      </c>
      <c r="F16" s="33" t="s">
        <v>138</v>
      </c>
      <c r="G16" s="35" t="s">
        <v>155</v>
      </c>
      <c r="H16" s="1" t="s">
        <v>156</v>
      </c>
    </row>
    <row r="17" spans="1:9" x14ac:dyDescent="0.2">
      <c r="B17" s="33" t="s">
        <v>133</v>
      </c>
      <c r="C17" s="33" t="s">
        <v>117</v>
      </c>
      <c r="D17" s="33" t="s">
        <v>144</v>
      </c>
      <c r="F17" s="33" t="s">
        <v>138</v>
      </c>
      <c r="G17" s="35" t="s">
        <v>143</v>
      </c>
      <c r="H17" s="1" t="s">
        <v>151</v>
      </c>
    </row>
    <row r="18" spans="1:9" x14ac:dyDescent="0.2">
      <c r="B18" s="33" t="s">
        <v>134</v>
      </c>
      <c r="C18" s="33" t="s">
        <v>18</v>
      </c>
      <c r="D18" s="33" t="s">
        <v>180</v>
      </c>
      <c r="F18" s="33" t="s">
        <v>138</v>
      </c>
      <c r="G18" s="35" t="s">
        <v>145</v>
      </c>
      <c r="H18" s="1" t="s">
        <v>157</v>
      </c>
      <c r="I18" s="1" t="s">
        <v>146</v>
      </c>
    </row>
    <row r="19" spans="1:9" x14ac:dyDescent="0.2">
      <c r="B19" s="33" t="s">
        <v>134</v>
      </c>
      <c r="C19" s="33" t="s">
        <v>116</v>
      </c>
      <c r="D19" s="33" t="s">
        <v>181</v>
      </c>
      <c r="F19" s="33" t="s">
        <v>138</v>
      </c>
      <c r="G19" s="35" t="s">
        <v>158</v>
      </c>
      <c r="H19" s="1" t="s">
        <v>159</v>
      </c>
      <c r="I19" s="1" t="s">
        <v>160</v>
      </c>
    </row>
    <row r="20" spans="1:9" x14ac:dyDescent="0.2">
      <c r="B20" s="33" t="s">
        <v>134</v>
      </c>
      <c r="C20" s="33" t="s">
        <v>117</v>
      </c>
      <c r="D20" s="33" t="s">
        <v>182</v>
      </c>
      <c r="F20" s="33" t="s">
        <v>138</v>
      </c>
      <c r="G20" s="35" t="s">
        <v>161</v>
      </c>
      <c r="H20" s="35" t="s">
        <v>162</v>
      </c>
    </row>
    <row r="21" spans="1:9" x14ac:dyDescent="0.2">
      <c r="B21" s="33" t="s">
        <v>135</v>
      </c>
      <c r="C21" s="33" t="s">
        <v>18</v>
      </c>
      <c r="D21" s="33" t="s">
        <v>179</v>
      </c>
      <c r="F21" s="34" t="s">
        <v>140</v>
      </c>
      <c r="G21" s="35" t="s">
        <v>155</v>
      </c>
      <c r="H21" s="1" t="s">
        <v>156</v>
      </c>
    </row>
    <row r="22" spans="1:9" x14ac:dyDescent="0.2">
      <c r="B22" s="33" t="s">
        <v>135</v>
      </c>
      <c r="C22" s="33" t="s">
        <v>116</v>
      </c>
      <c r="D22" s="33" t="s">
        <v>179</v>
      </c>
      <c r="F22" s="33" t="s">
        <v>138</v>
      </c>
      <c r="G22" s="35" t="s">
        <v>155</v>
      </c>
      <c r="H22" s="1" t="s">
        <v>156</v>
      </c>
    </row>
    <row r="23" spans="1:9" x14ac:dyDescent="0.2">
      <c r="B23" s="33" t="s">
        <v>135</v>
      </c>
      <c r="C23" s="33" t="s">
        <v>117</v>
      </c>
      <c r="D23" s="33" t="s">
        <v>179</v>
      </c>
      <c r="F23" s="33" t="s">
        <v>139</v>
      </c>
      <c r="G23" s="35" t="s">
        <v>155</v>
      </c>
      <c r="H23" s="1" t="s">
        <v>156</v>
      </c>
    </row>
    <row r="24" spans="1:9" x14ac:dyDescent="0.2">
      <c r="B24" s="33" t="s">
        <v>136</v>
      </c>
      <c r="C24" s="33" t="s">
        <v>18</v>
      </c>
      <c r="D24" s="33" t="s">
        <v>137</v>
      </c>
      <c r="F24" s="33" t="s">
        <v>139</v>
      </c>
    </row>
    <row r="25" spans="1:9" x14ac:dyDescent="0.2">
      <c r="B25" s="33" t="s">
        <v>136</v>
      </c>
      <c r="C25" s="33" t="s">
        <v>116</v>
      </c>
      <c r="D25" s="33" t="s">
        <v>144</v>
      </c>
      <c r="F25" s="33" t="s">
        <v>139</v>
      </c>
      <c r="G25" s="35" t="s">
        <v>143</v>
      </c>
      <c r="H25" s="1" t="s">
        <v>151</v>
      </c>
    </row>
    <row r="26" spans="1:9" x14ac:dyDescent="0.2">
      <c r="B26" s="33" t="s">
        <v>136</v>
      </c>
      <c r="C26" s="33" t="s">
        <v>117</v>
      </c>
      <c r="D26" s="33" t="s">
        <v>179</v>
      </c>
      <c r="F26" s="33" t="s">
        <v>139</v>
      </c>
      <c r="G26" s="35" t="s">
        <v>155</v>
      </c>
      <c r="H26" s="1" t="s">
        <v>156</v>
      </c>
    </row>
    <row r="30" spans="1:9" x14ac:dyDescent="0.2">
      <c r="A30" s="33" t="s">
        <v>170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3" t="s">
        <v>113</v>
      </c>
      <c r="G32" s="1" t="s">
        <v>4</v>
      </c>
      <c r="H32" s="33" t="s">
        <v>79</v>
      </c>
    </row>
    <row r="33" spans="1:17" x14ac:dyDescent="0.2">
      <c r="C33" s="33" t="s">
        <v>183</v>
      </c>
      <c r="E33" s="2">
        <v>46091</v>
      </c>
      <c r="F33" s="33" t="s">
        <v>114</v>
      </c>
      <c r="G33" s="33" t="s">
        <v>137</v>
      </c>
      <c r="H33" s="33" t="s">
        <v>171</v>
      </c>
    </row>
    <row r="34" spans="1:17" x14ac:dyDescent="0.2">
      <c r="C34" s="33" t="s">
        <v>183</v>
      </c>
      <c r="E34" s="2">
        <v>46091</v>
      </c>
      <c r="F34" s="33" t="s">
        <v>114</v>
      </c>
      <c r="G34" s="33" t="s">
        <v>179</v>
      </c>
      <c r="H34" s="33" t="s">
        <v>171</v>
      </c>
    </row>
    <row r="35" spans="1:17" x14ac:dyDescent="0.2">
      <c r="C35" s="33" t="s">
        <v>183</v>
      </c>
      <c r="E35" s="2">
        <v>46091</v>
      </c>
      <c r="F35" s="33" t="s">
        <v>114</v>
      </c>
      <c r="G35" s="33" t="s">
        <v>144</v>
      </c>
      <c r="H35" s="33" t="s">
        <v>171</v>
      </c>
    </row>
    <row r="37" spans="1:17" x14ac:dyDescent="0.2">
      <c r="A37" s="33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33" t="s">
        <v>79</v>
      </c>
      <c r="I37" s="33" t="s">
        <v>17</v>
      </c>
    </row>
    <row r="38" spans="1:17" x14ac:dyDescent="0.2">
      <c r="C38" s="33" t="s">
        <v>122</v>
      </c>
      <c r="D38" s="1">
        <v>33.76</v>
      </c>
      <c r="E38" s="2">
        <v>46092</v>
      </c>
      <c r="F38" s="46" t="s">
        <v>115</v>
      </c>
      <c r="G38" s="33" t="s">
        <v>137</v>
      </c>
      <c r="H38" s="33" t="s">
        <v>171</v>
      </c>
      <c r="I38" s="33"/>
    </row>
    <row r="39" spans="1:17" x14ac:dyDescent="0.2">
      <c r="C39" s="33" t="s">
        <v>122</v>
      </c>
      <c r="D39" s="1">
        <v>28.84</v>
      </c>
      <c r="E39" s="2">
        <v>46092</v>
      </c>
      <c r="F39" s="46" t="s">
        <v>115</v>
      </c>
      <c r="G39" s="33" t="s">
        <v>179</v>
      </c>
      <c r="H39" s="33" t="s">
        <v>171</v>
      </c>
      <c r="I39" s="33"/>
    </row>
    <row r="40" spans="1:17" x14ac:dyDescent="0.2">
      <c r="C40" s="33" t="s">
        <v>122</v>
      </c>
      <c r="D40" s="1">
        <v>29.76</v>
      </c>
      <c r="E40" s="2">
        <v>46092</v>
      </c>
      <c r="F40" s="46" t="s">
        <v>115</v>
      </c>
      <c r="G40" s="33" t="s">
        <v>144</v>
      </c>
      <c r="H40" s="33" t="s">
        <v>171</v>
      </c>
      <c r="I40" s="33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4</v>
      </c>
      <c r="Q43" s="1" t="s">
        <v>17</v>
      </c>
    </row>
    <row r="44" spans="1:17" x14ac:dyDescent="0.2">
      <c r="B44" s="1" t="s">
        <v>18</v>
      </c>
      <c r="C44" s="33" t="s">
        <v>172</v>
      </c>
      <c r="D44" s="1">
        <v>1.5</v>
      </c>
      <c r="F44" s="1">
        <v>0.37</v>
      </c>
      <c r="G44" s="1">
        <v>5.6</v>
      </c>
      <c r="H44" s="3">
        <v>0.59375</v>
      </c>
      <c r="I44" s="36">
        <v>46093</v>
      </c>
      <c r="J44" s="33" t="s">
        <v>173</v>
      </c>
      <c r="K44" s="33" t="s">
        <v>174</v>
      </c>
      <c r="L44" s="1">
        <v>5.6</v>
      </c>
      <c r="M44" s="1">
        <v>28</v>
      </c>
      <c r="N44" s="33" t="s">
        <v>175</v>
      </c>
      <c r="O44" s="33" t="s">
        <v>176</v>
      </c>
      <c r="P44" s="33" t="s">
        <v>137</v>
      </c>
      <c r="Q44" s="33"/>
    </row>
    <row r="45" spans="1:17" x14ac:dyDescent="0.2">
      <c r="B45" s="33" t="s">
        <v>116</v>
      </c>
      <c r="C45" s="33" t="s">
        <v>172</v>
      </c>
      <c r="D45" s="1">
        <v>1.5</v>
      </c>
      <c r="F45" s="1">
        <v>0.34100000000000003</v>
      </c>
      <c r="G45" s="1">
        <v>5.6</v>
      </c>
      <c r="H45" s="3">
        <v>0.59375</v>
      </c>
      <c r="I45" s="36">
        <v>46093</v>
      </c>
      <c r="J45" s="33" t="s">
        <v>173</v>
      </c>
      <c r="K45" s="33" t="s">
        <v>174</v>
      </c>
      <c r="L45" s="1">
        <v>5.6</v>
      </c>
      <c r="M45" s="1">
        <v>28</v>
      </c>
      <c r="N45" s="33" t="s">
        <v>175</v>
      </c>
      <c r="O45" s="33" t="s">
        <v>176</v>
      </c>
      <c r="P45" s="33" t="s">
        <v>179</v>
      </c>
      <c r="Q45" s="33"/>
    </row>
    <row r="46" spans="1:17" x14ac:dyDescent="0.2">
      <c r="B46" s="33" t="s">
        <v>117</v>
      </c>
      <c r="C46" s="33" t="s">
        <v>172</v>
      </c>
      <c r="D46" s="1">
        <v>1.5</v>
      </c>
      <c r="F46" s="1">
        <v>0.33700000000000002</v>
      </c>
      <c r="G46" s="1">
        <v>5.6</v>
      </c>
      <c r="H46" s="3">
        <v>0.59375</v>
      </c>
      <c r="I46" s="36">
        <v>46093</v>
      </c>
      <c r="J46" s="33" t="s">
        <v>173</v>
      </c>
      <c r="K46" s="33" t="s">
        <v>174</v>
      </c>
      <c r="L46" s="1">
        <v>5.6</v>
      </c>
      <c r="M46" s="1">
        <v>28</v>
      </c>
      <c r="N46" s="33" t="s">
        <v>175</v>
      </c>
      <c r="O46" s="33" t="s">
        <v>176</v>
      </c>
      <c r="P46" s="33" t="s">
        <v>144</v>
      </c>
      <c r="Q46" s="33"/>
    </row>
    <row r="47" spans="1:17" x14ac:dyDescent="0.2">
      <c r="I47" s="37"/>
      <c r="K47" s="33"/>
    </row>
    <row r="49" spans="1:17" x14ac:dyDescent="0.2">
      <c r="C49" s="33"/>
      <c r="H49" s="3"/>
      <c r="I49" s="36"/>
      <c r="J49" s="33"/>
      <c r="K49" s="33"/>
      <c r="N49" s="33"/>
      <c r="O49" s="33"/>
      <c r="P49" s="33"/>
      <c r="Q49" s="21"/>
    </row>
    <row r="50" spans="1:17" x14ac:dyDescent="0.2">
      <c r="B50" s="21"/>
      <c r="C50" s="33"/>
      <c r="H50" s="3"/>
      <c r="I50" s="36"/>
      <c r="J50" s="33"/>
      <c r="K50" s="33"/>
      <c r="N50" s="33"/>
      <c r="O50" s="33"/>
      <c r="P50" s="33"/>
      <c r="Q50" s="21"/>
    </row>
    <row r="51" spans="1:17" x14ac:dyDescent="0.2">
      <c r="B51" s="21"/>
      <c r="C51" s="33"/>
      <c r="H51" s="3"/>
      <c r="I51" s="36"/>
      <c r="J51" s="33"/>
      <c r="K51" s="33"/>
      <c r="N51" s="33"/>
      <c r="O51" s="33"/>
      <c r="P51" s="33"/>
      <c r="Q51" s="21"/>
    </row>
    <row r="52" spans="1:17" x14ac:dyDescent="0.2">
      <c r="I52" s="37"/>
      <c r="J52" s="33"/>
      <c r="K52" s="33"/>
    </row>
    <row r="55" spans="1:17" x14ac:dyDescent="0.2">
      <c r="A55" s="21"/>
      <c r="B55" s="22"/>
    </row>
    <row r="56" spans="1:17" x14ac:dyDescent="0.2">
      <c r="B56" s="33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33"/>
      <c r="E79" s="2"/>
      <c r="F79" s="21"/>
      <c r="G79" s="33"/>
      <c r="H79" s="33"/>
    </row>
    <row r="80" spans="3:8" x14ac:dyDescent="0.2">
      <c r="C80" s="33"/>
      <c r="E80" s="2"/>
      <c r="F80" s="21"/>
      <c r="G80" s="33"/>
      <c r="H80" s="33"/>
    </row>
    <row r="81" spans="1:17" x14ac:dyDescent="0.2">
      <c r="C81" s="33"/>
      <c r="E81" s="2"/>
      <c r="F81" s="21"/>
      <c r="G81" s="33"/>
      <c r="H81" s="33"/>
    </row>
    <row r="83" spans="1:17" x14ac:dyDescent="0.2">
      <c r="A83" s="19"/>
      <c r="H83" s="21"/>
      <c r="I83" s="21"/>
    </row>
    <row r="84" spans="1:17" x14ac:dyDescent="0.2">
      <c r="C84" s="33"/>
      <c r="E84" s="2"/>
      <c r="F84" s="23"/>
      <c r="G84" s="33"/>
      <c r="H84" s="33"/>
      <c r="I84" s="21"/>
    </row>
    <row r="85" spans="1:17" x14ac:dyDescent="0.2">
      <c r="C85" s="33"/>
      <c r="E85" s="2"/>
      <c r="F85" s="23"/>
      <c r="G85" s="33"/>
      <c r="H85" s="33"/>
      <c r="I85" s="21"/>
    </row>
    <row r="86" spans="1:17" x14ac:dyDescent="0.2">
      <c r="C86" s="33"/>
      <c r="E86" s="2"/>
      <c r="F86" s="23"/>
      <c r="G86" s="33"/>
      <c r="H86" s="33"/>
      <c r="I86" s="21"/>
    </row>
    <row r="90" spans="1:17" x14ac:dyDescent="0.2">
      <c r="C90" s="33"/>
      <c r="H90" s="3"/>
      <c r="I90" s="36"/>
      <c r="J90" s="33"/>
      <c r="K90" s="33"/>
      <c r="N90" s="33"/>
      <c r="O90" s="33"/>
      <c r="P90" s="33"/>
      <c r="Q90" s="21"/>
    </row>
    <row r="91" spans="1:17" x14ac:dyDescent="0.2">
      <c r="B91" s="21"/>
      <c r="C91" s="33"/>
      <c r="H91" s="3"/>
      <c r="I91" s="36"/>
      <c r="J91" s="33"/>
      <c r="K91" s="33"/>
      <c r="N91" s="33"/>
      <c r="O91" s="33"/>
      <c r="P91" s="33"/>
      <c r="Q91" s="21"/>
    </row>
    <row r="92" spans="1:17" x14ac:dyDescent="0.2">
      <c r="B92" s="21"/>
      <c r="C92" s="33"/>
      <c r="H92" s="3"/>
      <c r="I92" s="36"/>
      <c r="J92" s="33"/>
      <c r="K92" s="33"/>
      <c r="N92" s="33"/>
      <c r="O92" s="33"/>
      <c r="P92" s="33"/>
      <c r="Q92" s="21"/>
    </row>
    <row r="97" spans="1:17" x14ac:dyDescent="0.2">
      <c r="F97" s="21"/>
      <c r="H97" s="21"/>
    </row>
    <row r="98" spans="1:17" x14ac:dyDescent="0.2">
      <c r="C98" s="33"/>
      <c r="E98" s="2"/>
      <c r="F98" s="21"/>
      <c r="G98" s="33"/>
      <c r="H98" s="33"/>
    </row>
    <row r="99" spans="1:17" x14ac:dyDescent="0.2">
      <c r="C99" s="33"/>
      <c r="E99" s="2"/>
      <c r="F99" s="21"/>
      <c r="G99" s="33"/>
      <c r="H99" s="33"/>
    </row>
    <row r="100" spans="1:17" x14ac:dyDescent="0.2">
      <c r="C100" s="33"/>
      <c r="E100" s="2"/>
      <c r="F100" s="21"/>
      <c r="G100" s="33"/>
      <c r="H100" s="33"/>
    </row>
    <row r="102" spans="1:17" x14ac:dyDescent="0.2">
      <c r="A102" s="19"/>
      <c r="H102" s="21"/>
      <c r="I102" s="21"/>
    </row>
    <row r="103" spans="1:17" x14ac:dyDescent="0.2">
      <c r="C103" s="33"/>
      <c r="E103" s="2"/>
      <c r="F103" s="23"/>
      <c r="G103" s="33"/>
      <c r="H103" s="33"/>
      <c r="I103" s="21"/>
    </row>
    <row r="104" spans="1:17" x14ac:dyDescent="0.2">
      <c r="C104" s="33"/>
      <c r="E104" s="2"/>
      <c r="F104" s="23"/>
      <c r="G104" s="33"/>
      <c r="H104" s="33"/>
      <c r="I104" s="21"/>
    </row>
    <row r="105" spans="1:17" x14ac:dyDescent="0.2">
      <c r="C105" s="33"/>
      <c r="E105" s="2"/>
      <c r="F105" s="23"/>
      <c r="G105" s="33"/>
      <c r="H105" s="33"/>
      <c r="I105" s="21"/>
    </row>
    <row r="109" spans="1:17" x14ac:dyDescent="0.2">
      <c r="C109" s="33"/>
      <c r="H109" s="3"/>
      <c r="I109" s="36"/>
      <c r="J109" s="33"/>
      <c r="K109" s="33"/>
      <c r="N109" s="33"/>
      <c r="O109" s="33"/>
      <c r="P109" s="33"/>
      <c r="Q109" s="21"/>
    </row>
    <row r="110" spans="1:17" x14ac:dyDescent="0.2">
      <c r="B110" s="21"/>
      <c r="C110" s="33"/>
      <c r="H110" s="3"/>
      <c r="I110" s="36"/>
      <c r="J110" s="33"/>
      <c r="K110" s="33"/>
      <c r="N110" s="33"/>
      <c r="O110" s="33"/>
      <c r="P110" s="33"/>
      <c r="Q110" s="21"/>
    </row>
    <row r="111" spans="1:17" x14ac:dyDescent="0.2">
      <c r="B111" s="21"/>
      <c r="C111" s="33"/>
      <c r="H111" s="3"/>
      <c r="I111" s="36"/>
      <c r="J111" s="33"/>
      <c r="K111" s="33"/>
      <c r="N111" s="33"/>
      <c r="O111" s="33"/>
      <c r="P111" s="33"/>
      <c r="Q111" s="21"/>
    </row>
    <row r="117" spans="1:9" x14ac:dyDescent="0.2">
      <c r="F117" s="21"/>
      <c r="H117" s="21"/>
    </row>
    <row r="118" spans="1:9" x14ac:dyDescent="0.2">
      <c r="C118" s="33"/>
      <c r="E118" s="2"/>
      <c r="F118" s="21"/>
      <c r="G118" s="33"/>
      <c r="H118" s="33"/>
    </row>
    <row r="119" spans="1:9" x14ac:dyDescent="0.2">
      <c r="C119" s="33"/>
      <c r="E119" s="2"/>
      <c r="F119" s="21"/>
      <c r="G119" s="33"/>
      <c r="H119" s="33"/>
    </row>
    <row r="120" spans="1:9" x14ac:dyDescent="0.2">
      <c r="C120" s="33"/>
      <c r="E120" s="2"/>
      <c r="F120" s="21"/>
      <c r="G120" s="33"/>
      <c r="H120" s="33"/>
    </row>
    <row r="122" spans="1:9" x14ac:dyDescent="0.2">
      <c r="A122" s="19"/>
      <c r="H122" s="21"/>
      <c r="I122" s="21"/>
    </row>
    <row r="123" spans="1:9" x14ac:dyDescent="0.2">
      <c r="C123" s="33"/>
      <c r="E123" s="2"/>
      <c r="F123" s="23"/>
      <c r="G123" s="33"/>
      <c r="H123" s="33"/>
      <c r="I123" s="21"/>
    </row>
    <row r="124" spans="1:9" x14ac:dyDescent="0.2">
      <c r="C124" s="33"/>
      <c r="E124" s="2"/>
      <c r="F124" s="23"/>
      <c r="G124" s="33"/>
      <c r="H124" s="33"/>
      <c r="I124" s="21"/>
    </row>
    <row r="125" spans="1:9" x14ac:dyDescent="0.2">
      <c r="C125" s="33"/>
      <c r="E125" s="2"/>
      <c r="F125" s="23"/>
      <c r="G125" s="33"/>
      <c r="H125" s="33"/>
      <c r="I125" s="21"/>
    </row>
    <row r="129" spans="1:16" x14ac:dyDescent="0.2">
      <c r="C129" s="33"/>
      <c r="H129" s="3"/>
      <c r="I129" s="36"/>
      <c r="J129" s="33"/>
      <c r="K129" s="33"/>
      <c r="N129" s="33"/>
      <c r="O129" s="33"/>
      <c r="P129" s="33"/>
    </row>
    <row r="130" spans="1:16" x14ac:dyDescent="0.2">
      <c r="B130" s="21"/>
      <c r="C130" s="33"/>
      <c r="H130" s="3"/>
      <c r="I130" s="36"/>
      <c r="J130" s="33"/>
      <c r="K130" s="33"/>
      <c r="N130" s="33"/>
      <c r="O130" s="33"/>
      <c r="P130" s="33"/>
    </row>
    <row r="131" spans="1:16" x14ac:dyDescent="0.2">
      <c r="B131" s="21"/>
      <c r="C131" s="33"/>
      <c r="H131" s="3"/>
      <c r="I131" s="36"/>
      <c r="J131" s="33"/>
      <c r="K131" s="33"/>
      <c r="N131" s="33"/>
      <c r="O131" s="33"/>
      <c r="P131" s="33"/>
    </row>
    <row r="136" spans="1:16" x14ac:dyDescent="0.2">
      <c r="F136" s="21"/>
      <c r="H136" s="21"/>
    </row>
    <row r="137" spans="1:16" x14ac:dyDescent="0.2">
      <c r="C137" s="33"/>
      <c r="E137" s="2"/>
      <c r="F137" s="21"/>
      <c r="G137" s="33"/>
      <c r="H137" s="33"/>
    </row>
    <row r="138" spans="1:16" x14ac:dyDescent="0.2">
      <c r="C138" s="33"/>
      <c r="E138" s="2"/>
      <c r="F138" s="21"/>
      <c r="G138" s="33"/>
      <c r="H138" s="33"/>
    </row>
    <row r="139" spans="1:16" x14ac:dyDescent="0.2">
      <c r="C139" s="33"/>
      <c r="E139" s="2"/>
      <c r="F139" s="21"/>
      <c r="G139" s="33"/>
      <c r="H139" s="33"/>
    </row>
    <row r="141" spans="1:16" x14ac:dyDescent="0.2">
      <c r="A141" s="19"/>
      <c r="H141" s="21"/>
      <c r="I141" s="21"/>
    </row>
    <row r="142" spans="1:16" x14ac:dyDescent="0.2">
      <c r="C142" s="33"/>
      <c r="E142" s="2"/>
      <c r="F142" s="23"/>
      <c r="G142" s="33"/>
      <c r="H142" s="33"/>
      <c r="I142" s="21"/>
    </row>
    <row r="143" spans="1:16" x14ac:dyDescent="0.2">
      <c r="C143" s="33"/>
      <c r="E143" s="2"/>
      <c r="F143" s="23"/>
      <c r="G143" s="33"/>
      <c r="H143" s="33"/>
      <c r="I143" s="21"/>
    </row>
    <row r="144" spans="1:16" x14ac:dyDescent="0.2">
      <c r="C144" s="33"/>
      <c r="E144" s="2"/>
      <c r="F144" s="23"/>
      <c r="G144" s="33"/>
      <c r="H144" s="33"/>
      <c r="I144" s="21"/>
    </row>
    <row r="148" spans="2:18" x14ac:dyDescent="0.2">
      <c r="C148" s="33"/>
      <c r="H148" s="3"/>
      <c r="I148" s="36"/>
      <c r="K148" s="34"/>
      <c r="L148" s="33"/>
      <c r="O148" s="33"/>
      <c r="P148" s="33"/>
      <c r="Q148" s="33"/>
      <c r="R148" s="33"/>
    </row>
    <row r="149" spans="2:18" x14ac:dyDescent="0.2">
      <c r="B149" s="21"/>
      <c r="C149" s="33"/>
      <c r="H149" s="3"/>
      <c r="I149" s="36"/>
      <c r="J149" s="33"/>
      <c r="K149" s="33"/>
      <c r="L149" s="33"/>
      <c r="O149" s="33"/>
      <c r="P149" s="33"/>
      <c r="Q149" s="33"/>
      <c r="R149" s="33"/>
    </row>
    <row r="150" spans="2:18" x14ac:dyDescent="0.2">
      <c r="B150" s="21"/>
      <c r="C150" s="33"/>
      <c r="H150" s="3"/>
      <c r="I150" s="36"/>
      <c r="K150" s="33"/>
      <c r="L150" s="33"/>
      <c r="O150" s="33"/>
      <c r="P150" s="33"/>
      <c r="Q150" s="33"/>
      <c r="R150" s="33"/>
    </row>
    <row r="156" spans="2:18" x14ac:dyDescent="0.2">
      <c r="F156" s="21"/>
      <c r="H156" s="21"/>
    </row>
    <row r="157" spans="2:18" x14ac:dyDescent="0.2">
      <c r="C157" s="33"/>
      <c r="E157" s="2"/>
      <c r="F157" s="23"/>
      <c r="G157" s="33"/>
      <c r="H157" s="33"/>
    </row>
    <row r="158" spans="2:18" x14ac:dyDescent="0.2">
      <c r="C158" s="33"/>
      <c r="E158" s="2"/>
      <c r="F158" s="23"/>
      <c r="G158" s="33"/>
      <c r="H158" s="33"/>
    </row>
    <row r="159" spans="2:18" x14ac:dyDescent="0.2">
      <c r="C159" s="33"/>
      <c r="E159" s="2"/>
      <c r="F159" s="23"/>
      <c r="G159" s="33"/>
      <c r="H159" s="33"/>
    </row>
    <row r="161" spans="1:17" x14ac:dyDescent="0.2">
      <c r="A161" s="19"/>
      <c r="H161" s="21"/>
      <c r="I161" s="21"/>
    </row>
    <row r="162" spans="1:17" x14ac:dyDescent="0.2">
      <c r="C162" s="33"/>
      <c r="E162" s="2"/>
      <c r="F162" s="23"/>
      <c r="G162" s="33"/>
      <c r="H162" s="33"/>
      <c r="I162" s="21"/>
    </row>
    <row r="163" spans="1:17" x14ac:dyDescent="0.2">
      <c r="C163" s="33"/>
      <c r="E163" s="2"/>
      <c r="F163" s="23"/>
      <c r="G163" s="33"/>
      <c r="H163" s="33"/>
      <c r="I163" s="21"/>
    </row>
    <row r="164" spans="1:17" x14ac:dyDescent="0.2">
      <c r="C164" s="33"/>
      <c r="E164" s="2"/>
      <c r="F164" s="23"/>
      <c r="G164" s="33"/>
      <c r="H164" s="33"/>
      <c r="I164" s="21"/>
    </row>
    <row r="168" spans="1:17" x14ac:dyDescent="0.2">
      <c r="C168" s="33"/>
      <c r="H168" s="3"/>
      <c r="I168" s="36"/>
      <c r="K168" s="33"/>
      <c r="N168" s="33"/>
      <c r="O168" s="33"/>
      <c r="P168" s="33"/>
      <c r="Q168" s="33"/>
    </row>
    <row r="169" spans="1:17" x14ac:dyDescent="0.2">
      <c r="B169" s="21"/>
      <c r="C169" s="33"/>
      <c r="H169" s="3"/>
      <c r="I169" s="36"/>
      <c r="K169" s="33"/>
      <c r="N169" s="33"/>
      <c r="O169" s="33"/>
      <c r="P169" s="33"/>
      <c r="Q169" s="21"/>
    </row>
    <row r="170" spans="1:17" x14ac:dyDescent="0.2">
      <c r="B170" s="21"/>
      <c r="C170" s="33"/>
      <c r="H170" s="3"/>
      <c r="I170" s="36"/>
      <c r="K170" s="33"/>
      <c r="N170" s="33"/>
      <c r="O170" s="33"/>
      <c r="P170" s="33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118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118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120</v>
      </c>
      <c r="J5" s="21" t="s">
        <v>119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C7" zoomScaleNormal="125" workbookViewId="0">
      <selection activeCell="W29" sqref="W29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80" width="11.1640625" style="38"/>
    <col min="8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0" t="s">
        <v>107</v>
      </c>
      <c r="D11" s="31"/>
      <c r="E11" s="31"/>
      <c r="F11" s="31"/>
      <c r="G11" s="31"/>
      <c r="H11" s="31"/>
      <c r="I11" s="31"/>
      <c r="J11" s="31"/>
      <c r="K11" s="31"/>
      <c r="L11" s="31"/>
      <c r="M11" s="32"/>
      <c r="S11" s="4"/>
    </row>
    <row r="12" spans="1:59" x14ac:dyDescent="0.2">
      <c r="C12" s="27" t="s">
        <v>106</v>
      </c>
      <c r="D12" s="28"/>
      <c r="E12" s="28"/>
      <c r="F12" s="28"/>
      <c r="G12" s="28"/>
      <c r="H12" s="28"/>
      <c r="I12" s="28"/>
      <c r="J12" s="28"/>
      <c r="K12" s="28"/>
      <c r="L12" s="29"/>
      <c r="AL12" s="26" t="s">
        <v>85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10"/>
      <c r="AX12" s="10"/>
      <c r="AY12" s="39"/>
      <c r="AZ12" s="39"/>
      <c r="BA12" s="39"/>
      <c r="BB12" s="39"/>
      <c r="BC12" s="40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184</v>
      </c>
      <c r="H13" s="14" t="s">
        <v>185</v>
      </c>
      <c r="I13" s="14" t="s">
        <v>89</v>
      </c>
      <c r="J13" s="14" t="s">
        <v>186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45" t="s">
        <v>187</v>
      </c>
      <c r="AA13" s="45" t="s">
        <v>188</v>
      </c>
      <c r="AB13" s="25" t="s">
        <v>99</v>
      </c>
      <c r="AC13" s="13" t="s">
        <v>100</v>
      </c>
      <c r="AD13" s="45" t="s">
        <v>189</v>
      </c>
      <c r="AE13" s="45" t="s">
        <v>190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184</v>
      </c>
      <c r="AQ13" s="14" t="s">
        <v>185</v>
      </c>
      <c r="AR13" s="14" t="s">
        <v>89</v>
      </c>
      <c r="AS13" s="14" t="s">
        <v>186</v>
      </c>
      <c r="AT13" s="14" t="s">
        <v>90</v>
      </c>
      <c r="AU13" s="14" t="s">
        <v>105</v>
      </c>
      <c r="AV13" s="38"/>
      <c r="AW13" s="38"/>
      <c r="AX13" s="38"/>
      <c r="AY13" s="41"/>
      <c r="AZ13" s="41"/>
    </row>
    <row r="14" spans="1:59" x14ac:dyDescent="0.2">
      <c r="A14" s="11"/>
      <c r="Q14" s="2"/>
      <c r="R14" s="3"/>
      <c r="T14" s="19"/>
      <c r="AL14" s="1" t="str">
        <f>IF(ISNUMBER(C14),C14*1000/100,"")</f>
        <v/>
      </c>
      <c r="AO14" s="1" t="str">
        <f>IF(ISNUMBER(F14),F14*1000/100,"")</f>
        <v/>
      </c>
      <c r="AP14" s="1" t="str">
        <f>IF(ISNUMBER(G14),G14*1000/100,"")</f>
        <v/>
      </c>
      <c r="AQ14" s="1" t="str">
        <f>IF(ISNUMBER(H14),H14*1000/100,"")</f>
        <v/>
      </c>
      <c r="AR14" s="1" t="str">
        <f>IF(ISNUMBER(I14),I14*1000/100,"")</f>
        <v/>
      </c>
      <c r="AS14" s="1" t="str">
        <f>IF(ISNUMBER(J14),J14*1000/100,"")</f>
        <v/>
      </c>
      <c r="AT14" s="1" t="str">
        <f>IF(ISNUMBER(K14),K14*1000/100,"")</f>
        <v/>
      </c>
      <c r="AU14" s="1" t="str">
        <f>IF(ISNUMBER(L14),L14*1000/100,"")</f>
        <v/>
      </c>
      <c r="AV14" s="38"/>
      <c r="AW14" s="38"/>
      <c r="AX14" s="38"/>
    </row>
    <row r="15" spans="1:59" x14ac:dyDescent="0.2">
      <c r="A15" s="11"/>
      <c r="Q15" s="2"/>
      <c r="R15" s="3"/>
      <c r="T15" s="19"/>
      <c r="AL15" s="1" t="str">
        <f>IF(ISNUMBER(C15),C15*1000/100,"")</f>
        <v/>
      </c>
      <c r="AO15" s="1" t="str">
        <f>IF(ISNUMBER(F15),F15*1000/100,"")</f>
        <v/>
      </c>
      <c r="AP15" s="1" t="str">
        <f>IF(ISNUMBER(G15),G15*1000/100,"")</f>
        <v/>
      </c>
      <c r="AQ15" s="1" t="str">
        <f>IF(ISNUMBER(H15),H15*1000/100,"")</f>
        <v/>
      </c>
      <c r="AR15" s="1" t="str">
        <f>IF(ISNUMBER(I15),I15*1000/100,"")</f>
        <v/>
      </c>
      <c r="AS15" s="1" t="str">
        <f>IF(ISNUMBER(J15),J15*1000/100,"")</f>
        <v/>
      </c>
      <c r="AT15" s="1" t="str">
        <f>IF(ISNUMBER(K15),K15*1000/100,"")</f>
        <v/>
      </c>
      <c r="AU15" s="1" t="str">
        <f>IF(ISNUMBER(L15),L15*1000/100,"")</f>
        <v/>
      </c>
      <c r="AV15" s="38"/>
      <c r="AW15" s="38"/>
      <c r="AX15" s="38"/>
      <c r="BE15" s="42"/>
      <c r="BF15" s="42"/>
      <c r="BG15" s="42"/>
    </row>
    <row r="16" spans="1:59" x14ac:dyDescent="0.2">
      <c r="A16" s="11"/>
      <c r="Q16" s="2"/>
      <c r="R16" s="3"/>
      <c r="T16" s="19"/>
      <c r="AL16" s="1" t="str">
        <f>IF(ISNUMBER(C16),C16*1000/100,"")</f>
        <v/>
      </c>
      <c r="AO16" s="1" t="str">
        <f>IF(ISNUMBER(F16),F16*1000/100,"")</f>
        <v/>
      </c>
      <c r="AP16" s="1" t="str">
        <f>IF(ISNUMBER(G16),G16*1000/100,"")</f>
        <v/>
      </c>
      <c r="AQ16" s="1" t="str">
        <f>IF(ISNUMBER(H16),H16*1000/100,"")</f>
        <v/>
      </c>
      <c r="AR16" s="1" t="str">
        <f>IF(ISNUMBER(I16),I16*1000/100,"")</f>
        <v/>
      </c>
      <c r="AS16" s="1" t="str">
        <f>IF(ISNUMBER(J16),J16*1000/100,"")</f>
        <v/>
      </c>
      <c r="AT16" s="1" t="str">
        <f>IF(ISNUMBER(K16),K16*1000/100,"")</f>
        <v/>
      </c>
      <c r="AU16" s="1" t="str">
        <f>IF(ISNUMBER(L16),L16*1000/100,"")</f>
        <v/>
      </c>
      <c r="AV16" s="38"/>
      <c r="AW16" s="38"/>
      <c r="AX16" s="38"/>
      <c r="AY16" s="43"/>
      <c r="AZ16" s="43"/>
      <c r="BE16" s="42"/>
      <c r="BF16" s="42"/>
      <c r="BG16" s="42"/>
    </row>
    <row r="17" spans="1:80" x14ac:dyDescent="0.2">
      <c r="B17" s="14" t="s">
        <v>191</v>
      </c>
      <c r="C17" s="14">
        <v>1.9060000000000001E-2</v>
      </c>
      <c r="D17" s="14">
        <v>5.5579999999999997E-2</v>
      </c>
      <c r="E17" s="14">
        <v>9.7495899999999995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46093</v>
      </c>
      <c r="R17" s="3">
        <v>0.59375</v>
      </c>
      <c r="S17" s="7">
        <v>0.5</v>
      </c>
      <c r="T17" s="1" t="s">
        <v>101</v>
      </c>
      <c r="U17" s="1">
        <v>1</v>
      </c>
      <c r="V17" s="21"/>
      <c r="W17" s="1">
        <v>0.37</v>
      </c>
      <c r="Y17" s="15">
        <f>($E$17-E17)*10</f>
        <v>0</v>
      </c>
      <c r="Z17" s="1">
        <f>AM17/S17</f>
        <v>1.1115999999999999</v>
      </c>
      <c r="AA17" s="15" t="e">
        <f>AM17/Y17</f>
        <v>#DIV/0!</v>
      </c>
      <c r="AB17" s="1">
        <f>AN17-AN17</f>
        <v>0</v>
      </c>
      <c r="AC17" s="8">
        <f>AB17/(S17)</f>
        <v>0</v>
      </c>
      <c r="AD17" s="8">
        <f>(AM17-AM14)/(S17-S14)</f>
        <v>1.1115999999999999</v>
      </c>
      <c r="AE17" s="8" t="e">
        <f>(AM17-AM14)/(Y17-Y14)</f>
        <v>#DIV/0!</v>
      </c>
      <c r="AL17" s="1">
        <f>IF(ISNUMBER(C17),C17*1000/100,"")</f>
        <v>0.19060000000000002</v>
      </c>
      <c r="AM17" s="1">
        <f>IF(ISNUMBER(D17),D17*1000/100,0)</f>
        <v>0.55579999999999996</v>
      </c>
      <c r="AN17" s="1">
        <f>IF(ISNUMBER(E17),E17*1000/100,0)</f>
        <v>97.495900000000006</v>
      </c>
      <c r="AV17" s="38"/>
      <c r="AW17" s="38"/>
      <c r="AX17" s="38"/>
      <c r="AY17" s="43"/>
      <c r="AZ17" s="43"/>
      <c r="BE17" s="42"/>
      <c r="BF17" s="42"/>
      <c r="BG17" s="42"/>
    </row>
    <row r="18" spans="1:80" x14ac:dyDescent="0.2">
      <c r="B18" s="14" t="s">
        <v>192</v>
      </c>
      <c r="C18" s="14">
        <v>1.951E-2</v>
      </c>
      <c r="D18" s="14">
        <v>5.4309999999999997E-2</v>
      </c>
      <c r="E18" s="14">
        <v>9.6892200000000006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0">F18</f>
        <v xml:space="preserve"> </v>
      </c>
      <c r="P18"/>
      <c r="Q18" s="2">
        <v>46093</v>
      </c>
      <c r="R18" s="3">
        <v>0.59375</v>
      </c>
      <c r="S18" s="7">
        <v>0.5</v>
      </c>
      <c r="T18" s="1" t="s">
        <v>102</v>
      </c>
      <c r="U18" s="1">
        <v>2</v>
      </c>
      <c r="V18" s="21"/>
      <c r="W18" s="1">
        <v>0.34100000000000003</v>
      </c>
      <c r="Y18" s="15">
        <f>10*($E$18-E18)</f>
        <v>0</v>
      </c>
      <c r="Z18" s="1">
        <f>AM18/S18</f>
        <v>1.0861999999999998</v>
      </c>
      <c r="AA18" s="15" t="e">
        <f>AM18/Y18</f>
        <v>#DIV/0!</v>
      </c>
      <c r="AB18" s="1">
        <f>AN18-AN18</f>
        <v>0</v>
      </c>
      <c r="AC18" s="8">
        <f>AB18/(S18)</f>
        <v>0</v>
      </c>
      <c r="AD18" s="8">
        <f>(AM18-AM15)/(S18-S15)</f>
        <v>1.0861999999999998</v>
      </c>
      <c r="AE18" s="8" t="e">
        <f>(AM18-AM15)/(Y18-Y15)</f>
        <v>#DIV/0!</v>
      </c>
      <c r="AL18" s="1">
        <f>IF(ISNUMBER(C18),C18*1000/100,"")</f>
        <v>0.19509999999999997</v>
      </c>
      <c r="AM18" s="1">
        <f>IF(ISNUMBER(D18),D18*1000/100,0)</f>
        <v>0.54309999999999992</v>
      </c>
      <c r="AN18" s="1">
        <f>IF(ISNUMBER(E18),E18*1000/100,0)</f>
        <v>96.892200000000017</v>
      </c>
      <c r="AV18" s="38"/>
      <c r="AW18" s="38"/>
      <c r="AX18" s="38"/>
      <c r="AY18" s="43"/>
      <c r="AZ18" s="43"/>
      <c r="BE18" s="42"/>
      <c r="BF18" s="44"/>
      <c r="BG18" s="42"/>
    </row>
    <row r="19" spans="1:80" x14ac:dyDescent="0.2">
      <c r="A19" s="12"/>
      <c r="B19" s="14" t="s">
        <v>193</v>
      </c>
      <c r="C19" s="14">
        <v>2.1129999999999999E-2</v>
      </c>
      <c r="D19" s="14">
        <v>5.5449999999999999E-2</v>
      </c>
      <c r="E19" s="14">
        <v>9.6902899999999992</v>
      </c>
      <c r="F19" s="14" t="s">
        <v>112</v>
      </c>
      <c r="G19" s="14" t="s">
        <v>112</v>
      </c>
      <c r="H19" s="14"/>
      <c r="I19" s="14"/>
      <c r="J19" s="14"/>
      <c r="K19" s="14"/>
      <c r="L19" s="14" t="s">
        <v>112</v>
      </c>
      <c r="M19" s="14" t="s">
        <v>112</v>
      </c>
      <c r="N19" s="20"/>
      <c r="O19" s="14" t="str">
        <f t="shared" si="0"/>
        <v xml:space="preserve"> </v>
      </c>
      <c r="P19"/>
      <c r="Q19" s="2">
        <v>46093</v>
      </c>
      <c r="R19" s="3">
        <v>0.59375</v>
      </c>
      <c r="S19" s="7">
        <v>0.5</v>
      </c>
      <c r="T19" s="1" t="s">
        <v>103</v>
      </c>
      <c r="U19" s="1">
        <v>3</v>
      </c>
      <c r="V19" s="21"/>
      <c r="W19" s="1">
        <v>0.33700000000000002</v>
      </c>
      <c r="Y19" s="15">
        <f>10*($E$19-E19)</f>
        <v>0</v>
      </c>
      <c r="Z19" s="1">
        <f>AM19/S19</f>
        <v>1.109</v>
      </c>
      <c r="AA19" s="15" t="e">
        <f>AM19/Y19</f>
        <v>#DIV/0!</v>
      </c>
      <c r="AB19" s="1">
        <f>AN19-AN19</f>
        <v>0</v>
      </c>
      <c r="AC19" s="8">
        <f>AB19/(S19)</f>
        <v>0</v>
      </c>
      <c r="AD19" s="8">
        <f>(AM19-AM16)/(S19-S16)</f>
        <v>1.109</v>
      </c>
      <c r="AE19" s="8" t="e">
        <f>(AM19-AM16)/(Y19-Y16)</f>
        <v>#DIV/0!</v>
      </c>
      <c r="AL19" s="1">
        <f>IF(ISNUMBER(C19),C19*1000/100,"")</f>
        <v>0.21129999999999999</v>
      </c>
      <c r="AM19" s="1">
        <f>IF(ISNUMBER(D19),D19*1000/100,0)</f>
        <v>0.55449999999999999</v>
      </c>
      <c r="AN19" s="1">
        <f>IF(ISNUMBER(E19),E19*1000/100,0)</f>
        <v>96.902899999999988</v>
      </c>
      <c r="AV19" s="38"/>
      <c r="AW19" s="38"/>
      <c r="AX19" s="38"/>
      <c r="AY19" s="43"/>
      <c r="AZ19" s="43"/>
      <c r="BE19" s="42"/>
      <c r="BF19" s="44"/>
      <c r="BG19" s="42"/>
    </row>
    <row r="20" spans="1:80" x14ac:dyDescent="0.2">
      <c r="B20" s="14" t="s">
        <v>194</v>
      </c>
      <c r="C20" s="14">
        <v>4.8719999999999999E-2</v>
      </c>
      <c r="D20" s="14">
        <v>2.9909999999999999E-2</v>
      </c>
      <c r="E20" s="14">
        <v>8.6103299999999994</v>
      </c>
      <c r="F20" s="14" t="s">
        <v>112</v>
      </c>
      <c r="G20" s="14" t="s">
        <v>112</v>
      </c>
      <c r="H20" s="14"/>
      <c r="I20" s="14"/>
      <c r="J20" s="14"/>
      <c r="K20" s="14"/>
      <c r="L20" s="14" t="s">
        <v>112</v>
      </c>
      <c r="M20" s="14" t="s">
        <v>112</v>
      </c>
      <c r="N20" s="20"/>
      <c r="O20" s="14" t="str">
        <f t="shared" si="0"/>
        <v xml:space="preserve"> </v>
      </c>
      <c r="P20"/>
      <c r="Q20" s="2">
        <v>46094</v>
      </c>
      <c r="R20" s="3">
        <v>0.58333333333333337</v>
      </c>
      <c r="S20" s="7">
        <v>23.75</v>
      </c>
      <c r="T20" s="1" t="s">
        <v>101</v>
      </c>
      <c r="U20" s="1">
        <v>4</v>
      </c>
      <c r="V20" s="21"/>
      <c r="W20" s="1">
        <v>22.76</v>
      </c>
      <c r="Y20" s="15">
        <f>($E$17-E20)*10</f>
        <v>11.392600000000002</v>
      </c>
      <c r="Z20" s="1">
        <f>AM20/S20</f>
        <v>1.2593684210526314E-2</v>
      </c>
      <c r="AA20" s="15">
        <f>AM20/Y20</f>
        <v>2.6253884100205391E-2</v>
      </c>
      <c r="AB20" s="1">
        <f>AN17-AN20</f>
        <v>11.392600000000002</v>
      </c>
      <c r="AC20" s="8">
        <f>AB20/(S20-S17)</f>
        <v>0.49000430107526888</v>
      </c>
      <c r="AD20" s="8">
        <f>(AM20-AM17)/(S20-S17)</f>
        <v>-1.1040860215053763E-2</v>
      </c>
      <c r="AE20" s="8">
        <f>(AM20-AM17)/(Y20-Y17)</f>
        <v>-2.2532170005091019E-2</v>
      </c>
      <c r="AL20" s="1">
        <f>IF(ISNUMBER(C20),C20*1000/100,"")</f>
        <v>0.48719999999999997</v>
      </c>
      <c r="AM20" s="1">
        <f>IF(ISNUMBER(D20),D20*1000/100,0)</f>
        <v>0.29909999999999998</v>
      </c>
      <c r="AN20" s="1">
        <f>IF(ISNUMBER(E20),E20*1000/100,0)</f>
        <v>86.103300000000004</v>
      </c>
      <c r="AV20" s="38"/>
      <c r="AW20" s="38"/>
      <c r="AX20" s="38"/>
      <c r="AY20" s="43"/>
      <c r="AZ20" s="43"/>
      <c r="BE20" s="42"/>
      <c r="BF20" s="44"/>
      <c r="BG20" s="42"/>
    </row>
    <row r="21" spans="1:80" x14ac:dyDescent="0.2">
      <c r="B21" s="14" t="s">
        <v>195</v>
      </c>
      <c r="C21" s="14">
        <v>5.0200000000000002E-2</v>
      </c>
      <c r="D21" s="14">
        <v>3.1719999999999998E-2</v>
      </c>
      <c r="E21" s="14">
        <v>8.7082300000000004</v>
      </c>
      <c r="F21" s="14" t="s">
        <v>112</v>
      </c>
      <c r="G21" s="14" t="s">
        <v>112</v>
      </c>
      <c r="H21" s="14"/>
      <c r="I21" s="14"/>
      <c r="J21" s="14"/>
      <c r="K21" s="14"/>
      <c r="L21" s="14" t="s">
        <v>112</v>
      </c>
      <c r="M21" s="14" t="s">
        <v>112</v>
      </c>
      <c r="N21" s="20"/>
      <c r="O21" s="14" t="str">
        <f t="shared" si="0"/>
        <v xml:space="preserve"> </v>
      </c>
      <c r="P21"/>
      <c r="Q21" s="2">
        <v>46094</v>
      </c>
      <c r="R21" s="3">
        <v>0.58333333333333337</v>
      </c>
      <c r="S21" s="7">
        <v>23.75</v>
      </c>
      <c r="T21" s="1" t="s">
        <v>102</v>
      </c>
      <c r="U21" s="1">
        <v>5</v>
      </c>
      <c r="V21" s="21"/>
      <c r="W21" s="1">
        <v>17.28</v>
      </c>
      <c r="Y21" s="15">
        <f>10*($E$18-E21)</f>
        <v>9.8099000000000025</v>
      </c>
      <c r="Z21" s="1">
        <f>AM21/S21</f>
        <v>1.335578947368421E-2</v>
      </c>
      <c r="AA21" s="15">
        <f>AM21/Y21</f>
        <v>3.2334682310726906E-2</v>
      </c>
      <c r="AB21" s="1">
        <f>AN18-AN21</f>
        <v>9.8099000000000274</v>
      </c>
      <c r="AC21" s="8">
        <f>AB21/(S21-S18)</f>
        <v>0.42193118279570008</v>
      </c>
      <c r="AD21" s="8">
        <f>(AM21-AM18)/(S21-S18)</f>
        <v>-9.7161290322580612E-3</v>
      </c>
      <c r="AE21" s="8">
        <f>(AM21-AM18)/(Y21-Y18)</f>
        <v>-2.3027757673370765E-2</v>
      </c>
      <c r="AL21" s="1">
        <f>IF(ISNUMBER(C21),C21*1000/100,"")</f>
        <v>0.502</v>
      </c>
      <c r="AM21" s="1">
        <f>IF(ISNUMBER(D21),D21*1000/100,0)</f>
        <v>0.31719999999999998</v>
      </c>
      <c r="AN21" s="1">
        <f>IF(ISNUMBER(E21),E21*1000/100,0)</f>
        <v>87.082299999999989</v>
      </c>
      <c r="AO21" s="1" t="str">
        <f>IF(ISNUMBER(F21),F21*1000/100,"")</f>
        <v/>
      </c>
      <c r="AP21" s="1" t="str">
        <f>IF(ISNUMBER(G21),G21*1000/100,"")</f>
        <v/>
      </c>
      <c r="AQ21" s="1" t="str">
        <f>IF(ISNUMBER(H21),H21*1000/100,"")</f>
        <v/>
      </c>
      <c r="AR21" s="1" t="str">
        <f>IF(ISNUMBER(I21),I21*1000/100,"")</f>
        <v/>
      </c>
      <c r="AS21" s="1" t="str">
        <f>IF(ISNUMBER(J21),J21*1000/100,"")</f>
        <v/>
      </c>
      <c r="AT21" s="1" t="str">
        <f>IF(ISNUMBER(K21),K21*1000/100,"")</f>
        <v/>
      </c>
      <c r="AU21" s="1" t="str">
        <f>IF(ISNUMBER(L21),L21*1000/100,"")</f>
        <v/>
      </c>
      <c r="AV21" s="38"/>
      <c r="AW21" s="38"/>
      <c r="AX21" s="38"/>
      <c r="AY21" s="43"/>
      <c r="AZ21" s="43"/>
      <c r="BE21" s="42"/>
      <c r="BF21" s="44"/>
      <c r="BG21" s="42"/>
    </row>
    <row r="22" spans="1:80" x14ac:dyDescent="0.2">
      <c r="B22" s="14" t="s">
        <v>196</v>
      </c>
      <c r="C22" s="14">
        <v>5.0880000000000002E-2</v>
      </c>
      <c r="D22" s="14">
        <v>3.5959999999999999E-2</v>
      </c>
      <c r="E22" s="14">
        <v>8.6851800000000008</v>
      </c>
      <c r="F22" s="14" t="s">
        <v>112</v>
      </c>
      <c r="G22" s="14" t="s">
        <v>112</v>
      </c>
      <c r="H22" s="14"/>
      <c r="I22" s="14"/>
      <c r="J22" s="14"/>
      <c r="K22" s="14"/>
      <c r="L22" s="14" t="s">
        <v>112</v>
      </c>
      <c r="M22" s="14" t="s">
        <v>112</v>
      </c>
      <c r="N22" s="20"/>
      <c r="O22" s="14" t="str">
        <f t="shared" si="0"/>
        <v xml:space="preserve"> </v>
      </c>
      <c r="P22"/>
      <c r="Q22" s="2">
        <v>46094</v>
      </c>
      <c r="R22" s="3">
        <v>0.58333333333333337</v>
      </c>
      <c r="S22" s="7">
        <v>23.75</v>
      </c>
      <c r="T22" s="1" t="s">
        <v>103</v>
      </c>
      <c r="U22" s="1">
        <v>6</v>
      </c>
      <c r="V22" s="21"/>
      <c r="W22" s="1">
        <v>18.920000000000002</v>
      </c>
      <c r="Y22" s="15">
        <f>10*($E$19-E22)</f>
        <v>10.051099999999984</v>
      </c>
      <c r="Z22" s="1">
        <f>AM22/S22</f>
        <v>1.5141052631578949E-2</v>
      </c>
      <c r="AA22" s="15">
        <f>AM22/Y22</f>
        <v>3.5777178617265835E-2</v>
      </c>
      <c r="AB22" s="1">
        <f>AN19-AN22</f>
        <v>10.051099999999991</v>
      </c>
      <c r="AC22" s="8">
        <f>AB22/(S22-S19)</f>
        <v>0.43230537634408561</v>
      </c>
      <c r="AD22" s="8">
        <f>(AM22-AM19)/(S22-S19)</f>
        <v>-8.382795698924729E-3</v>
      </c>
      <c r="AE22" s="8">
        <f>(AM22-AM19)/(Y22-Y19)</f>
        <v>-1.9390912437444684E-2</v>
      </c>
      <c r="AL22" s="1">
        <f>IF(ISNUMBER(C22),C22*1000/100,"")</f>
        <v>0.50880000000000003</v>
      </c>
      <c r="AM22" s="1">
        <f>IF(ISNUMBER(D22),D22*1000/100,0)</f>
        <v>0.35960000000000003</v>
      </c>
      <c r="AN22" s="1">
        <f>IF(ISNUMBER(E22),E22*1000/100,0)</f>
        <v>86.851799999999997</v>
      </c>
      <c r="AO22" s="1" t="str">
        <f>IF(ISNUMBER(F22),F22*1000/100,"")</f>
        <v/>
      </c>
      <c r="AP22" s="1" t="str">
        <f>IF(ISNUMBER(G22),G22*1000/100,"")</f>
        <v/>
      </c>
      <c r="AQ22" s="1" t="str">
        <f>IF(ISNUMBER(H22),H22*1000/100,"")</f>
        <v/>
      </c>
      <c r="AR22" s="1" t="str">
        <f>IF(ISNUMBER(I22),I22*1000/100,"")</f>
        <v/>
      </c>
      <c r="AS22" s="1" t="str">
        <f>IF(ISNUMBER(J22),J22*1000/100,"")</f>
        <v/>
      </c>
      <c r="AT22" s="1" t="str">
        <f>IF(ISNUMBER(K22),K22*1000/100,"")</f>
        <v/>
      </c>
      <c r="AU22" s="1" t="str">
        <f>IF(ISNUMBER(L22),L22*1000/100,"")</f>
        <v/>
      </c>
      <c r="AV22" s="38"/>
      <c r="AW22" s="38"/>
      <c r="AX22" s="38"/>
      <c r="AY22" s="43"/>
      <c r="AZ22" s="43"/>
      <c r="BE22" s="42"/>
      <c r="BF22" s="44"/>
      <c r="BG22" s="42"/>
    </row>
    <row r="23" spans="1:80" x14ac:dyDescent="0.2">
      <c r="B23" s="14" t="s">
        <v>197</v>
      </c>
      <c r="C23" s="14">
        <v>5.457E-2</v>
      </c>
      <c r="D23" s="14">
        <v>0.16431000000000001</v>
      </c>
      <c r="E23" s="14">
        <v>7.1242099999999997</v>
      </c>
      <c r="F23" s="14" t="s">
        <v>112</v>
      </c>
      <c r="G23" s="14" t="s">
        <v>112</v>
      </c>
      <c r="H23" s="14"/>
      <c r="I23" s="14"/>
      <c r="J23" s="14"/>
      <c r="K23" s="14"/>
      <c r="L23" s="14" t="s">
        <v>112</v>
      </c>
      <c r="M23" s="14" t="s">
        <v>112</v>
      </c>
      <c r="N23" s="14"/>
      <c r="O23" s="14" t="str">
        <f t="shared" si="0"/>
        <v xml:space="preserve"> </v>
      </c>
      <c r="P23"/>
      <c r="Q23" s="2">
        <v>46095</v>
      </c>
      <c r="R23" s="3">
        <v>0.60416666666666663</v>
      </c>
      <c r="S23" s="7">
        <v>48.25</v>
      </c>
      <c r="T23" s="1" t="s">
        <v>101</v>
      </c>
      <c r="U23" s="1">
        <v>7</v>
      </c>
      <c r="W23" s="18">
        <v>31.44</v>
      </c>
      <c r="Y23" s="15">
        <f>($E$17-E23)*10</f>
        <v>26.253799999999998</v>
      </c>
      <c r="Z23" s="1">
        <f>AM23/S23</f>
        <v>3.4053886010362695E-2</v>
      </c>
      <c r="AA23" s="15">
        <f>AM23/Y23</f>
        <v>6.2585225757795071E-2</v>
      </c>
      <c r="AB23" s="1">
        <f>AN20-AN23</f>
        <v>14.861200000000011</v>
      </c>
      <c r="AC23" s="8">
        <f>AB23/(S23-S20)</f>
        <v>0.60657959183673515</v>
      </c>
      <c r="AD23" s="8">
        <f>(AM23-AM20)/(S23-S20)</f>
        <v>5.4857142857142861E-2</v>
      </c>
      <c r="AE23" s="8">
        <f>(AM23-AM20)/(Y23-Y20)</f>
        <v>9.0436842246924901E-2</v>
      </c>
      <c r="AL23" s="1">
        <f>IF(ISNUMBER(C23),C23*1000/100,"")</f>
        <v>0.54569999999999996</v>
      </c>
      <c r="AM23" s="1">
        <f>IF(ISNUMBER(D23),D23*1000/100,0)</f>
        <v>1.6431</v>
      </c>
      <c r="AN23" s="4">
        <f>IF(ISNUMBER(E23),E23*1000/100,0)</f>
        <v>71.242099999999994</v>
      </c>
      <c r="AO23" s="1" t="str">
        <f>IF(ISNUMBER(F23),F23*1000/100,"")</f>
        <v/>
      </c>
      <c r="AP23" s="1" t="str">
        <f>IF(ISNUMBER(G23),G23*1000/100,"")</f>
        <v/>
      </c>
      <c r="AQ23" s="1" t="str">
        <f>IF(ISNUMBER(H23),H23*1000/100,"")</f>
        <v/>
      </c>
      <c r="AR23" s="1" t="str">
        <f>IF(ISNUMBER(I23),I23*1000/100,"")</f>
        <v/>
      </c>
      <c r="AS23" s="1" t="str">
        <f>IF(ISNUMBER(J23),J23*1000/100,"")</f>
        <v/>
      </c>
      <c r="AT23" s="1" t="str">
        <f>IF(ISNUMBER(K23),K23*1000/100,"")</f>
        <v/>
      </c>
      <c r="AU23" s="1" t="str">
        <f>IF(ISNUMBER(L23),L23*1000/100,"")</f>
        <v/>
      </c>
      <c r="AV23" s="38"/>
      <c r="AW23" s="38"/>
      <c r="AX23" s="38"/>
      <c r="AY23" s="43"/>
      <c r="AZ23" s="43"/>
      <c r="BE23" s="42"/>
      <c r="BF23" s="44"/>
      <c r="BG23" s="42"/>
    </row>
    <row r="24" spans="1:80" x14ac:dyDescent="0.2">
      <c r="B24" s="14" t="s">
        <v>198</v>
      </c>
      <c r="C24" s="14">
        <v>5.561E-2</v>
      </c>
      <c r="D24" s="14">
        <v>0.309</v>
      </c>
      <c r="E24" s="14">
        <v>7.11646</v>
      </c>
      <c r="F24" s="14" t="s">
        <v>112</v>
      </c>
      <c r="G24" s="14" t="s">
        <v>112</v>
      </c>
      <c r="H24" s="14"/>
      <c r="I24" s="14"/>
      <c r="J24" s="14"/>
      <c r="K24" s="14"/>
      <c r="L24" s="14" t="s">
        <v>112</v>
      </c>
      <c r="M24" s="14" t="s">
        <v>112</v>
      </c>
      <c r="N24" s="14"/>
      <c r="O24" s="14" t="str">
        <f t="shared" si="0"/>
        <v xml:space="preserve"> </v>
      </c>
      <c r="P24"/>
      <c r="Q24" s="2">
        <v>46095</v>
      </c>
      <c r="R24" s="3">
        <v>0.60416666666666663</v>
      </c>
      <c r="S24" s="7">
        <v>48.25</v>
      </c>
      <c r="T24" s="1" t="s">
        <v>102</v>
      </c>
      <c r="U24" s="1">
        <v>8</v>
      </c>
      <c r="W24" s="18">
        <v>28.92</v>
      </c>
      <c r="Y24" s="15">
        <f>10*($E$18-E24)</f>
        <v>25.727600000000006</v>
      </c>
      <c r="Z24" s="1">
        <f>AM24/S24</f>
        <v>6.4041450777202066E-2</v>
      </c>
      <c r="AA24" s="15">
        <f>AM24/Y24</f>
        <v>0.1201044792363065</v>
      </c>
      <c r="AB24" s="1">
        <f>AN21-AN24</f>
        <v>15.917699999999982</v>
      </c>
      <c r="AC24" s="8">
        <f>AB24/(S24-S21)</f>
        <v>0.64970204081632577</v>
      </c>
      <c r="AD24" s="8">
        <f>(AM24-AM21)/(S24-S21)</f>
        <v>0.11317551020408162</v>
      </c>
      <c r="AE24" s="8">
        <f>(AM24-AM21)/(Y24-Y21)</f>
        <v>0.17419602078189683</v>
      </c>
      <c r="AL24" s="1">
        <f>IF(ISNUMBER(C24),C24*1000/100,"")</f>
        <v>0.55610000000000004</v>
      </c>
      <c r="AM24" s="1">
        <f>IF(ISNUMBER(D24),D24*1000/100,0)</f>
        <v>3.09</v>
      </c>
      <c r="AN24" s="1">
        <f>IF(ISNUMBER(E24),E24*1000/100,0)</f>
        <v>71.164600000000007</v>
      </c>
      <c r="AO24" s="1" t="str">
        <f>IF(ISNUMBER(F24),F24*1000/100,"")</f>
        <v/>
      </c>
      <c r="AP24" s="1" t="str">
        <f>IF(ISNUMBER(G24),G24*1000/100,"")</f>
        <v/>
      </c>
      <c r="AQ24" s="1" t="str">
        <f>IF(ISNUMBER(H24),H24*1000/100,"")</f>
        <v/>
      </c>
      <c r="AR24" s="1" t="str">
        <f>IF(ISNUMBER(I24),I24*1000/100,"")</f>
        <v/>
      </c>
      <c r="AS24" s="1" t="str">
        <f>IF(ISNUMBER(J24),J24*1000/100,"")</f>
        <v/>
      </c>
      <c r="AT24" s="1" t="str">
        <f>IF(ISNUMBER(K24),K24*1000/100,"")</f>
        <v/>
      </c>
      <c r="AU24" s="1" t="str">
        <f>IF(ISNUMBER(L24),L24*1000/100,"")</f>
        <v/>
      </c>
      <c r="AV24" s="38"/>
      <c r="AW24" s="38"/>
      <c r="AX24" s="38"/>
      <c r="AY24" s="43"/>
      <c r="AZ24" s="43"/>
      <c r="BE24" s="42"/>
      <c r="BF24" s="44"/>
      <c r="BG24" s="42"/>
    </row>
    <row r="25" spans="1:80" x14ac:dyDescent="0.2">
      <c r="B25" s="14" t="s">
        <v>199</v>
      </c>
      <c r="C25" s="14">
        <v>5.4179999999999999E-2</v>
      </c>
      <c r="D25" s="14">
        <v>0.39473000000000003</v>
      </c>
      <c r="E25" s="14">
        <v>7.0430099999999998</v>
      </c>
      <c r="F25" s="14" t="s">
        <v>112</v>
      </c>
      <c r="G25" s="14" t="s">
        <v>112</v>
      </c>
      <c r="H25" s="14"/>
      <c r="I25" s="14"/>
      <c r="J25" s="14"/>
      <c r="K25" s="14"/>
      <c r="L25" s="14" t="s">
        <v>112</v>
      </c>
      <c r="M25" s="14" t="s">
        <v>112</v>
      </c>
      <c r="N25" s="14"/>
      <c r="O25" s="14" t="str">
        <f t="shared" si="0"/>
        <v xml:space="preserve"> </v>
      </c>
      <c r="P25"/>
      <c r="Q25" s="2">
        <v>46095</v>
      </c>
      <c r="R25" s="3">
        <v>0.60416666666666663</v>
      </c>
      <c r="S25" s="7">
        <v>48.25</v>
      </c>
      <c r="T25" s="1" t="s">
        <v>103</v>
      </c>
      <c r="U25" s="1">
        <v>9</v>
      </c>
      <c r="W25" s="18">
        <v>27.36</v>
      </c>
      <c r="Y25" s="15">
        <f>10*($E$19-E25)</f>
        <v>26.472799999999992</v>
      </c>
      <c r="Z25" s="1">
        <f>AM25/S25</f>
        <v>8.1809326424870474E-2</v>
      </c>
      <c r="AA25" s="15">
        <f>AM25/Y25</f>
        <v>0.14910776344021037</v>
      </c>
      <c r="AB25" s="1">
        <f>AN22-AN25</f>
        <v>16.421700000000001</v>
      </c>
      <c r="AC25" s="8">
        <f>AB25/(S25-S22)</f>
        <v>0.67027346938775512</v>
      </c>
      <c r="AD25" s="8">
        <f>(AM25-AM22)/(S25-S22)</f>
        <v>0.14643673469387755</v>
      </c>
      <c r="AE25" s="8">
        <f>(AM25-AM22)/(Y25-Y22)</f>
        <v>0.2184731178866986</v>
      </c>
      <c r="AL25" s="1">
        <f>IF(ISNUMBER(C25),C25*1000/100,"")</f>
        <v>0.54179999999999995</v>
      </c>
      <c r="AM25" s="1">
        <f>IF(ISNUMBER(D25),D25*1000/100,0)</f>
        <v>3.9473000000000003</v>
      </c>
      <c r="AN25" s="1">
        <f>IF(ISNUMBER(E25),E25*1000/100,0)</f>
        <v>70.430099999999996</v>
      </c>
      <c r="AO25" s="1" t="str">
        <f>IF(ISNUMBER(F25),F25*1000/100,"")</f>
        <v/>
      </c>
      <c r="AP25" s="1" t="str">
        <f>IF(ISNUMBER(G25),G25*1000/100,"")</f>
        <v/>
      </c>
      <c r="AQ25" s="1" t="str">
        <f>IF(ISNUMBER(H25),H25*1000/100,"")</f>
        <v/>
      </c>
      <c r="AR25" s="1" t="str">
        <f>IF(ISNUMBER(I25),I25*1000/100,"")</f>
        <v/>
      </c>
      <c r="AS25" s="1" t="str">
        <f>IF(ISNUMBER(J25),J25*1000/100,"")</f>
        <v/>
      </c>
      <c r="AT25" s="1" t="str">
        <f>IF(ISNUMBER(K25),K25*1000/100,"")</f>
        <v/>
      </c>
      <c r="AU25" s="1" t="str">
        <f>IF(ISNUMBER(L25),L25*1000/100,"")</f>
        <v/>
      </c>
      <c r="AV25" s="38"/>
      <c r="AW25" s="38"/>
      <c r="AX25" s="38"/>
      <c r="AY25" s="43"/>
      <c r="AZ25" s="43"/>
      <c r="BE25" s="42"/>
      <c r="BF25" s="44"/>
    </row>
    <row r="26" spans="1:80" s="17" customFormat="1" ht="17" thickBot="1" x14ac:dyDescent="0.25">
      <c r="B26" s="14" t="s">
        <v>200</v>
      </c>
      <c r="C26" s="14">
        <v>5.7450000000000001E-2</v>
      </c>
      <c r="D26" s="14">
        <v>0.77595999999999998</v>
      </c>
      <c r="E26" s="14">
        <v>5.6764000000000001</v>
      </c>
      <c r="F26" s="14" t="s">
        <v>112</v>
      </c>
      <c r="G26" s="14" t="s">
        <v>112</v>
      </c>
      <c r="H26" s="14"/>
      <c r="I26" s="14"/>
      <c r="J26" s="14"/>
      <c r="K26" s="14"/>
      <c r="L26" s="14" t="s">
        <v>112</v>
      </c>
      <c r="M26" s="14" t="s">
        <v>112</v>
      </c>
      <c r="N26" s="14"/>
      <c r="O26" s="14" t="str">
        <f t="shared" si="0"/>
        <v xml:space="preserve"> </v>
      </c>
      <c r="P26"/>
      <c r="Q26" s="2">
        <v>46096</v>
      </c>
      <c r="R26" s="3">
        <v>0.65625</v>
      </c>
      <c r="S26" s="7">
        <v>73.5</v>
      </c>
      <c r="T26" s="1" t="s">
        <v>101</v>
      </c>
      <c r="U26" s="1">
        <v>10</v>
      </c>
      <c r="V26" s="18"/>
      <c r="W26" s="1">
        <v>33.880000000000003</v>
      </c>
      <c r="X26" s="1"/>
      <c r="Y26" s="15">
        <f>($E$17-E26)*10</f>
        <v>40.731899999999996</v>
      </c>
      <c r="Z26" s="1">
        <f>AM26/S26</f>
        <v>0.10557278911564627</v>
      </c>
      <c r="AA26" s="15">
        <f>AM26/Y26</f>
        <v>0.1905042485128364</v>
      </c>
      <c r="AB26" s="1">
        <f>AN23-AN26</f>
        <v>14.478099999999991</v>
      </c>
      <c r="AC26" s="8">
        <f>AB26/(S26-S23)</f>
        <v>0.57339009900990057</v>
      </c>
      <c r="AD26" s="8">
        <f>(AM26-AM23)/(S26-S23)</f>
        <v>0.24223762376237626</v>
      </c>
      <c r="AE26" s="8">
        <f>(AM26-AM23)/(Y26-Y23)</f>
        <v>0.42246565502379463</v>
      </c>
      <c r="AF26" s="1"/>
      <c r="AG26" s="1"/>
      <c r="AH26" s="1"/>
      <c r="AI26" s="1"/>
      <c r="AJ26" s="1"/>
      <c r="AK26" s="1"/>
      <c r="AL26" s="1">
        <f>IF(ISNUMBER(C26),C26*1000/100,"")</f>
        <v>0.57450000000000001</v>
      </c>
      <c r="AM26" s="1">
        <f>IF(ISNUMBER(D26),D26*1000/100,0)</f>
        <v>7.7596000000000007</v>
      </c>
      <c r="AN26" s="1">
        <f>IF(ISNUMBER(E26),E26*1000/100,0)</f>
        <v>56.764000000000003</v>
      </c>
      <c r="AO26" s="1" t="str">
        <f>IF(ISNUMBER(F26),F26*1000/100,"")</f>
        <v/>
      </c>
      <c r="AP26" s="1" t="str">
        <f>IF(ISNUMBER(G26),G26*1000/100,"")</f>
        <v/>
      </c>
      <c r="AQ26" s="1" t="str">
        <f>IF(ISNUMBER(H26),H26*1000/100,"")</f>
        <v/>
      </c>
      <c r="AR26" s="1" t="str">
        <f>IF(ISNUMBER(I26),I26*1000/100,"")</f>
        <v/>
      </c>
      <c r="AS26" s="1" t="str">
        <f>IF(ISNUMBER(J26),J26*1000/100,"")</f>
        <v/>
      </c>
      <c r="AT26" s="1" t="str">
        <f>IF(ISNUMBER(K26),K26*1000/100,"")</f>
        <v/>
      </c>
      <c r="AU26" s="1" t="str">
        <f>IF(ISNUMBER(L26),L26*1000/100,"")</f>
        <v/>
      </c>
      <c r="AV26" s="38"/>
      <c r="AW26" s="38"/>
      <c r="AX26" s="38"/>
      <c r="AY26" s="43"/>
      <c r="AZ26" s="43"/>
      <c r="BA26" s="38"/>
      <c r="BB26" s="38"/>
      <c r="BC26" s="38"/>
      <c r="BD26" s="38"/>
      <c r="BE26" s="42"/>
      <c r="BF26" s="44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spans="1:80" x14ac:dyDescent="0.2">
      <c r="B27" s="14" t="s">
        <v>201</v>
      </c>
      <c r="C27" s="14">
        <v>5.3159999999999999E-2</v>
      </c>
      <c r="D27" s="14">
        <v>1.1095200000000001</v>
      </c>
      <c r="E27" s="14">
        <v>5.4179500000000003</v>
      </c>
      <c r="F27" s="14" t="s">
        <v>112</v>
      </c>
      <c r="G27" s="14"/>
      <c r="H27" s="14"/>
      <c r="I27" s="14"/>
      <c r="J27" s="14"/>
      <c r="K27" s="14"/>
      <c r="L27" s="14" t="s">
        <v>112</v>
      </c>
      <c r="M27" s="14" t="s">
        <v>112</v>
      </c>
      <c r="N27" s="14"/>
      <c r="O27" s="14" t="str">
        <f t="shared" si="0"/>
        <v xml:space="preserve"> </v>
      </c>
      <c r="P27"/>
      <c r="Q27" s="2">
        <v>46096</v>
      </c>
      <c r="R27" s="3">
        <v>0.65625</v>
      </c>
      <c r="S27" s="7">
        <v>73.5</v>
      </c>
      <c r="T27" s="1" t="s">
        <v>102</v>
      </c>
      <c r="U27" s="1">
        <v>11</v>
      </c>
      <c r="V27" s="18"/>
      <c r="W27" s="1">
        <v>31.48</v>
      </c>
      <c r="Y27" s="15">
        <f>10*($E$18-E27)</f>
        <v>42.712700000000005</v>
      </c>
      <c r="Z27" s="1">
        <f>AM27/S27</f>
        <v>0.15095510204081633</v>
      </c>
      <c r="AA27" s="15">
        <f>AM27/Y27</f>
        <v>0.25976348954760525</v>
      </c>
      <c r="AB27" s="1">
        <f>AN24-AN27</f>
        <v>16.98510000000001</v>
      </c>
      <c r="AC27" s="8">
        <f>AB27/(S27-S24)</f>
        <v>0.67267722772277272</v>
      </c>
      <c r="AD27" s="8">
        <f>(AM27-AM24)/(S27-S24)</f>
        <v>0.31703762376237626</v>
      </c>
      <c r="AE27" s="8">
        <f>(AM27-AM24)/(Y27-Y24)</f>
        <v>0.47130720454987024</v>
      </c>
      <c r="AL27" s="1">
        <f>IF(ISNUMBER(C27),C27*1000/100,"")</f>
        <v>0.53159999999999996</v>
      </c>
      <c r="AM27" s="1">
        <f>IF(ISNUMBER(D27),D27*1000/100,0)</f>
        <v>11.0952</v>
      </c>
      <c r="AN27" s="1">
        <f>IF(ISNUMBER(E27),E27*1000/100,0)</f>
        <v>54.179499999999997</v>
      </c>
      <c r="AO27" s="1" t="str">
        <f>IF(ISNUMBER(F27),F27*1000/100,"")</f>
        <v/>
      </c>
      <c r="AP27" s="1" t="str">
        <f>IF(ISNUMBER(G27),G27*1000/100,"")</f>
        <v/>
      </c>
      <c r="AQ27" s="1" t="str">
        <f>IF(ISNUMBER(H27),H27*1000/100,"")</f>
        <v/>
      </c>
      <c r="AR27" s="1" t="str">
        <f>IF(ISNUMBER(I27),I27*1000/100,"")</f>
        <v/>
      </c>
      <c r="AS27" s="1" t="str">
        <f>IF(ISNUMBER(J27),J27*1000/100,"")</f>
        <v/>
      </c>
      <c r="AT27" s="1" t="str">
        <f>IF(ISNUMBER(K27),K27*1000/100,"")</f>
        <v/>
      </c>
      <c r="AU27" s="1" t="str">
        <f>IF(ISNUMBER(L27),L27*1000/100,"")</f>
        <v/>
      </c>
      <c r="AV27" s="38"/>
      <c r="AW27" s="38"/>
      <c r="AX27" s="38"/>
      <c r="AY27" s="43"/>
      <c r="AZ27" s="43"/>
      <c r="BE27" s="42"/>
      <c r="BF27" s="44"/>
    </row>
    <row r="28" spans="1:80" x14ac:dyDescent="0.2">
      <c r="B28" s="14" t="s">
        <v>202</v>
      </c>
      <c r="C28" s="14">
        <v>5.4980000000000001E-2</v>
      </c>
      <c r="D28" s="14">
        <v>1.2575499999999999</v>
      </c>
      <c r="E28" s="14">
        <v>5.3146699999999996</v>
      </c>
      <c r="F28" s="14" t="s">
        <v>112</v>
      </c>
      <c r="G28" s="14" t="s">
        <v>112</v>
      </c>
      <c r="H28" s="14"/>
      <c r="I28" s="14"/>
      <c r="J28" s="14"/>
      <c r="K28" s="14"/>
      <c r="L28" s="14" t="s">
        <v>112</v>
      </c>
      <c r="M28" s="14" t="s">
        <v>112</v>
      </c>
      <c r="N28" s="14"/>
      <c r="O28" s="14" t="str">
        <f t="shared" si="0"/>
        <v xml:space="preserve"> </v>
      </c>
      <c r="P28"/>
      <c r="Q28" s="2">
        <v>46096</v>
      </c>
      <c r="R28" s="3">
        <v>0.65625</v>
      </c>
      <c r="S28" s="7">
        <v>73.5</v>
      </c>
      <c r="T28" s="1" t="s">
        <v>103</v>
      </c>
      <c r="U28" s="1">
        <v>12</v>
      </c>
      <c r="V28" s="18"/>
      <c r="W28" s="1">
        <v>30</v>
      </c>
      <c r="Y28" s="15">
        <f>10*($E$19-E28)</f>
        <v>43.756199999999993</v>
      </c>
      <c r="Z28" s="1">
        <f>AM28/S28</f>
        <v>0.17109523809523811</v>
      </c>
      <c r="AA28" s="15">
        <f>AM28/Y28</f>
        <v>0.2873992714175363</v>
      </c>
      <c r="AB28" s="1">
        <f>AN25-AN28</f>
        <v>17.283400000000007</v>
      </c>
      <c r="AC28" s="8">
        <f>AB28/(S28-S25)</f>
        <v>0.68449108910891121</v>
      </c>
      <c r="AD28" s="8">
        <f>(AM28-AM25)/(S28-S25)</f>
        <v>0.3417108910891089</v>
      </c>
      <c r="AE28" s="8">
        <f>(AM28-AM25)/(Y28-Y25)</f>
        <v>0.49921890368793176</v>
      </c>
      <c r="AL28" s="1">
        <f>IF(ISNUMBER(C28),C28*1000/100,"")</f>
        <v>0.54980000000000007</v>
      </c>
      <c r="AM28" s="1">
        <f>IF(ISNUMBER(D28),D28*1000/100,0)</f>
        <v>12.5755</v>
      </c>
      <c r="AN28" s="1">
        <f>IF(ISNUMBER(E28),E28*1000/100,0)</f>
        <v>53.146699999999989</v>
      </c>
      <c r="AO28" s="1" t="str">
        <f>IF(ISNUMBER(F28),F28*1000/100,"")</f>
        <v/>
      </c>
      <c r="AP28" s="1" t="str">
        <f>IF(ISNUMBER(G28),G28*1000/100,"")</f>
        <v/>
      </c>
      <c r="AQ28" s="1" t="str">
        <f>IF(ISNUMBER(H28),H28*1000/100,"")</f>
        <v/>
      </c>
      <c r="AR28" s="1" t="str">
        <f>IF(ISNUMBER(I28),I28*1000/100,"")</f>
        <v/>
      </c>
      <c r="AS28" s="1" t="str">
        <f>IF(ISNUMBER(J28),J28*1000/100,"")</f>
        <v/>
      </c>
      <c r="AT28" s="1" t="str">
        <f>IF(ISNUMBER(K28),K28*1000/100,"")</f>
        <v/>
      </c>
      <c r="AU28" s="1" t="str">
        <f>IF(ISNUMBER(L28),L28*1000/100,"")</f>
        <v/>
      </c>
      <c r="AV28" s="38"/>
      <c r="AW28" s="38"/>
      <c r="AX28" s="38"/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  <c r="AV29" s="38"/>
      <c r="AW29" s="38"/>
      <c r="AX29" s="3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  <c r="AV30" s="38"/>
      <c r="AW30" s="38"/>
      <c r="AX30" s="3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33"/>
      <c r="V31" s="18"/>
      <c r="Y31" s="15"/>
      <c r="AA31" s="15"/>
      <c r="AC31" s="8"/>
      <c r="AD31" s="8"/>
      <c r="AE31" s="8"/>
      <c r="AV31" s="38"/>
      <c r="AW31" s="38"/>
      <c r="AX31" s="3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V32" s="38"/>
      <c r="AW32" s="38"/>
      <c r="AX32" s="38"/>
      <c r="AY32" s="43"/>
      <c r="AZ32" s="43"/>
      <c r="BE32" s="42"/>
      <c r="BF32" s="44"/>
      <c r="BG32" s="42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43"/>
      <c r="AZ33" s="43"/>
      <c r="BE33" s="42"/>
      <c r="BF33" s="44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33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3"/>
      <c r="AZ34" s="43"/>
      <c r="BA34" s="38"/>
      <c r="BB34" s="38"/>
      <c r="BC34" s="38"/>
      <c r="BD34" s="38"/>
      <c r="BE34" s="42"/>
      <c r="BF34" s="44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0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>IF(ISNUMBER(C35),C35*1000/100,"")</f>
        <v/>
      </c>
      <c r="AY35" s="43"/>
      <c r="AZ35" s="43"/>
      <c r="BE35" s="42"/>
      <c r="BF35" s="44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0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0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0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0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0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0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0"/>
        <v>0</v>
      </c>
      <c r="Y42" s="15"/>
      <c r="AA42" s="15"/>
      <c r="AC42" s="8"/>
      <c r="AD42" s="8"/>
      <c r="AE42" s="16"/>
    </row>
    <row r="67" spans="22:58" x14ac:dyDescent="0.2">
      <c r="AY67" s="43"/>
      <c r="AZ67" s="43"/>
      <c r="BE67" s="42"/>
      <c r="BF67" s="42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2026-07-07T18:46:41Z</dcterms:modified>
</cp:coreProperties>
</file>