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"/>
    </mc:Choice>
  </mc:AlternateContent>
  <xr:revisionPtr revIDLastSave="0" documentId="13_ncr:1_{965D79AC-CB62-1E4D-8294-AABF49B2D492}" xr6:coauthVersionLast="47" xr6:coauthVersionMax="47" xr10:uidLastSave="{00000000-0000-0000-0000-000000000000}"/>
  <bookViews>
    <workbookView xWindow="40980" yWindow="2000" windowWidth="38400" windowHeight="19520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2" l="1"/>
  <c r="O6" i="2"/>
  <c r="N6" i="2"/>
  <c r="M6" i="2"/>
  <c r="J6" i="2" s="1"/>
  <c r="L6" i="2"/>
  <c r="I6" i="2" s="1"/>
  <c r="G6" i="2" l="1"/>
  <c r="F6" i="2"/>
  <c r="V35" i="2" l="1"/>
  <c r="Z24" i="2"/>
  <c r="V21" i="2"/>
  <c r="V11" i="2"/>
  <c r="H6" i="2"/>
  <c r="AD4" i="2"/>
  <c r="AD3" i="2"/>
</calcChain>
</file>

<file path=xl/sharedStrings.xml><?xml version="1.0" encoding="utf-8"?>
<sst xmlns="http://schemas.openxmlformats.org/spreadsheetml/2006/main" count="417" uniqueCount="173">
  <si>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</si>
  <si>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</si>
  <si>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</si>
  <si>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</si>
  <si>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</si>
  <si>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</si>
  <si>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</si>
  <si>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</si>
  <si>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</si>
  <si>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</si>
  <si>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</si>
  <si>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</si>
  <si>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</si>
  <si>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</si>
  <si>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</si>
  <si>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</si>
  <si>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</si>
  <si>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</si>
  <si>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</si>
  <si>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</si>
  <si>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</si>
  <si>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400 (0%)-600(50%)-800(100%)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</si>
  <si>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</si>
  <si>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</si>
  <si>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</si>
  <si>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</si>
  <si>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</si>
  <si>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</si>
  <si>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</si>
  <si>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</si>
  <si>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</si>
  <si>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</si>
  <si>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</si>
  <si>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</si>
  <si>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</si>
  <si>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</si>
  <si>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</si>
  <si>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</si>
  <si>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</si>
  <si>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</si>
  <si>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</si>
  <si>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</si>
  <si>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</si>
  <si>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</si>
  <si>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</si>
  <si>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</si>
  <si>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</si>
  <si>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</si>
  <si>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</si>
  <si>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</si>
  <si>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</si>
  <si>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</si>
  <si>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</si>
  <si>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</si>
  <si>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</si>
  <si>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</si>
  <si>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</si>
  <si>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</si>
  <si>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</si>
  <si>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</si>
  <si>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</si>
  <si>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</si>
  <si>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</si>
  <si>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</si>
  <si>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</si>
  <si>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</si>
  <si>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</si>
  <si>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</si>
  <si>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</si>
  <si>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</si>
  <si>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</si>
  <si>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</si>
  <si>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</si>
  <si>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</si>
  <si>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</si>
  <si>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</si>
  <si>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</si>
  <si>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</si>
  <si>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</si>
  <si>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</si>
  <si>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</si>
  <si>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</si>
  <si>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</si>
  <si>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</si>
  <si>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</si>
  <si>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</si>
  <si>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YE Nitrogen</t>
  </si>
  <si>
    <t>AC Nitrogen</t>
  </si>
  <si>
    <t>SF seed</t>
  </si>
  <si>
    <t>Time inoculation</t>
  </si>
  <si>
    <t>~12 pm</t>
  </si>
  <si>
    <t>~0.2</t>
  </si>
  <si>
    <t>R2</t>
  </si>
  <si>
    <t>R3</t>
  </si>
  <si>
    <t>pO2 - 25%</t>
  </si>
  <si>
    <t>pO2 - 5%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</si>
  <si>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</si>
  <si>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</si>
  <si>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</si>
  <si>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</si>
  <si>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</si>
  <si>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</si>
  <si>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</si>
  <si>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</si>
  <si>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</si>
  <si>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</si>
  <si>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</si>
  <si>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</si>
  <si>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</si>
  <si>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</si>
  <si>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</si>
  <si>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</si>
  <si>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Biostat2L_68</t>
  </si>
  <si>
    <t>Biostat2L_71</t>
  </si>
  <si>
    <t>Control (FKP355+leu2)</t>
  </si>
  <si>
    <t>oscillating</t>
  </si>
  <si>
    <t>25% pO2</t>
  </si>
  <si>
    <t>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</si>
  <si>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</si>
  <si>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</si>
  <si>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</si>
  <si>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</si>
  <si>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</si>
  <si>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</si>
  <si>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</si>
  <si>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</si>
  <si>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</si>
  <si>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</si>
  <si>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</si>
  <si>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</si>
  <si>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</si>
  <si>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</si>
  <si>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</si>
  <si>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</si>
  <si>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</si>
  <si>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</si>
  <si>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</si>
  <si>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</si>
  <si>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</si>
  <si>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</si>
  <si>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</si>
  <si>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</si>
  <si>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</si>
  <si>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</si>
  <si>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</si>
  <si>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</si>
  <si>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</si>
  <si>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YPD</t>
  </si>
  <si>
    <t>pO2 - oscillating</t>
  </si>
  <si>
    <t>600 RPM</t>
  </si>
  <si>
    <t>1.125, 1 min switch between N2 and air supply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</si>
  <si>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</si>
  <si>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</si>
  <si>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</si>
  <si>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</si>
  <si>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</si>
  <si>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</si>
  <si>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</si>
  <si>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</si>
  <si>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2-5 mL YPD O/N</t>
  </si>
  <si>
    <t>~150 mL in 1 L flasks</t>
  </si>
  <si>
    <t>6 x 35 mL in 250 mL flasks</t>
  </si>
  <si>
    <t>(0.325 (0%) - 0.5 (25%) - 1.125 (100%)</t>
  </si>
  <si>
    <t>~35 mL in 250 ML flasks</t>
  </si>
  <si>
    <t xml:space="preserve">The strains are indicated below for each fermenation. </t>
  </si>
  <si>
    <t>Each fermentation folder contains:</t>
  </si>
  <si>
    <t>Excel sheet with HPLC data and timepoints</t>
  </si>
  <si>
    <t>Excel sheet with Permivitty and conductivity measurements</t>
  </si>
  <si>
    <t>Blue_Vis sheet with offgas measurements</t>
  </si>
  <si>
    <t>Process file with process values (air flow, stir rates, base added, etc)</t>
  </si>
  <si>
    <t>Biostat2L_72</t>
  </si>
  <si>
    <t>Biosat2L_80</t>
  </si>
  <si>
    <t>Control (PO1g+leu2)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</si>
</sst>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6" fillId="0" borderId="0"/>
    <xf numFmtId="0" fontId="9" fillId="2" borderId="0" applyNumberFormat="0" applyBorder="0" applyAlignment="0" applyProtection="0"/>
    <xf numFmtId="0" fontId="10" fillId="3" borderId="1" applyNumberFormat="0" applyAlignment="0" applyProtection="0"/>
    <xf numFmtId="9" fontId="6" fillId="0" borderId="0" applyFont="0" applyFill="0" applyBorder="0" applyAlignment="0" applyProtection="0"/>
  </cellStyleXfs>
  <cellXfs count="44">
    <xf numFmtId="0" fontId="0" fillId="0" borderId="0" xfId="0"/>
    <xf numFmtId="0" fontId="6" fillId="0" borderId="0" xfId="1"/>
    <xf numFmtId="14" fontId="6" fillId="0" borderId="0" xfId="1" applyNumberFormat="1"/>
    <xf numFmtId="18" fontId="6" fillId="0" borderId="0" xfId="1" applyNumberFormat="1"/>
    <xf numFmtId="0" fontId="7" fillId="0" borderId="0" xfId="1" applyFont="1"/>
    <xf numFmtId="0" fontId="8" fillId="0" borderId="0" xfId="1" applyFont="1"/>
    <xf numFmtId="46" fontId="6" fillId="0" borderId="0" xfId="1" applyNumberFormat="1"/>
    <xf numFmtId="164" fontId="6" fillId="0" borderId="0" xfId="1" applyNumberFormat="1"/>
    <xf numFmtId="165" fontId="6" fillId="0" borderId="0" xfId="1" applyNumberFormat="1"/>
    <xf numFmtId="3" fontId="6" fillId="0" borderId="0" xfId="1" applyNumberFormat="1"/>
    <xf numFmtId="0" fontId="9" fillId="2" borderId="0" xfId="2" applyBorder="1" applyAlignment="1">
      <alignment horizontal="center"/>
    </xf>
    <xf numFmtId="0" fontId="6" fillId="0" borderId="3" xfId="1" applyBorder="1"/>
    <xf numFmtId="0" fontId="6" fillId="0" borderId="4" xfId="1" applyBorder="1"/>
    <xf numFmtId="0" fontId="6" fillId="0" borderId="0" xfId="1" applyAlignment="1">
      <alignment wrapText="1"/>
    </xf>
    <xf numFmtId="0" fontId="0" fillId="0" borderId="3" xfId="0" applyBorder="1"/>
    <xf numFmtId="2" fontId="6" fillId="0" borderId="0" xfId="1" applyNumberFormat="1"/>
    <xf numFmtId="165" fontId="11" fillId="0" borderId="0" xfId="1" applyNumberFormat="1" applyFont="1"/>
    <xf numFmtId="0" fontId="6" fillId="0" borderId="5" xfId="1" applyBorder="1"/>
    <xf numFmtId="0" fontId="12" fillId="0" borderId="0" xfId="1" applyFont="1"/>
    <xf numFmtId="0" fontId="5" fillId="0" borderId="0" xfId="1" applyFont="1"/>
    <xf numFmtId="0" fontId="13" fillId="0" borderId="3" xfId="0" applyFont="1" applyBorder="1"/>
    <xf numFmtId="0" fontId="4" fillId="0" borderId="0" xfId="1" applyFont="1"/>
    <xf numFmtId="0" fontId="4" fillId="0" borderId="0" xfId="1" applyFont="1" applyAlignment="1">
      <alignment horizontal="left"/>
    </xf>
    <xf numFmtId="18" fontId="4" fillId="0" borderId="0" xfId="1" applyNumberFormat="1" applyFont="1"/>
    <xf numFmtId="0" fontId="14" fillId="0" borderId="3" xfId="0" applyFont="1" applyBorder="1"/>
    <xf numFmtId="0" fontId="4" fillId="0" borderId="0" xfId="1" applyFont="1" applyAlignment="1">
      <alignment wrapText="1"/>
    </xf>
    <xf numFmtId="0" fontId="3" fillId="0" borderId="0" xfId="1" applyFont="1"/>
    <xf numFmtId="9" fontId="3" fillId="0" borderId="0" xfId="1" applyNumberFormat="1" applyFont="1"/>
    <xf numFmtId="0" fontId="15" fillId="0" borderId="0" xfId="0" applyFont="1"/>
    <xf numFmtId="14" fontId="16" fillId="0" borderId="0" xfId="1" applyNumberFormat="1" applyFont="1"/>
    <xf numFmtId="0" fontId="16" fillId="0" borderId="0" xfId="1" applyFont="1"/>
    <xf numFmtId="0" fontId="10" fillId="0" borderId="0" xfId="3" applyFill="1" applyBorder="1" applyAlignment="1">
      <alignment horizontal="center"/>
    </xf>
    <xf numFmtId="0" fontId="6" fillId="0" borderId="0" xfId="1" applyAlignment="1">
      <alignment horizontal="center" wrapText="1"/>
    </xf>
    <xf numFmtId="0" fontId="3" fillId="0" borderId="0" xfId="1" applyFont="1" applyAlignment="1">
      <alignment wrapText="1"/>
    </xf>
    <xf numFmtId="0" fontId="2" fillId="0" borderId="0" xfId="1" applyFont="1"/>
    <xf numFmtId="0" fontId="9" fillId="2" borderId="2" xfId="2" applyBorder="1" applyAlignment="1">
      <alignment horizontal="center"/>
    </xf>
    <xf numFmtId="0" fontId="10" fillId="0" borderId="0" xfId="3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1" applyFont="1"/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91"/>
  <sheetViews>
    <sheetView tabSelected="1" topLeftCell="A13" workbookViewId="0">
      <selection activeCell="E35" sqref="E35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4" x14ac:dyDescent="0.2">
      <c r="A1" s="26" t="s">
        <v>99</v>
      </c>
    </row>
    <row r="2" spans="1:4" x14ac:dyDescent="0.2">
      <c r="B2" s="34" t="s">
        <v>164</v>
      </c>
    </row>
    <row r="3" spans="1:4" x14ac:dyDescent="0.2">
      <c r="A3" s="34"/>
      <c r="B3" s="21"/>
      <c r="C3" s="34" t="s">
        <v>165</v>
      </c>
    </row>
    <row r="4" spans="1:4" x14ac:dyDescent="0.2">
      <c r="A4" s="34"/>
      <c r="B4" s="21"/>
      <c r="D4" s="34" t="s">
        <v>166</v>
      </c>
    </row>
    <row r="5" spans="1:4" x14ac:dyDescent="0.2">
      <c r="A5" s="34"/>
      <c r="B5" s="21"/>
      <c r="D5" s="34" t="s">
        <v>167</v>
      </c>
    </row>
    <row r="6" spans="1:4" x14ac:dyDescent="0.2">
      <c r="A6" s="34"/>
      <c r="B6" s="21"/>
      <c r="D6" s="34" t="s">
        <v>168</v>
      </c>
    </row>
    <row r="7" spans="1:4" x14ac:dyDescent="0.2">
      <c r="A7" s="34"/>
      <c r="B7" s="21"/>
      <c r="D7" s="34" t="s">
        <v>169</v>
      </c>
    </row>
    <row r="8" spans="1:4" x14ac:dyDescent="0.2">
      <c r="A8" s="34"/>
      <c r="B8" s="21"/>
    </row>
    <row r="9" spans="1:4" x14ac:dyDescent="0.2">
      <c r="A9" s="34"/>
      <c r="B9" s="21"/>
    </row>
    <row r="10" spans="1:4" x14ac:dyDescent="0.2">
      <c r="A10" s="34"/>
      <c r="B10" s="21"/>
    </row>
    <row r="11" spans="1:4" x14ac:dyDescent="0.2">
      <c r="A11" s="34"/>
      <c r="B11" s="21"/>
    </row>
    <row r="12" spans="1:4" x14ac:dyDescent="0.2">
      <c r="A12" s="34"/>
      <c r="B12" s="21"/>
    </row>
    <row r="13" spans="1:4" x14ac:dyDescent="0.2">
      <c r="A13" s="34"/>
      <c r="B13" s="21"/>
    </row>
    <row r="14" spans="1:4" x14ac:dyDescent="0.2">
      <c r="A14" s="34"/>
      <c r="B14" s="21"/>
    </row>
    <row r="15" spans="1:4" x14ac:dyDescent="0.2">
      <c r="A15" s="34"/>
      <c r="B15" s="21"/>
    </row>
    <row r="16" spans="1:4" x14ac:dyDescent="0.2">
      <c r="A16" s="34"/>
      <c r="B16" s="21"/>
    </row>
    <row r="17" spans="1:9" x14ac:dyDescent="0.2">
      <c r="A17" s="34"/>
      <c r="B17" s="21"/>
    </row>
    <row r="18" spans="1:9" x14ac:dyDescent="0.2">
      <c r="A18" s="34"/>
      <c r="B18" s="21"/>
    </row>
    <row r="19" spans="1:9" x14ac:dyDescent="0.2">
      <c r="A19" s="34"/>
      <c r="B19" s="21"/>
    </row>
    <row r="20" spans="1:9" x14ac:dyDescent="0.2">
      <c r="A20" s="34"/>
      <c r="B20" s="21"/>
    </row>
    <row r="21" spans="1:9" x14ac:dyDescent="0.2">
      <c r="A21" s="34"/>
      <c r="B21" s="21"/>
    </row>
    <row r="22" spans="1:9" x14ac:dyDescent="0.2">
      <c r="A22" s="34"/>
      <c r="B22" s="21"/>
    </row>
    <row r="23" spans="1:9" x14ac:dyDescent="0.2">
      <c r="A23" s="34"/>
      <c r="B23" s="21"/>
    </row>
    <row r="24" spans="1:9" x14ac:dyDescent="0.2">
      <c r="A24" s="26" t="s">
        <v>100</v>
      </c>
    </row>
    <row r="26" spans="1:9" x14ac:dyDescent="0.2">
      <c r="B26" s="26" t="s">
        <v>102</v>
      </c>
      <c r="C26" s="26" t="s">
        <v>103</v>
      </c>
      <c r="D26" s="26" t="s">
        <v>105</v>
      </c>
      <c r="F26" s="26" t="s">
        <v>118</v>
      </c>
      <c r="G26" s="26" t="s">
        <v>104</v>
      </c>
      <c r="H26" s="1" t="s">
        <v>124</v>
      </c>
      <c r="I26" s="1" t="s">
        <v>125</v>
      </c>
    </row>
    <row r="27" spans="1:9" x14ac:dyDescent="0.2">
      <c r="B27" s="26" t="s">
        <v>101</v>
      </c>
      <c r="C27" s="26" t="s">
        <v>18</v>
      </c>
      <c r="D27" s="26" t="s">
        <v>172</v>
      </c>
      <c r="F27" s="26" t="s">
        <v>115</v>
      </c>
    </row>
    <row r="28" spans="1:9" x14ac:dyDescent="0.2">
      <c r="B28" s="26" t="s">
        <v>101</v>
      </c>
      <c r="C28" s="26" t="s">
        <v>92</v>
      </c>
      <c r="D28" s="26" t="s">
        <v>106</v>
      </c>
      <c r="F28" s="26" t="s">
        <v>115</v>
      </c>
      <c r="G28" s="28" t="s">
        <v>142</v>
      </c>
      <c r="H28" s="1" t="s">
        <v>143</v>
      </c>
      <c r="I28" s="1" t="s">
        <v>144</v>
      </c>
    </row>
    <row r="29" spans="1:9" x14ac:dyDescent="0.2">
      <c r="B29" s="26" t="s">
        <v>101</v>
      </c>
      <c r="C29" s="26" t="s">
        <v>93</v>
      </c>
      <c r="D29" s="26" t="s">
        <v>107</v>
      </c>
      <c r="F29" s="26" t="s">
        <v>115</v>
      </c>
      <c r="G29" s="28" t="s">
        <v>140</v>
      </c>
      <c r="H29" s="1" t="s">
        <v>141</v>
      </c>
      <c r="I29" s="1" t="s">
        <v>123</v>
      </c>
    </row>
    <row r="30" spans="1:9" x14ac:dyDescent="0.2">
      <c r="B30" s="26" t="s">
        <v>108</v>
      </c>
      <c r="C30" s="26" t="s">
        <v>18</v>
      </c>
      <c r="D30" s="26" t="s">
        <v>146</v>
      </c>
      <c r="F30" s="26" t="s">
        <v>115</v>
      </c>
      <c r="G30" s="26" t="s">
        <v>115</v>
      </c>
      <c r="H30" s="28" t="s">
        <v>138</v>
      </c>
      <c r="I30" s="28" t="s">
        <v>139</v>
      </c>
    </row>
    <row r="31" spans="1:9" x14ac:dyDescent="0.2">
      <c r="B31" s="26" t="s">
        <v>108</v>
      </c>
      <c r="C31" s="26" t="s">
        <v>92</v>
      </c>
      <c r="D31" s="26" t="s">
        <v>145</v>
      </c>
      <c r="F31" s="26" t="s">
        <v>115</v>
      </c>
      <c r="G31" s="28" t="s">
        <v>132</v>
      </c>
      <c r="H31" s="1" t="s">
        <v>133</v>
      </c>
    </row>
    <row r="32" spans="1:9" x14ac:dyDescent="0.2">
      <c r="B32" s="26" t="s">
        <v>108</v>
      </c>
      <c r="C32" s="26" t="s">
        <v>93</v>
      </c>
      <c r="D32" s="26" t="s">
        <v>121</v>
      </c>
      <c r="F32" s="26" t="s">
        <v>115</v>
      </c>
      <c r="G32" s="28" t="s">
        <v>120</v>
      </c>
      <c r="H32" s="1" t="s">
        <v>128</v>
      </c>
      <c r="I32" s="1" t="s">
        <v>123</v>
      </c>
    </row>
    <row r="33" spans="2:9" x14ac:dyDescent="0.2">
      <c r="B33" s="26" t="s">
        <v>109</v>
      </c>
      <c r="C33" s="26" t="s">
        <v>18</v>
      </c>
      <c r="D33" s="26" t="s">
        <v>153</v>
      </c>
      <c r="F33" s="26" t="s">
        <v>115</v>
      </c>
      <c r="G33" s="28" t="s">
        <v>119</v>
      </c>
      <c r="H33" s="1" t="s">
        <v>126</v>
      </c>
      <c r="I33" s="1" t="s">
        <v>127</v>
      </c>
    </row>
    <row r="34" spans="2:9" x14ac:dyDescent="0.2">
      <c r="B34" s="26" t="s">
        <v>109</v>
      </c>
      <c r="C34" s="26" t="s">
        <v>92</v>
      </c>
      <c r="D34" s="26" t="s">
        <v>154</v>
      </c>
      <c r="F34" s="26" t="s">
        <v>115</v>
      </c>
      <c r="G34" s="28" t="s">
        <v>129</v>
      </c>
      <c r="H34" s="1" t="s">
        <v>130</v>
      </c>
      <c r="I34" s="1" t="s">
        <v>131</v>
      </c>
    </row>
    <row r="35" spans="2:9" x14ac:dyDescent="0.2">
      <c r="B35" s="26" t="s">
        <v>109</v>
      </c>
      <c r="C35" s="26" t="s">
        <v>93</v>
      </c>
      <c r="D35" s="26" t="s">
        <v>155</v>
      </c>
      <c r="F35" s="26" t="s">
        <v>115</v>
      </c>
      <c r="G35" s="28" t="s">
        <v>132</v>
      </c>
      <c r="H35" s="1" t="s">
        <v>133</v>
      </c>
    </row>
    <row r="36" spans="2:9" x14ac:dyDescent="0.2">
      <c r="B36" s="26" t="s">
        <v>110</v>
      </c>
      <c r="C36" s="26" t="s">
        <v>18</v>
      </c>
      <c r="D36" s="26" t="s">
        <v>172</v>
      </c>
      <c r="F36" s="26" t="s">
        <v>115</v>
      </c>
    </row>
    <row r="37" spans="2:9" x14ac:dyDescent="0.2">
      <c r="B37" s="26" t="s">
        <v>110</v>
      </c>
      <c r="C37" s="26" t="s">
        <v>92</v>
      </c>
      <c r="D37" s="26" t="s">
        <v>155</v>
      </c>
      <c r="F37" s="26" t="s">
        <v>115</v>
      </c>
      <c r="G37" s="28" t="s">
        <v>132</v>
      </c>
      <c r="H37" s="1" t="s">
        <v>133</v>
      </c>
    </row>
    <row r="38" spans="2:9" x14ac:dyDescent="0.2">
      <c r="B38" s="26" t="s">
        <v>110</v>
      </c>
      <c r="C38" s="26" t="s">
        <v>93</v>
      </c>
      <c r="D38" s="26" t="s">
        <v>121</v>
      </c>
      <c r="F38" s="26" t="s">
        <v>115</v>
      </c>
      <c r="G38" s="28" t="s">
        <v>120</v>
      </c>
      <c r="H38" s="1" t="s">
        <v>128</v>
      </c>
    </row>
    <row r="39" spans="2:9" x14ac:dyDescent="0.2">
      <c r="B39" s="26" t="s">
        <v>111</v>
      </c>
      <c r="C39" s="26" t="s">
        <v>18</v>
      </c>
      <c r="D39" s="26" t="s">
        <v>156</v>
      </c>
      <c r="F39" s="26" t="s">
        <v>115</v>
      </c>
      <c r="G39" s="28" t="s">
        <v>122</v>
      </c>
      <c r="H39" s="1" t="s">
        <v>134</v>
      </c>
      <c r="I39" s="1" t="s">
        <v>123</v>
      </c>
    </row>
    <row r="40" spans="2:9" x14ac:dyDescent="0.2">
      <c r="B40" s="26" t="s">
        <v>111</v>
      </c>
      <c r="C40" s="26" t="s">
        <v>92</v>
      </c>
      <c r="D40" s="26" t="s">
        <v>157</v>
      </c>
      <c r="F40" s="26" t="s">
        <v>115</v>
      </c>
      <c r="G40" s="28" t="s">
        <v>135</v>
      </c>
      <c r="H40" s="1" t="s">
        <v>136</v>
      </c>
      <c r="I40" s="1" t="s">
        <v>137</v>
      </c>
    </row>
    <row r="41" spans="2:9" x14ac:dyDescent="0.2">
      <c r="B41" s="26" t="s">
        <v>111</v>
      </c>
      <c r="C41" s="26" t="s">
        <v>93</v>
      </c>
      <c r="D41" s="26" t="s">
        <v>158</v>
      </c>
      <c r="F41" s="26" t="s">
        <v>115</v>
      </c>
      <c r="G41" s="28" t="s">
        <v>138</v>
      </c>
      <c r="H41" s="28" t="s">
        <v>139</v>
      </c>
    </row>
    <row r="42" spans="2:9" x14ac:dyDescent="0.2">
      <c r="B42" s="26" t="s">
        <v>112</v>
      </c>
      <c r="C42" s="26" t="s">
        <v>18</v>
      </c>
      <c r="D42" s="26" t="s">
        <v>155</v>
      </c>
      <c r="F42" s="27" t="s">
        <v>117</v>
      </c>
      <c r="G42" s="28" t="s">
        <v>132</v>
      </c>
      <c r="H42" s="1" t="s">
        <v>133</v>
      </c>
    </row>
    <row r="43" spans="2:9" x14ac:dyDescent="0.2">
      <c r="B43" s="26" t="s">
        <v>112</v>
      </c>
      <c r="C43" s="26" t="s">
        <v>92</v>
      </c>
      <c r="D43" s="26" t="s">
        <v>155</v>
      </c>
      <c r="F43" s="26" t="s">
        <v>115</v>
      </c>
      <c r="G43" s="28" t="s">
        <v>132</v>
      </c>
      <c r="H43" s="1" t="s">
        <v>133</v>
      </c>
    </row>
    <row r="44" spans="2:9" x14ac:dyDescent="0.2">
      <c r="B44" s="26" t="s">
        <v>112</v>
      </c>
      <c r="C44" s="26" t="s">
        <v>93</v>
      </c>
      <c r="D44" s="26" t="s">
        <v>155</v>
      </c>
      <c r="F44" s="26" t="s">
        <v>116</v>
      </c>
      <c r="G44" s="28" t="s">
        <v>132</v>
      </c>
      <c r="H44" s="1" t="s">
        <v>133</v>
      </c>
    </row>
    <row r="45" spans="2:9" x14ac:dyDescent="0.2">
      <c r="B45" s="26" t="s">
        <v>113</v>
      </c>
      <c r="C45" s="26" t="s">
        <v>18</v>
      </c>
      <c r="D45" s="26" t="s">
        <v>172</v>
      </c>
      <c r="F45" s="26" t="s">
        <v>116</v>
      </c>
    </row>
    <row r="46" spans="2:9" x14ac:dyDescent="0.2">
      <c r="B46" s="26" t="s">
        <v>113</v>
      </c>
      <c r="C46" s="26" t="s">
        <v>92</v>
      </c>
      <c r="D46" s="26" t="s">
        <v>121</v>
      </c>
      <c r="F46" s="26" t="s">
        <v>116</v>
      </c>
      <c r="G46" s="28" t="s">
        <v>120</v>
      </c>
      <c r="H46" s="1" t="s">
        <v>128</v>
      </c>
    </row>
    <row r="47" spans="2:9" x14ac:dyDescent="0.2">
      <c r="B47" s="26" t="s">
        <v>113</v>
      </c>
      <c r="C47" s="26" t="s">
        <v>93</v>
      </c>
      <c r="D47" s="26" t="s">
        <v>155</v>
      </c>
      <c r="F47" s="26" t="s">
        <v>116</v>
      </c>
      <c r="G47" s="28" t="s">
        <v>132</v>
      </c>
      <c r="H47" s="1" t="s">
        <v>133</v>
      </c>
    </row>
    <row r="48" spans="2:9" x14ac:dyDescent="0.2">
      <c r="B48" s="43" t="s">
        <v>170</v>
      </c>
      <c r="C48" s="26" t="s">
        <v>18</v>
      </c>
      <c r="D48" s="26" t="s">
        <v>121</v>
      </c>
      <c r="F48" s="26" t="s">
        <v>115</v>
      </c>
      <c r="G48" s="28" t="s">
        <v>120</v>
      </c>
      <c r="H48" s="1" t="s">
        <v>128</v>
      </c>
    </row>
    <row r="49" spans="1:9" x14ac:dyDescent="0.2">
      <c r="B49" s="43" t="s">
        <v>170</v>
      </c>
      <c r="C49" s="26" t="s">
        <v>92</v>
      </c>
      <c r="D49" t="s">
        <v>155</v>
      </c>
      <c r="F49" s="26" t="s">
        <v>115</v>
      </c>
      <c r="G49" s="28" t="s">
        <v>132</v>
      </c>
      <c r="H49" s="1" t="s">
        <v>133</v>
      </c>
    </row>
    <row r="50" spans="1:9" x14ac:dyDescent="0.2">
      <c r="B50" s="43" t="s">
        <v>171</v>
      </c>
      <c r="C50" s="43" t="s">
        <v>93</v>
      </c>
    </row>
    <row r="52" spans="1:9" x14ac:dyDescent="0.2">
      <c r="A52" s="21"/>
      <c r="B52" s="22"/>
    </row>
    <row r="53" spans="1:9" x14ac:dyDescent="0.2">
      <c r="B53" s="26"/>
    </row>
    <row r="54" spans="1:9" x14ac:dyDescent="0.2">
      <c r="A54" s="21"/>
    </row>
    <row r="56" spans="1:9" x14ac:dyDescent="0.2">
      <c r="A56" s="26"/>
    </row>
    <row r="57" spans="1:9" x14ac:dyDescent="0.2">
      <c r="B57" s="21"/>
    </row>
    <row r="58" spans="1:9" x14ac:dyDescent="0.2">
      <c r="F58" s="21"/>
      <c r="H58" s="21"/>
    </row>
    <row r="59" spans="1:9" x14ac:dyDescent="0.2">
      <c r="C59" s="26"/>
      <c r="D59" s="21"/>
      <c r="E59" s="2"/>
      <c r="F59" s="21"/>
      <c r="G59" s="26"/>
      <c r="H59" s="26"/>
    </row>
    <row r="60" spans="1:9" x14ac:dyDescent="0.2">
      <c r="C60" s="26"/>
      <c r="D60" s="21"/>
      <c r="E60" s="2"/>
      <c r="F60" s="21"/>
      <c r="G60" s="26"/>
      <c r="H60" s="26"/>
    </row>
    <row r="61" spans="1:9" x14ac:dyDescent="0.2">
      <c r="C61" s="26"/>
      <c r="D61" s="21"/>
      <c r="E61" s="2"/>
      <c r="F61" s="21"/>
      <c r="G61" s="26"/>
      <c r="H61" s="26"/>
    </row>
    <row r="63" spans="1:9" x14ac:dyDescent="0.2">
      <c r="A63" s="19"/>
      <c r="H63" s="21"/>
      <c r="I63" s="21"/>
    </row>
    <row r="64" spans="1:9" x14ac:dyDescent="0.2">
      <c r="C64" s="26"/>
      <c r="E64" s="2"/>
      <c r="F64" s="23"/>
      <c r="G64" s="26"/>
      <c r="H64" s="26"/>
      <c r="I64" s="21"/>
    </row>
    <row r="65" spans="1:17" x14ac:dyDescent="0.2">
      <c r="C65" s="26"/>
      <c r="E65" s="2"/>
      <c r="F65" s="23"/>
      <c r="G65" s="26"/>
      <c r="H65" s="26"/>
      <c r="I65" s="21"/>
    </row>
    <row r="66" spans="1:17" x14ac:dyDescent="0.2">
      <c r="C66" s="26"/>
      <c r="E66" s="2"/>
      <c r="F66" s="23"/>
      <c r="G66" s="26"/>
      <c r="H66" s="26"/>
      <c r="I66" s="21"/>
    </row>
    <row r="70" spans="1:17" x14ac:dyDescent="0.2">
      <c r="C70" s="26"/>
      <c r="H70" s="3"/>
      <c r="I70" s="29"/>
      <c r="J70" s="26"/>
      <c r="K70" s="26"/>
      <c r="N70" s="26"/>
      <c r="O70" s="26"/>
      <c r="P70" s="26"/>
      <c r="Q70" s="21"/>
    </row>
    <row r="71" spans="1:17" x14ac:dyDescent="0.2">
      <c r="B71" s="21"/>
      <c r="C71" s="26"/>
      <c r="H71" s="3"/>
      <c r="I71" s="29"/>
      <c r="J71" s="26"/>
      <c r="K71" s="26"/>
      <c r="N71" s="26"/>
      <c r="O71" s="26"/>
      <c r="P71" s="26"/>
      <c r="Q71" s="21"/>
    </row>
    <row r="72" spans="1:17" x14ac:dyDescent="0.2">
      <c r="B72" s="21"/>
      <c r="C72" s="26"/>
      <c r="H72" s="3"/>
      <c r="I72" s="29"/>
      <c r="J72" s="26"/>
      <c r="K72" s="26"/>
      <c r="N72" s="26"/>
      <c r="O72" s="26"/>
      <c r="P72" s="26"/>
      <c r="Q72" s="21"/>
    </row>
    <row r="73" spans="1:17" x14ac:dyDescent="0.2">
      <c r="I73" s="30"/>
      <c r="J73" s="26"/>
      <c r="K73" s="26"/>
    </row>
    <row r="76" spans="1:17" x14ac:dyDescent="0.2">
      <c r="A76" s="21"/>
      <c r="B76" s="22"/>
    </row>
    <row r="77" spans="1:17" x14ac:dyDescent="0.2">
      <c r="B77" s="26"/>
    </row>
    <row r="78" spans="1:17" x14ac:dyDescent="0.2">
      <c r="A78" s="21"/>
    </row>
    <row r="80" spans="1:17" x14ac:dyDescent="0.2">
      <c r="A80" s="26"/>
    </row>
    <row r="81" spans="1:17" x14ac:dyDescent="0.2">
      <c r="B81" s="21"/>
    </row>
    <row r="82" spans="1:17" x14ac:dyDescent="0.2">
      <c r="F82" s="21"/>
      <c r="H82" s="21"/>
    </row>
    <row r="83" spans="1:17" x14ac:dyDescent="0.2">
      <c r="C83" s="26"/>
      <c r="E83" s="2"/>
      <c r="F83" s="21"/>
      <c r="G83" s="26"/>
      <c r="H83" s="26"/>
    </row>
    <row r="84" spans="1:17" x14ac:dyDescent="0.2">
      <c r="C84" s="26"/>
      <c r="E84" s="2"/>
      <c r="F84" s="21"/>
      <c r="G84" s="26"/>
      <c r="H84" s="26"/>
    </row>
    <row r="85" spans="1:17" x14ac:dyDescent="0.2">
      <c r="C85" s="26"/>
      <c r="E85" s="2"/>
      <c r="F85" s="21"/>
      <c r="G85" s="26"/>
      <c r="H85" s="26"/>
    </row>
    <row r="87" spans="1:17" x14ac:dyDescent="0.2">
      <c r="A87" s="19"/>
      <c r="H87" s="21"/>
      <c r="I87" s="21"/>
    </row>
    <row r="88" spans="1:17" x14ac:dyDescent="0.2">
      <c r="C88" s="26"/>
      <c r="E88" s="2"/>
      <c r="F88" s="23"/>
      <c r="G88" s="26"/>
      <c r="H88" s="26"/>
      <c r="I88" s="21"/>
    </row>
    <row r="89" spans="1:17" x14ac:dyDescent="0.2">
      <c r="C89" s="26"/>
      <c r="E89" s="2"/>
      <c r="F89" s="23"/>
      <c r="G89" s="26"/>
      <c r="H89" s="26"/>
      <c r="I89" s="21"/>
    </row>
    <row r="90" spans="1:17" x14ac:dyDescent="0.2">
      <c r="C90" s="26"/>
      <c r="E90" s="2"/>
      <c r="F90" s="23"/>
      <c r="G90" s="26"/>
      <c r="H90" s="26"/>
      <c r="I90" s="21"/>
    </row>
    <row r="94" spans="1:17" x14ac:dyDescent="0.2">
      <c r="C94" s="26"/>
      <c r="H94" s="3"/>
      <c r="I94" s="29"/>
      <c r="J94" s="26"/>
      <c r="K94" s="26"/>
      <c r="N94" s="26"/>
      <c r="O94" s="26"/>
      <c r="P94" s="26"/>
      <c r="Q94" s="21"/>
    </row>
    <row r="95" spans="1:17" x14ac:dyDescent="0.2">
      <c r="B95" s="21"/>
      <c r="C95" s="26"/>
      <c r="H95" s="3"/>
      <c r="I95" s="29"/>
      <c r="J95" s="26"/>
      <c r="K95" s="26"/>
      <c r="N95" s="26"/>
      <c r="O95" s="26"/>
      <c r="P95" s="26"/>
      <c r="Q95" s="21"/>
    </row>
    <row r="96" spans="1:17" x14ac:dyDescent="0.2">
      <c r="B96" s="21"/>
      <c r="C96" s="26"/>
      <c r="H96" s="3"/>
      <c r="I96" s="29"/>
      <c r="J96" s="26"/>
      <c r="K96" s="26"/>
      <c r="N96" s="26"/>
      <c r="O96" s="26"/>
      <c r="P96" s="26"/>
      <c r="Q96" s="21"/>
    </row>
    <row r="97" spans="1:17" x14ac:dyDescent="0.2">
      <c r="I97" s="30"/>
      <c r="K97" s="26"/>
    </row>
    <row r="99" spans="1:17" x14ac:dyDescent="0.2">
      <c r="F99" s="21"/>
      <c r="H99" s="21"/>
    </row>
    <row r="100" spans="1:17" x14ac:dyDescent="0.2">
      <c r="C100" s="26"/>
      <c r="E100" s="2"/>
      <c r="F100" s="21"/>
      <c r="G100" s="26"/>
      <c r="H100" s="26"/>
    </row>
    <row r="101" spans="1:17" x14ac:dyDescent="0.2">
      <c r="C101" s="26"/>
      <c r="E101" s="2"/>
      <c r="F101" s="21"/>
      <c r="G101" s="26"/>
      <c r="H101" s="26"/>
    </row>
    <row r="102" spans="1:17" x14ac:dyDescent="0.2">
      <c r="C102" s="26"/>
      <c r="E102" s="2"/>
      <c r="F102" s="21"/>
      <c r="G102" s="26"/>
      <c r="H102" s="26"/>
    </row>
    <row r="104" spans="1:17" x14ac:dyDescent="0.2">
      <c r="A104" s="19"/>
      <c r="H104" s="21"/>
      <c r="I104" s="21"/>
    </row>
    <row r="105" spans="1:17" x14ac:dyDescent="0.2">
      <c r="C105" s="26"/>
      <c r="E105" s="2"/>
      <c r="F105" s="23"/>
      <c r="G105" s="26"/>
      <c r="H105" s="26"/>
      <c r="I105" s="21"/>
    </row>
    <row r="106" spans="1:17" x14ac:dyDescent="0.2">
      <c r="C106" s="26"/>
      <c r="E106" s="2"/>
      <c r="F106" s="23"/>
      <c r="G106" s="26"/>
      <c r="H106" s="26"/>
      <c r="I106" s="21"/>
    </row>
    <row r="107" spans="1:17" x14ac:dyDescent="0.2">
      <c r="C107" s="26"/>
      <c r="E107" s="2"/>
      <c r="F107" s="23"/>
      <c r="G107" s="26"/>
      <c r="H107" s="26"/>
      <c r="I107" s="21"/>
    </row>
    <row r="111" spans="1:17" x14ac:dyDescent="0.2">
      <c r="C111" s="26"/>
      <c r="H111" s="3"/>
      <c r="I111" s="29"/>
      <c r="J111" s="26"/>
      <c r="K111" s="26"/>
      <c r="N111" s="26"/>
      <c r="O111" s="26"/>
      <c r="P111" s="26"/>
      <c r="Q111" s="21"/>
    </row>
    <row r="112" spans="1:17" x14ac:dyDescent="0.2">
      <c r="B112" s="21"/>
      <c r="C112" s="26"/>
      <c r="H112" s="3"/>
      <c r="I112" s="29"/>
      <c r="J112" s="26"/>
      <c r="K112" s="26"/>
      <c r="N112" s="26"/>
      <c r="O112" s="26"/>
      <c r="P112" s="26"/>
      <c r="Q112" s="21"/>
    </row>
    <row r="113" spans="1:17" x14ac:dyDescent="0.2">
      <c r="B113" s="21"/>
      <c r="C113" s="26"/>
      <c r="H113" s="3"/>
      <c r="I113" s="29"/>
      <c r="J113" s="26"/>
      <c r="K113" s="26"/>
      <c r="N113" s="26"/>
      <c r="O113" s="26"/>
      <c r="P113" s="26"/>
      <c r="Q113" s="21"/>
    </row>
    <row r="118" spans="1:17" x14ac:dyDescent="0.2">
      <c r="F118" s="21"/>
      <c r="H118" s="21"/>
    </row>
    <row r="119" spans="1:17" x14ac:dyDescent="0.2">
      <c r="C119" s="26"/>
      <c r="E119" s="2"/>
      <c r="F119" s="21"/>
      <c r="G119" s="26"/>
      <c r="H119" s="26"/>
    </row>
    <row r="120" spans="1:17" x14ac:dyDescent="0.2">
      <c r="C120" s="26"/>
      <c r="E120" s="2"/>
      <c r="F120" s="21"/>
      <c r="G120" s="26"/>
      <c r="H120" s="26"/>
    </row>
    <row r="121" spans="1:17" x14ac:dyDescent="0.2">
      <c r="C121" s="26"/>
      <c r="E121" s="2"/>
      <c r="F121" s="21"/>
      <c r="G121" s="26"/>
      <c r="H121" s="26"/>
    </row>
    <row r="123" spans="1:17" x14ac:dyDescent="0.2">
      <c r="A123" s="19"/>
      <c r="H123" s="21"/>
      <c r="I123" s="21"/>
    </row>
    <row r="124" spans="1:17" x14ac:dyDescent="0.2">
      <c r="C124" s="26"/>
      <c r="E124" s="2"/>
      <c r="F124" s="23"/>
      <c r="G124" s="26"/>
      <c r="H124" s="26"/>
      <c r="I124" s="21"/>
    </row>
    <row r="125" spans="1:17" x14ac:dyDescent="0.2">
      <c r="C125" s="26"/>
      <c r="E125" s="2"/>
      <c r="F125" s="23"/>
      <c r="G125" s="26"/>
      <c r="H125" s="26"/>
      <c r="I125" s="21"/>
    </row>
    <row r="126" spans="1:17" x14ac:dyDescent="0.2">
      <c r="C126" s="26"/>
      <c r="E126" s="2"/>
      <c r="F126" s="23"/>
      <c r="G126" s="26"/>
      <c r="H126" s="26"/>
      <c r="I126" s="21"/>
    </row>
    <row r="130" spans="1:17" x14ac:dyDescent="0.2">
      <c r="C130" s="26"/>
      <c r="H130" s="3"/>
      <c r="I130" s="29"/>
      <c r="J130" s="26"/>
      <c r="K130" s="26"/>
      <c r="N130" s="26"/>
      <c r="O130" s="26"/>
      <c r="P130" s="26"/>
      <c r="Q130" s="21"/>
    </row>
    <row r="131" spans="1:17" x14ac:dyDescent="0.2">
      <c r="B131" s="21"/>
      <c r="C131" s="26"/>
      <c r="H131" s="3"/>
      <c r="I131" s="29"/>
      <c r="J131" s="26"/>
      <c r="K131" s="26"/>
      <c r="N131" s="26"/>
      <c r="O131" s="26"/>
      <c r="P131" s="26"/>
      <c r="Q131" s="21"/>
    </row>
    <row r="132" spans="1:17" x14ac:dyDescent="0.2">
      <c r="B132" s="21"/>
      <c r="C132" s="26"/>
      <c r="H132" s="3"/>
      <c r="I132" s="29"/>
      <c r="J132" s="26"/>
      <c r="K132" s="26"/>
      <c r="N132" s="26"/>
      <c r="O132" s="26"/>
      <c r="P132" s="26"/>
      <c r="Q132" s="21"/>
    </row>
    <row r="138" spans="1:17" x14ac:dyDescent="0.2">
      <c r="F138" s="21"/>
      <c r="H138" s="21"/>
    </row>
    <row r="139" spans="1:17" x14ac:dyDescent="0.2">
      <c r="C139" s="26"/>
      <c r="E139" s="2"/>
      <c r="F139" s="21"/>
      <c r="G139" s="26"/>
      <c r="H139" s="26"/>
    </row>
    <row r="140" spans="1:17" x14ac:dyDescent="0.2">
      <c r="C140" s="26"/>
      <c r="E140" s="2"/>
      <c r="F140" s="21"/>
      <c r="G140" s="26"/>
      <c r="H140" s="26"/>
    </row>
    <row r="141" spans="1:17" x14ac:dyDescent="0.2">
      <c r="C141" s="26"/>
      <c r="E141" s="2"/>
      <c r="F141" s="21"/>
      <c r="G141" s="26"/>
      <c r="H141" s="26"/>
    </row>
    <row r="143" spans="1:17" x14ac:dyDescent="0.2">
      <c r="A143" s="19"/>
      <c r="H143" s="21"/>
      <c r="I143" s="21"/>
    </row>
    <row r="144" spans="1:17" x14ac:dyDescent="0.2">
      <c r="C144" s="26" t="s">
        <v>160</v>
      </c>
      <c r="D144" s="1">
        <v>19.2</v>
      </c>
      <c r="E144" s="2">
        <v>46111</v>
      </c>
      <c r="F144" s="23" t="s">
        <v>91</v>
      </c>
      <c r="G144" s="26" t="s">
        <v>156</v>
      </c>
      <c r="H144" s="26" t="s">
        <v>147</v>
      </c>
      <c r="I144" s="21"/>
    </row>
    <row r="145" spans="1:16" x14ac:dyDescent="0.2">
      <c r="C145" s="26" t="s">
        <v>160</v>
      </c>
      <c r="D145" s="1">
        <v>17</v>
      </c>
      <c r="E145" s="2">
        <v>46111</v>
      </c>
      <c r="F145" s="23" t="s">
        <v>91</v>
      </c>
      <c r="G145" s="26" t="s">
        <v>157</v>
      </c>
      <c r="H145" s="26" t="s">
        <v>147</v>
      </c>
      <c r="I145" s="21"/>
    </row>
    <row r="146" spans="1:16" x14ac:dyDescent="0.2">
      <c r="C146" s="26" t="s">
        <v>160</v>
      </c>
      <c r="D146" s="1">
        <v>19.760000000000002</v>
      </c>
      <c r="E146" s="2">
        <v>46111</v>
      </c>
      <c r="F146" s="23" t="s">
        <v>91</v>
      </c>
      <c r="G146" s="26" t="s">
        <v>158</v>
      </c>
      <c r="H146" s="26" t="s">
        <v>147</v>
      </c>
      <c r="I146" s="21"/>
    </row>
    <row r="148" spans="1:16" x14ac:dyDescent="0.2">
      <c r="A148" s="1" t="s">
        <v>19</v>
      </c>
    </row>
    <row r="149" spans="1:16" x14ac:dyDescent="0.2">
      <c r="B149" s="1" t="s">
        <v>5</v>
      </c>
      <c r="C149" s="1" t="s">
        <v>6</v>
      </c>
      <c r="D149" s="1" t="s">
        <v>7</v>
      </c>
      <c r="E149" s="1" t="s">
        <v>8</v>
      </c>
      <c r="F149" s="1" t="s">
        <v>20</v>
      </c>
      <c r="G149" s="1" t="s">
        <v>10</v>
      </c>
      <c r="H149" s="1" t="s">
        <v>11</v>
      </c>
      <c r="I149" s="1" t="s">
        <v>3</v>
      </c>
      <c r="J149" s="1" t="s">
        <v>12</v>
      </c>
      <c r="K149" s="1" t="s">
        <v>13</v>
      </c>
      <c r="L149" s="1" t="s">
        <v>14</v>
      </c>
      <c r="M149" s="1" t="s">
        <v>15</v>
      </c>
      <c r="N149" s="1" t="s">
        <v>16</v>
      </c>
      <c r="O149" s="1" t="s">
        <v>4</v>
      </c>
    </row>
    <row r="150" spans="1:16" x14ac:dyDescent="0.2">
      <c r="B150" s="1" t="s">
        <v>18</v>
      </c>
      <c r="C150" s="26" t="s">
        <v>148</v>
      </c>
      <c r="D150" s="1">
        <v>1.5</v>
      </c>
      <c r="F150" s="1">
        <v>0.34599999999999997</v>
      </c>
      <c r="G150" s="1">
        <v>5.6</v>
      </c>
      <c r="H150" s="3">
        <v>0.5</v>
      </c>
      <c r="I150" s="29">
        <v>46112</v>
      </c>
      <c r="J150" s="26" t="s">
        <v>149</v>
      </c>
      <c r="K150" s="26" t="s">
        <v>150</v>
      </c>
      <c r="L150" s="1">
        <v>5.6</v>
      </c>
      <c r="M150" s="1">
        <v>28</v>
      </c>
      <c r="N150" s="26" t="s">
        <v>151</v>
      </c>
      <c r="O150" s="26" t="s">
        <v>152</v>
      </c>
      <c r="P150" s="26" t="s">
        <v>156</v>
      </c>
    </row>
    <row r="151" spans="1:16" x14ac:dyDescent="0.2">
      <c r="B151" s="21" t="s">
        <v>92</v>
      </c>
      <c r="C151" s="26" t="s">
        <v>148</v>
      </c>
      <c r="D151" s="1">
        <v>1.5</v>
      </c>
      <c r="F151" s="1">
        <v>0.36399999999999999</v>
      </c>
      <c r="G151" s="1">
        <v>5.6</v>
      </c>
      <c r="H151" s="3">
        <v>0.5</v>
      </c>
      <c r="I151" s="29">
        <v>46112</v>
      </c>
      <c r="J151" s="26" t="s">
        <v>149</v>
      </c>
      <c r="K151" s="26" t="s">
        <v>150</v>
      </c>
      <c r="L151" s="1">
        <v>5.6</v>
      </c>
      <c r="M151" s="1">
        <v>28</v>
      </c>
      <c r="N151" s="26" t="s">
        <v>151</v>
      </c>
      <c r="O151" s="26" t="s">
        <v>152</v>
      </c>
      <c r="P151" s="26" t="s">
        <v>157</v>
      </c>
    </row>
    <row r="152" spans="1:16" x14ac:dyDescent="0.2">
      <c r="B152" s="21" t="s">
        <v>93</v>
      </c>
      <c r="C152" s="26" t="s">
        <v>148</v>
      </c>
      <c r="D152" s="1">
        <v>1.5</v>
      </c>
      <c r="F152" s="1">
        <v>0.36499999999999999</v>
      </c>
      <c r="G152" s="1">
        <v>5.6</v>
      </c>
      <c r="H152" s="3">
        <v>0.5</v>
      </c>
      <c r="I152" s="29">
        <v>46112</v>
      </c>
      <c r="J152" s="26" t="s">
        <v>149</v>
      </c>
      <c r="K152" s="26" t="s">
        <v>150</v>
      </c>
      <c r="L152" s="1">
        <v>5.6</v>
      </c>
      <c r="M152" s="1">
        <v>28</v>
      </c>
      <c r="N152" s="26" t="s">
        <v>151</v>
      </c>
      <c r="O152" s="26" t="s">
        <v>152</v>
      </c>
      <c r="P152" s="26" t="s">
        <v>158</v>
      </c>
    </row>
    <row r="157" spans="1:16" x14ac:dyDescent="0.2">
      <c r="A157" s="1" t="s">
        <v>0</v>
      </c>
      <c r="C157" s="1" t="s">
        <v>1</v>
      </c>
      <c r="D157" s="1" t="s">
        <v>2</v>
      </c>
      <c r="E157" s="1" t="s">
        <v>3</v>
      </c>
      <c r="F157" s="21" t="s">
        <v>89</v>
      </c>
      <c r="G157" s="1" t="s">
        <v>4</v>
      </c>
      <c r="H157" s="21" t="s">
        <v>80</v>
      </c>
    </row>
    <row r="158" spans="1:16" x14ac:dyDescent="0.2">
      <c r="C158" s="26" t="s">
        <v>159</v>
      </c>
      <c r="E158" s="2">
        <v>46133</v>
      </c>
      <c r="F158" s="21" t="s">
        <v>90</v>
      </c>
      <c r="G158" s="26" t="s">
        <v>155</v>
      </c>
      <c r="H158" s="26" t="s">
        <v>147</v>
      </c>
    </row>
    <row r="159" spans="1:16" x14ac:dyDescent="0.2">
      <c r="C159" s="26"/>
      <c r="E159" s="2"/>
      <c r="F159" s="21"/>
      <c r="G159" s="26"/>
      <c r="H159" s="26"/>
    </row>
    <row r="160" spans="1:16" x14ac:dyDescent="0.2">
      <c r="C160" s="26"/>
      <c r="E160" s="2"/>
      <c r="F160" s="21"/>
      <c r="G160" s="26"/>
      <c r="H160" s="26"/>
    </row>
    <row r="162" spans="1:18" x14ac:dyDescent="0.2">
      <c r="A162" s="19" t="s">
        <v>88</v>
      </c>
      <c r="D162" s="1" t="s">
        <v>2</v>
      </c>
      <c r="E162" s="1" t="s">
        <v>3</v>
      </c>
      <c r="F162" s="1" t="s">
        <v>9</v>
      </c>
      <c r="G162" s="1" t="s">
        <v>4</v>
      </c>
      <c r="H162" s="21" t="s">
        <v>80</v>
      </c>
      <c r="I162" s="21" t="s">
        <v>17</v>
      </c>
    </row>
    <row r="163" spans="1:18" x14ac:dyDescent="0.2">
      <c r="C163" s="26" t="s">
        <v>161</v>
      </c>
      <c r="D163" s="1">
        <v>17.260000000000002</v>
      </c>
      <c r="E163" s="2">
        <v>46134</v>
      </c>
      <c r="F163" s="23" t="s">
        <v>91</v>
      </c>
      <c r="G163" s="26" t="s">
        <v>155</v>
      </c>
      <c r="H163" s="26" t="s">
        <v>147</v>
      </c>
      <c r="I163" s="21"/>
    </row>
    <row r="164" spans="1:18" x14ac:dyDescent="0.2">
      <c r="C164" s="26"/>
      <c r="E164" s="2"/>
      <c r="F164" s="23"/>
      <c r="G164" s="26"/>
      <c r="H164" s="26"/>
      <c r="I164" s="21"/>
    </row>
    <row r="165" spans="1:18" x14ac:dyDescent="0.2">
      <c r="C165" s="26"/>
      <c r="E165" s="2"/>
      <c r="F165" s="23"/>
      <c r="G165" s="26"/>
      <c r="H165" s="26"/>
      <c r="I165" s="21"/>
    </row>
    <row r="167" spans="1:18" x14ac:dyDescent="0.2">
      <c r="A167" s="1" t="s">
        <v>19</v>
      </c>
    </row>
    <row r="168" spans="1:18" x14ac:dyDescent="0.2">
      <c r="B168" s="1" t="s">
        <v>5</v>
      </c>
      <c r="C168" s="1" t="s">
        <v>6</v>
      </c>
      <c r="D168" s="1" t="s">
        <v>7</v>
      </c>
      <c r="E168" s="1" t="s">
        <v>8</v>
      </c>
      <c r="F168" s="1" t="s">
        <v>20</v>
      </c>
      <c r="G168" s="1" t="s">
        <v>10</v>
      </c>
      <c r="H168" s="1" t="s">
        <v>11</v>
      </c>
      <c r="I168" s="1" t="s">
        <v>3</v>
      </c>
      <c r="J168" s="1" t="s">
        <v>12</v>
      </c>
      <c r="L168" s="1" t="s">
        <v>13</v>
      </c>
      <c r="M168" s="1" t="s">
        <v>14</v>
      </c>
      <c r="N168" s="1" t="s">
        <v>15</v>
      </c>
      <c r="O168" s="1" t="s">
        <v>16</v>
      </c>
      <c r="P168" s="1" t="s">
        <v>4</v>
      </c>
    </row>
    <row r="169" spans="1:18" x14ac:dyDescent="0.2">
      <c r="B169" s="1" t="s">
        <v>18</v>
      </c>
      <c r="C169" s="26" t="s">
        <v>95</v>
      </c>
      <c r="D169" s="1">
        <v>1.5</v>
      </c>
      <c r="F169" s="1">
        <v>0.45800000000000002</v>
      </c>
      <c r="G169" s="1">
        <v>5.6</v>
      </c>
      <c r="H169" s="3">
        <v>0.52083333333333337</v>
      </c>
      <c r="I169" s="29">
        <v>46135</v>
      </c>
      <c r="J169" s="1" t="s">
        <v>21</v>
      </c>
      <c r="K169" s="27" t="s">
        <v>117</v>
      </c>
      <c r="L169" s="26" t="s">
        <v>162</v>
      </c>
      <c r="M169" s="1">
        <v>5.6</v>
      </c>
      <c r="N169" s="1">
        <v>30</v>
      </c>
      <c r="O169" s="26" t="s">
        <v>151</v>
      </c>
      <c r="P169" s="26" t="s">
        <v>152</v>
      </c>
      <c r="Q169" s="26" t="s">
        <v>155</v>
      </c>
      <c r="R169" s="26"/>
    </row>
    <row r="170" spans="1:18" x14ac:dyDescent="0.2">
      <c r="B170" s="21" t="s">
        <v>92</v>
      </c>
      <c r="C170" s="26" t="s">
        <v>148</v>
      </c>
      <c r="D170" s="1">
        <v>1.5</v>
      </c>
      <c r="F170" s="1">
        <v>0.45</v>
      </c>
      <c r="G170" s="1">
        <v>5.6</v>
      </c>
      <c r="H170" s="3">
        <v>0.52083333333333337</v>
      </c>
      <c r="I170" s="29">
        <v>46135</v>
      </c>
      <c r="J170" s="26" t="s">
        <v>149</v>
      </c>
      <c r="K170" s="26" t="s">
        <v>115</v>
      </c>
      <c r="L170" s="26" t="s">
        <v>150</v>
      </c>
      <c r="M170" s="1">
        <v>5.6</v>
      </c>
      <c r="N170" s="1">
        <v>30</v>
      </c>
      <c r="O170" s="26" t="s">
        <v>151</v>
      </c>
      <c r="P170" s="26" t="s">
        <v>152</v>
      </c>
      <c r="Q170" s="26" t="s">
        <v>155</v>
      </c>
      <c r="R170" s="26"/>
    </row>
    <row r="171" spans="1:18" x14ac:dyDescent="0.2">
      <c r="B171" s="21" t="s">
        <v>93</v>
      </c>
      <c r="C171" s="26" t="s">
        <v>94</v>
      </c>
      <c r="D171" s="1">
        <v>1.5</v>
      </c>
      <c r="F171" s="1">
        <v>0.45200000000000001</v>
      </c>
      <c r="G171" s="1">
        <v>5.6</v>
      </c>
      <c r="H171" s="3">
        <v>0.52083333333333337</v>
      </c>
      <c r="I171" s="29">
        <v>46135</v>
      </c>
      <c r="J171" s="1" t="s">
        <v>21</v>
      </c>
      <c r="K171" s="26" t="s">
        <v>116</v>
      </c>
      <c r="L171" s="26" t="s">
        <v>162</v>
      </c>
      <c r="M171" s="1">
        <v>5.6</v>
      </c>
      <c r="N171" s="1">
        <v>30</v>
      </c>
      <c r="O171" s="26" t="s">
        <v>151</v>
      </c>
      <c r="P171" s="26" t="s">
        <v>152</v>
      </c>
      <c r="Q171" s="26" t="s">
        <v>155</v>
      </c>
      <c r="R171" s="26"/>
    </row>
    <row r="177" spans="1:17" x14ac:dyDescent="0.2">
      <c r="A177" s="1" t="s">
        <v>0</v>
      </c>
      <c r="C177" s="1" t="s">
        <v>1</v>
      </c>
      <c r="D177" s="1" t="s">
        <v>2</v>
      </c>
      <c r="E177" s="1" t="s">
        <v>3</v>
      </c>
      <c r="F177" s="21" t="s">
        <v>89</v>
      </c>
      <c r="G177" s="1" t="s">
        <v>4</v>
      </c>
      <c r="H177" s="21" t="s">
        <v>80</v>
      </c>
    </row>
    <row r="178" spans="1:17" x14ac:dyDescent="0.2">
      <c r="C178" s="26" t="s">
        <v>159</v>
      </c>
      <c r="E178" s="2">
        <v>46152</v>
      </c>
      <c r="F178" s="23">
        <v>0.70833333333333337</v>
      </c>
      <c r="G178" s="26" t="s">
        <v>114</v>
      </c>
      <c r="H178" s="26" t="s">
        <v>147</v>
      </c>
    </row>
    <row r="179" spans="1:17" x14ac:dyDescent="0.2">
      <c r="C179" s="26" t="s">
        <v>159</v>
      </c>
      <c r="E179" s="2">
        <v>46152</v>
      </c>
      <c r="F179" s="23">
        <v>0.70833333333333337</v>
      </c>
      <c r="G179" s="26" t="s">
        <v>121</v>
      </c>
      <c r="H179" s="26" t="s">
        <v>147</v>
      </c>
    </row>
    <row r="180" spans="1:17" x14ac:dyDescent="0.2">
      <c r="C180" s="26" t="s">
        <v>159</v>
      </c>
      <c r="E180" s="2">
        <v>46152</v>
      </c>
      <c r="F180" s="23">
        <v>0.70833333333333337</v>
      </c>
      <c r="G180" s="26" t="s">
        <v>155</v>
      </c>
      <c r="H180" s="26" t="s">
        <v>147</v>
      </c>
    </row>
    <row r="182" spans="1:17" x14ac:dyDescent="0.2">
      <c r="A182" s="19" t="s">
        <v>88</v>
      </c>
      <c r="D182" s="1" t="s">
        <v>2</v>
      </c>
      <c r="E182" s="1" t="s">
        <v>3</v>
      </c>
      <c r="F182" s="1" t="s">
        <v>9</v>
      </c>
      <c r="G182" s="1" t="s">
        <v>4</v>
      </c>
      <c r="H182" s="21" t="s">
        <v>80</v>
      </c>
      <c r="I182" s="21" t="s">
        <v>17</v>
      </c>
    </row>
    <row r="183" spans="1:17" x14ac:dyDescent="0.2">
      <c r="C183" s="26" t="s">
        <v>163</v>
      </c>
      <c r="E183" s="2">
        <v>46153</v>
      </c>
      <c r="F183" s="23"/>
      <c r="G183" s="26" t="s">
        <v>114</v>
      </c>
      <c r="H183" s="26" t="s">
        <v>147</v>
      </c>
      <c r="I183" s="21"/>
    </row>
    <row r="184" spans="1:17" x14ac:dyDescent="0.2">
      <c r="C184" s="26" t="s">
        <v>163</v>
      </c>
      <c r="E184" s="2">
        <v>46153</v>
      </c>
      <c r="F184" s="23"/>
      <c r="G184" s="26" t="s">
        <v>121</v>
      </c>
      <c r="H184" s="26" t="s">
        <v>147</v>
      </c>
      <c r="I184" s="21"/>
    </row>
    <row r="185" spans="1:17" x14ac:dyDescent="0.2">
      <c r="C185" s="26" t="s">
        <v>163</v>
      </c>
      <c r="E185" s="2">
        <v>46153</v>
      </c>
      <c r="F185" s="23"/>
      <c r="G185" s="26" t="s">
        <v>155</v>
      </c>
      <c r="H185" s="26" t="s">
        <v>147</v>
      </c>
      <c r="I185" s="21"/>
    </row>
    <row r="187" spans="1:17" x14ac:dyDescent="0.2">
      <c r="A187" s="1" t="s">
        <v>19</v>
      </c>
    </row>
    <row r="188" spans="1:17" x14ac:dyDescent="0.2">
      <c r="B188" s="1" t="s">
        <v>5</v>
      </c>
      <c r="C188" s="1" t="s">
        <v>6</v>
      </c>
      <c r="D188" s="1" t="s">
        <v>7</v>
      </c>
      <c r="E188" s="1" t="s">
        <v>8</v>
      </c>
      <c r="F188" s="1" t="s">
        <v>20</v>
      </c>
      <c r="G188" s="1" t="s">
        <v>10</v>
      </c>
      <c r="H188" s="1" t="s">
        <v>11</v>
      </c>
      <c r="I188" s="1" t="s">
        <v>3</v>
      </c>
      <c r="J188" s="1" t="s">
        <v>12</v>
      </c>
      <c r="K188" s="1" t="s">
        <v>13</v>
      </c>
      <c r="L188" s="1" t="s">
        <v>14</v>
      </c>
      <c r="M188" s="1" t="s">
        <v>15</v>
      </c>
      <c r="N188" s="1" t="s">
        <v>16</v>
      </c>
      <c r="O188" s="1" t="s">
        <v>4</v>
      </c>
      <c r="Q188" s="1" t="s">
        <v>17</v>
      </c>
    </row>
    <row r="189" spans="1:17" x14ac:dyDescent="0.2">
      <c r="B189" s="1" t="s">
        <v>18</v>
      </c>
      <c r="C189" s="26" t="s">
        <v>94</v>
      </c>
      <c r="D189" s="1">
        <v>1.5</v>
      </c>
      <c r="F189" s="1">
        <v>0.23499999999999999</v>
      </c>
      <c r="G189" s="1">
        <v>5.6</v>
      </c>
      <c r="H189" s="3">
        <v>0.5625</v>
      </c>
      <c r="I189" s="29">
        <v>46155</v>
      </c>
      <c r="J189" s="1" t="s">
        <v>21</v>
      </c>
      <c r="K189" s="26" t="s">
        <v>162</v>
      </c>
      <c r="L189" s="1">
        <v>5.6</v>
      </c>
      <c r="M189" s="1">
        <v>28</v>
      </c>
      <c r="N189" s="26" t="s">
        <v>151</v>
      </c>
      <c r="O189" s="26" t="s">
        <v>152</v>
      </c>
      <c r="P189" s="26" t="s">
        <v>114</v>
      </c>
      <c r="Q189" s="26" t="s">
        <v>114</v>
      </c>
    </row>
    <row r="190" spans="1:17" x14ac:dyDescent="0.2">
      <c r="B190" s="21" t="s">
        <v>92</v>
      </c>
      <c r="C190" s="26" t="s">
        <v>94</v>
      </c>
      <c r="D190" s="1">
        <v>1.5</v>
      </c>
      <c r="F190" s="1">
        <v>0.35799999999999998</v>
      </c>
      <c r="G190" s="1">
        <v>5.6</v>
      </c>
      <c r="H190" s="3">
        <v>0.5625</v>
      </c>
      <c r="I190" s="29">
        <v>46155</v>
      </c>
      <c r="J190" s="1" t="s">
        <v>21</v>
      </c>
      <c r="K190" s="26" t="s">
        <v>162</v>
      </c>
      <c r="L190" s="1">
        <v>5.6</v>
      </c>
      <c r="M190" s="1">
        <v>28</v>
      </c>
      <c r="N190" s="26" t="s">
        <v>151</v>
      </c>
      <c r="O190" s="26" t="s">
        <v>152</v>
      </c>
      <c r="P190" s="26" t="s">
        <v>121</v>
      </c>
      <c r="Q190" s="21"/>
    </row>
    <row r="191" spans="1:17" x14ac:dyDescent="0.2">
      <c r="B191" s="21" t="s">
        <v>93</v>
      </c>
      <c r="C191" s="26" t="s">
        <v>94</v>
      </c>
      <c r="D191" s="1">
        <v>1.5</v>
      </c>
      <c r="F191" s="1">
        <v>0.33100000000000002</v>
      </c>
      <c r="G191" s="1">
        <v>5.6</v>
      </c>
      <c r="H191" s="3">
        <v>0.5625</v>
      </c>
      <c r="I191" s="29">
        <v>46155</v>
      </c>
      <c r="J191" s="1" t="s">
        <v>21</v>
      </c>
      <c r="K191" s="26" t="s">
        <v>162</v>
      </c>
      <c r="L191" s="1">
        <v>5.6</v>
      </c>
      <c r="M191" s="1">
        <v>28</v>
      </c>
      <c r="N191" s="26" t="s">
        <v>151</v>
      </c>
      <c r="O191" s="26" t="s">
        <v>152</v>
      </c>
      <c r="P191" s="26" t="s">
        <v>155</v>
      </c>
      <c r="Q191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16</v>
      </c>
      <c r="AC1" s="1" t="s">
        <v>22</v>
      </c>
    </row>
    <row r="2" spans="1:30" x14ac:dyDescent="0.2">
      <c r="B2" s="5" t="s">
        <v>23</v>
      </c>
      <c r="AC2" s="6">
        <v>4.4277893518518523</v>
      </c>
      <c r="AD2" s="1" t="s">
        <v>24</v>
      </c>
    </row>
    <row r="3" spans="1:30" x14ac:dyDescent="0.2">
      <c r="AC3" s="1" t="s">
        <v>25</v>
      </c>
      <c r="AD3" s="1">
        <f>106/16</f>
        <v>6.625</v>
      </c>
    </row>
    <row r="4" spans="1:30" x14ac:dyDescent="0.2">
      <c r="C4" s="21" t="s">
        <v>96</v>
      </c>
      <c r="L4" s="19" t="s">
        <v>86</v>
      </c>
      <c r="M4" s="19" t="s">
        <v>86</v>
      </c>
      <c r="N4" s="19" t="s">
        <v>87</v>
      </c>
      <c r="R4" s="1" t="s">
        <v>26</v>
      </c>
      <c r="U4" s="5" t="s">
        <v>27</v>
      </c>
      <c r="AC4" s="1" t="s">
        <v>28</v>
      </c>
      <c r="AD4" s="1">
        <f>106</f>
        <v>106</v>
      </c>
    </row>
    <row r="5" spans="1:30" x14ac:dyDescent="0.2">
      <c r="B5" s="1">
        <v>1</v>
      </c>
      <c r="C5" s="21" t="s">
        <v>96</v>
      </c>
      <c r="D5" s="5" t="s">
        <v>29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98</v>
      </c>
      <c r="J5" s="21" t="s">
        <v>97</v>
      </c>
      <c r="K5" s="5" t="s">
        <v>34</v>
      </c>
      <c r="L5" s="5" t="s">
        <v>35</v>
      </c>
      <c r="M5" s="5" t="s">
        <v>36</v>
      </c>
      <c r="N5" s="19" t="s">
        <v>81</v>
      </c>
      <c r="O5" s="5" t="s">
        <v>37</v>
      </c>
      <c r="P5" s="5"/>
      <c r="Q5" s="1" t="s">
        <v>38</v>
      </c>
      <c r="R5" s="1">
        <v>136.08600000000001</v>
      </c>
      <c r="V5" s="1" t="s">
        <v>39</v>
      </c>
      <c r="AC5" s="1" t="s">
        <v>40</v>
      </c>
      <c r="AD5" s="1">
        <v>16</v>
      </c>
    </row>
    <row r="6" spans="1:30" x14ac:dyDescent="0.2">
      <c r="D6" s="1">
        <v>0.5</v>
      </c>
      <c r="E6" s="1" t="s">
        <v>41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42</v>
      </c>
      <c r="R6" s="1">
        <v>132.13999999999999</v>
      </c>
      <c r="V6" s="5" t="s">
        <v>29</v>
      </c>
      <c r="W6" s="5" t="s">
        <v>30</v>
      </c>
      <c r="X6" s="1" t="s">
        <v>43</v>
      </c>
      <c r="Z6" s="1" t="s">
        <v>44</v>
      </c>
    </row>
    <row r="7" spans="1:30" x14ac:dyDescent="0.2">
      <c r="D7" s="1">
        <v>0</v>
      </c>
      <c r="E7" s="19" t="s">
        <v>45</v>
      </c>
      <c r="Q7" s="1" t="s">
        <v>46</v>
      </c>
      <c r="R7" s="1">
        <v>180.15600000000001</v>
      </c>
      <c r="V7" s="1">
        <v>1</v>
      </c>
      <c r="W7" s="1" t="s">
        <v>38</v>
      </c>
      <c r="X7" s="1">
        <v>136.08600000000001</v>
      </c>
    </row>
    <row r="8" spans="1:30" x14ac:dyDescent="0.2">
      <c r="D8" s="1">
        <v>100</v>
      </c>
      <c r="E8" s="1" t="s">
        <v>46</v>
      </c>
      <c r="Q8" s="1" t="s">
        <v>47</v>
      </c>
      <c r="R8" s="1">
        <v>150.13</v>
      </c>
      <c r="V8" s="1">
        <v>0.5</v>
      </c>
      <c r="W8" s="1" t="s">
        <v>48</v>
      </c>
    </row>
    <row r="9" spans="1:30" x14ac:dyDescent="0.2">
      <c r="D9" s="1">
        <v>1.6</v>
      </c>
      <c r="E9" s="19" t="s">
        <v>57</v>
      </c>
      <c r="Q9" s="1" t="s">
        <v>49</v>
      </c>
      <c r="R9" s="8">
        <v>92.093999999999994</v>
      </c>
      <c r="V9" s="1">
        <v>0.1</v>
      </c>
      <c r="W9" s="1" t="s">
        <v>50</v>
      </c>
    </row>
    <row r="10" spans="1:30" x14ac:dyDescent="0.2">
      <c r="Q10" s="1" t="s">
        <v>51</v>
      </c>
      <c r="R10" s="1">
        <v>59.043999999999997</v>
      </c>
      <c r="V10" s="1">
        <v>0.1</v>
      </c>
      <c r="W10" s="1" t="s">
        <v>52</v>
      </c>
    </row>
    <row r="11" spans="1:30" x14ac:dyDescent="0.2">
      <c r="Q11" s="5" t="s">
        <v>53</v>
      </c>
      <c r="R11" s="1">
        <v>192.19399999999999</v>
      </c>
      <c r="V11" s="1">
        <f>SUM(V7:V10)</f>
        <v>1.7000000000000002</v>
      </c>
      <c r="W11" s="1" t="s">
        <v>54</v>
      </c>
    </row>
    <row r="12" spans="1:30" x14ac:dyDescent="0.2">
      <c r="F12" s="1" t="s">
        <v>55</v>
      </c>
      <c r="G12" s="1" t="s">
        <v>56</v>
      </c>
      <c r="Q12" s="1" t="s">
        <v>57</v>
      </c>
      <c r="R12" s="1">
        <v>53.491</v>
      </c>
      <c r="V12" s="1" t="s">
        <v>58</v>
      </c>
    </row>
    <row r="13" spans="1:30" x14ac:dyDescent="0.2">
      <c r="E13" s="1" t="s">
        <v>59</v>
      </c>
      <c r="F13" s="1">
        <v>14.2</v>
      </c>
      <c r="G13" s="1">
        <v>17.399999999999999</v>
      </c>
      <c r="Q13" s="1" t="s">
        <v>60</v>
      </c>
      <c r="R13" s="1">
        <v>60.06</v>
      </c>
      <c r="V13" s="5" t="s">
        <v>61</v>
      </c>
      <c r="W13" s="5" t="s">
        <v>30</v>
      </c>
    </row>
    <row r="14" spans="1:30" x14ac:dyDescent="0.2">
      <c r="E14" s="1" t="s">
        <v>62</v>
      </c>
      <c r="F14" s="1">
        <v>9</v>
      </c>
      <c r="G14" s="1">
        <v>12</v>
      </c>
      <c r="V14" s="1">
        <v>500</v>
      </c>
      <c r="W14" s="1" t="s">
        <v>63</v>
      </c>
    </row>
    <row r="15" spans="1:30" x14ac:dyDescent="0.2">
      <c r="V15" s="1">
        <v>40</v>
      </c>
      <c r="W15" s="1" t="s">
        <v>64</v>
      </c>
    </row>
    <row r="16" spans="1:30" x14ac:dyDescent="0.2">
      <c r="V16" s="1">
        <v>100</v>
      </c>
      <c r="W16" s="1" t="s">
        <v>65</v>
      </c>
    </row>
    <row r="17" spans="22:26" x14ac:dyDescent="0.2">
      <c r="V17" s="1">
        <v>200</v>
      </c>
      <c r="W17" s="1" t="s">
        <v>66</v>
      </c>
    </row>
    <row r="18" spans="22:26" x14ac:dyDescent="0.2">
      <c r="V18" s="1">
        <v>400</v>
      </c>
      <c r="W18" s="1" t="s">
        <v>67</v>
      </c>
    </row>
    <row r="19" spans="22:26" x14ac:dyDescent="0.2">
      <c r="V19" s="1">
        <v>200</v>
      </c>
      <c r="W19" s="1" t="s">
        <v>68</v>
      </c>
    </row>
    <row r="20" spans="22:26" x14ac:dyDescent="0.2">
      <c r="V20" s="1">
        <v>400</v>
      </c>
      <c r="W20" s="1" t="s">
        <v>69</v>
      </c>
    </row>
    <row r="21" spans="22:26" x14ac:dyDescent="0.2">
      <c r="V21" s="1">
        <f>SUM(V14:V20)/1000000</f>
        <v>1.8400000000000001E-3</v>
      </c>
      <c r="W21" s="1" t="s">
        <v>54</v>
      </c>
    </row>
    <row r="22" spans="22:26" x14ac:dyDescent="0.2">
      <c r="V22" s="1" t="s">
        <v>70</v>
      </c>
    </row>
    <row r="23" spans="22:26" x14ac:dyDescent="0.2">
      <c r="V23" s="5" t="s">
        <v>61</v>
      </c>
      <c r="W23" s="5" t="s">
        <v>30</v>
      </c>
    </row>
    <row r="24" spans="22:26" x14ac:dyDescent="0.2">
      <c r="V24" s="1">
        <v>2</v>
      </c>
      <c r="W24" s="1" t="s">
        <v>71</v>
      </c>
      <c r="Z24" s="1">
        <f>550*0.3</f>
        <v>165</v>
      </c>
    </row>
    <row r="25" spans="22:26" x14ac:dyDescent="0.2">
      <c r="V25" s="1">
        <v>400</v>
      </c>
      <c r="W25" s="1" t="s">
        <v>72</v>
      </c>
    </row>
    <row r="26" spans="22:26" x14ac:dyDescent="0.2">
      <c r="V26" s="1">
        <v>2</v>
      </c>
      <c r="W26" s="1" t="s">
        <v>73</v>
      </c>
    </row>
    <row r="27" spans="22:26" x14ac:dyDescent="0.2">
      <c r="V27" s="9">
        <v>2000</v>
      </c>
      <c r="W27" s="1" t="s">
        <v>74</v>
      </c>
    </row>
    <row r="28" spans="22:26" x14ac:dyDescent="0.2">
      <c r="V28" s="1">
        <v>400</v>
      </c>
      <c r="W28" s="1" t="s">
        <v>75</v>
      </c>
    </row>
    <row r="29" spans="22:26" x14ac:dyDescent="0.2">
      <c r="V29" s="1">
        <v>200</v>
      </c>
      <c r="W29" s="1" t="s">
        <v>76</v>
      </c>
    </row>
    <row r="30" spans="22:26" x14ac:dyDescent="0.2">
      <c r="V30" s="1">
        <v>400</v>
      </c>
      <c r="W30" s="1" t="s">
        <v>77</v>
      </c>
    </row>
    <row r="31" spans="22:26" x14ac:dyDescent="0.2">
      <c r="V31" s="1">
        <v>200</v>
      </c>
      <c r="W31" s="1" t="s">
        <v>78</v>
      </c>
    </row>
    <row r="32" spans="22:26" x14ac:dyDescent="0.2">
      <c r="V32" s="1">
        <v>400</v>
      </c>
      <c r="W32" s="1" t="s">
        <v>79</v>
      </c>
    </row>
    <row r="35" spans="22:23" x14ac:dyDescent="0.2">
      <c r="V35" s="1">
        <f>SUM(V24:V32)/1000000</f>
        <v>4.0039999999999997E-3</v>
      </c>
      <c r="W35" s="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82</v>
      </c>
    </row>
    <row r="2" spans="1:2" x14ac:dyDescent="0.2">
      <c r="B2" s="1" t="s">
        <v>83</v>
      </c>
    </row>
    <row r="4" spans="1:2" x14ac:dyDescent="0.2">
      <c r="B4" s="1" t="s">
        <v>84</v>
      </c>
    </row>
    <row r="5" spans="1:2" x14ac:dyDescent="0.2">
      <c r="B5" s="1" t="s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67"/>
  <sheetViews>
    <sheetView showGridLines="0" topLeftCell="A4" zoomScaleNormal="125" workbookViewId="0">
      <selection activeCell="E42" sqref="A1:XFD1048576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/>
    </row>
    <row r="10" spans="1:59" ht="17" thickBot="1" x14ac:dyDescent="0.25"/>
    <row r="11" spans="1:59" ht="17" thickBot="1" x14ac:dyDescent="0.25">
      <c r="C11" s="40"/>
      <c r="D11" s="41"/>
      <c r="E11" s="41"/>
      <c r="F11" s="41"/>
      <c r="G11" s="41"/>
      <c r="H11" s="41"/>
      <c r="I11" s="41"/>
      <c r="J11" s="41"/>
      <c r="K11" s="41"/>
      <c r="L11" s="41"/>
      <c r="M11" s="42"/>
      <c r="S11" s="4"/>
    </row>
    <row r="12" spans="1:59" x14ac:dyDescent="0.2">
      <c r="C12" s="37"/>
      <c r="D12" s="38"/>
      <c r="E12" s="38"/>
      <c r="F12" s="38"/>
      <c r="G12" s="38"/>
      <c r="H12" s="38"/>
      <c r="I12" s="38"/>
      <c r="J12" s="38"/>
      <c r="K12" s="38"/>
      <c r="L12" s="39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10"/>
      <c r="AX12" s="10"/>
      <c r="AY12" s="36"/>
      <c r="AZ12" s="36"/>
      <c r="BA12" s="36"/>
      <c r="BB12" s="36"/>
      <c r="BC12" s="31"/>
    </row>
    <row r="13" spans="1:59" x14ac:dyDescent="0.2">
      <c r="A13" s="11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S13" s="12"/>
      <c r="T13" s="12"/>
      <c r="X13" s="13"/>
      <c r="Y13" s="13"/>
      <c r="Z13" s="33"/>
      <c r="AA13" s="33"/>
      <c r="AB13" s="25"/>
      <c r="AC13" s="13"/>
      <c r="AD13" s="33"/>
      <c r="AE13" s="33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Y13" s="32"/>
      <c r="AZ13" s="32"/>
    </row>
    <row r="14" spans="1:59" x14ac:dyDescent="0.2">
      <c r="A14" s="11"/>
      <c r="Q14" s="2"/>
      <c r="R14" s="3"/>
      <c r="T14" s="19"/>
    </row>
    <row r="15" spans="1:59" x14ac:dyDescent="0.2">
      <c r="A15" s="11"/>
      <c r="Q15" s="2"/>
      <c r="R15" s="3"/>
      <c r="T15" s="19"/>
      <c r="BE15" s="7"/>
      <c r="BF15" s="7"/>
      <c r="BG15" s="7"/>
    </row>
    <row r="16" spans="1:59" x14ac:dyDescent="0.2">
      <c r="A16" s="11"/>
      <c r="Q16" s="2"/>
      <c r="R16" s="3"/>
      <c r="T16" s="19"/>
      <c r="AY16" s="15"/>
      <c r="AZ16" s="15"/>
      <c r="BE16" s="7"/>
      <c r="BF16" s="7"/>
      <c r="BG16" s="7"/>
    </row>
    <row r="17" spans="1:80" x14ac:dyDescent="0.2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20"/>
      <c r="O17" s="14"/>
      <c r="P17"/>
      <c r="Q17" s="2"/>
      <c r="R17" s="3"/>
      <c r="S17" s="7"/>
      <c r="V17" s="21"/>
      <c r="Y17" s="15"/>
      <c r="AA17" s="15"/>
      <c r="AC17" s="8"/>
      <c r="AD17" s="8"/>
      <c r="AE17" s="8"/>
      <c r="AY17" s="15"/>
      <c r="AZ17" s="15"/>
      <c r="BE17" s="7"/>
      <c r="BF17" s="7"/>
      <c r="BG17" s="7"/>
    </row>
    <row r="18" spans="1:80" x14ac:dyDescent="0.2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0"/>
      <c r="O18" s="14"/>
      <c r="P18"/>
      <c r="Q18" s="2"/>
      <c r="R18" s="3"/>
      <c r="S18" s="7"/>
      <c r="V18" s="21"/>
      <c r="Y18" s="15"/>
      <c r="AA18" s="15"/>
      <c r="AC18" s="8"/>
      <c r="AD18" s="8"/>
      <c r="AE18" s="8"/>
      <c r="AY18" s="15"/>
      <c r="AZ18" s="15"/>
      <c r="BE18" s="7"/>
      <c r="BF18" s="8"/>
      <c r="BG18" s="7"/>
    </row>
    <row r="19" spans="1:80" x14ac:dyDescent="0.2">
      <c r="A19" s="12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20"/>
      <c r="O19" s="14"/>
      <c r="P19"/>
      <c r="Q19" s="2"/>
      <c r="R19" s="3"/>
      <c r="S19" s="7"/>
      <c r="V19" s="21"/>
      <c r="Y19" s="15"/>
      <c r="AA19" s="15"/>
      <c r="AC19" s="8"/>
      <c r="AD19" s="8"/>
      <c r="AE19" s="8"/>
      <c r="AY19" s="15"/>
      <c r="AZ19" s="15"/>
      <c r="BE19" s="7"/>
      <c r="BF19" s="8"/>
      <c r="BG19" s="7"/>
    </row>
    <row r="20" spans="1:80" x14ac:dyDescent="0.2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20"/>
      <c r="O20" s="14"/>
      <c r="P20"/>
      <c r="Q20" s="2"/>
      <c r="R20" s="3"/>
      <c r="S20" s="7"/>
      <c r="V20" s="21"/>
      <c r="Y20" s="15"/>
      <c r="AA20" s="15"/>
      <c r="AC20" s="8"/>
      <c r="AD20" s="8"/>
      <c r="AE20" s="8"/>
      <c r="AY20" s="15"/>
      <c r="AZ20" s="15"/>
      <c r="BE20" s="7"/>
      <c r="BF20" s="8"/>
      <c r="BG20" s="7"/>
    </row>
    <row r="21" spans="1:80" x14ac:dyDescent="0.2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20"/>
      <c r="O21" s="14"/>
      <c r="P21"/>
      <c r="Q21" s="2"/>
      <c r="R21" s="3"/>
      <c r="S21" s="7"/>
      <c r="V21" s="21"/>
      <c r="Y21" s="15"/>
      <c r="AA21" s="15"/>
      <c r="AC21" s="8"/>
      <c r="AD21" s="8"/>
      <c r="AE21" s="8"/>
      <c r="AY21" s="15"/>
      <c r="AZ21" s="15"/>
      <c r="BE21" s="7"/>
      <c r="BF21" s="8"/>
      <c r="BG21" s="7"/>
    </row>
    <row r="22" spans="1:80" x14ac:dyDescent="0.2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20"/>
      <c r="O22" s="14"/>
      <c r="P22"/>
      <c r="Q22" s="2"/>
      <c r="R22" s="3"/>
      <c r="S22" s="7"/>
      <c r="V22" s="21"/>
      <c r="Y22" s="15"/>
      <c r="AA22" s="15"/>
      <c r="AC22" s="8"/>
      <c r="AD22" s="8"/>
      <c r="AE22" s="8"/>
      <c r="AY22" s="15"/>
      <c r="AZ22" s="15"/>
      <c r="BE22" s="7"/>
      <c r="BF22" s="8"/>
      <c r="BG22" s="7"/>
    </row>
    <row r="23" spans="1:80" x14ac:dyDescent="0.2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/>
      <c r="Q23" s="2"/>
      <c r="R23" s="3"/>
      <c r="S23" s="7"/>
      <c r="W23" s="18"/>
      <c r="Y23" s="15"/>
      <c r="AA23" s="15"/>
      <c r="AC23" s="8"/>
      <c r="AD23" s="8"/>
      <c r="AE23" s="8"/>
      <c r="AN23" s="4"/>
      <c r="AY23" s="15"/>
      <c r="AZ23" s="15"/>
      <c r="BE23" s="7"/>
      <c r="BF23" s="8"/>
      <c r="BG23" s="7"/>
    </row>
    <row r="24" spans="1:80" x14ac:dyDescent="0.2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/>
      <c r="Q24" s="2"/>
      <c r="R24" s="3"/>
      <c r="S24" s="7"/>
      <c r="W24" s="18"/>
      <c r="Y24" s="15"/>
      <c r="AA24" s="15"/>
      <c r="AC24" s="8"/>
      <c r="AD24" s="8"/>
      <c r="AE24" s="8"/>
      <c r="AY24" s="15"/>
      <c r="AZ24" s="15"/>
      <c r="BE24" s="7"/>
      <c r="BF24" s="8"/>
      <c r="BG24" s="7"/>
    </row>
    <row r="25" spans="1:80" x14ac:dyDescent="0.2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/>
      <c r="Q25" s="2"/>
      <c r="R25" s="3"/>
      <c r="S25" s="7"/>
      <c r="W25" s="18"/>
      <c r="Y25" s="15"/>
      <c r="AA25" s="15"/>
      <c r="AC25" s="8"/>
      <c r="AD25" s="8"/>
      <c r="AE25" s="8"/>
      <c r="AY25" s="15"/>
      <c r="AZ25" s="15"/>
      <c r="BE25" s="7"/>
      <c r="BF25" s="8"/>
    </row>
    <row r="26" spans="1:80" s="17" customFormat="1" ht="17" thickBot="1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/>
      <c r="Q26" s="2"/>
      <c r="R26" s="3"/>
      <c r="S26" s="7"/>
      <c r="T26" s="1"/>
      <c r="U26" s="1"/>
      <c r="V26" s="18"/>
      <c r="W26" s="1"/>
      <c r="X26" s="1"/>
      <c r="Y26" s="15"/>
      <c r="Z26" s="1"/>
      <c r="AA26" s="15"/>
      <c r="AB26" s="1"/>
      <c r="AC26" s="8"/>
      <c r="AD26" s="8"/>
      <c r="AE26" s="8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5"/>
      <c r="AZ26" s="15"/>
      <c r="BA26" s="1"/>
      <c r="BB26" s="1"/>
      <c r="BC26" s="1"/>
      <c r="BD26" s="1"/>
      <c r="BE26" s="7"/>
      <c r="BF26" s="8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</row>
    <row r="27" spans="1:80" x14ac:dyDescent="0.2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/>
      <c r="Q27" s="2"/>
      <c r="R27" s="3"/>
      <c r="S27" s="7"/>
      <c r="V27" s="18"/>
      <c r="Y27" s="15"/>
      <c r="AA27" s="15"/>
      <c r="AC27" s="8"/>
      <c r="AD27" s="8"/>
      <c r="AE27" s="8"/>
      <c r="AY27" s="15"/>
      <c r="AZ27" s="15"/>
      <c r="BE27" s="7"/>
      <c r="BF27" s="8"/>
    </row>
    <row r="28" spans="1:80" x14ac:dyDescent="0.2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/>
      <c r="Q28" s="2"/>
      <c r="R28" s="3"/>
      <c r="S28" s="7"/>
      <c r="V28" s="18"/>
      <c r="Y28" s="15"/>
      <c r="AA28" s="15"/>
      <c r="AC28" s="8"/>
      <c r="AD28" s="8"/>
      <c r="AE28" s="8"/>
    </row>
    <row r="29" spans="1:80" x14ac:dyDescent="0.2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/>
      <c r="Q29" s="2"/>
      <c r="R29" s="3"/>
      <c r="S29" s="7"/>
      <c r="T29" s="19"/>
      <c r="V29" s="18"/>
      <c r="Y29" s="15"/>
      <c r="AA29" s="15"/>
      <c r="AC29" s="8"/>
      <c r="AD29" s="8"/>
      <c r="AE29" s="8"/>
    </row>
    <row r="30" spans="1:80" ht="17" thickBot="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/>
      <c r="Q30" s="2"/>
      <c r="R30" s="3"/>
      <c r="S30" s="7"/>
      <c r="T30" s="19"/>
      <c r="V30" s="18"/>
      <c r="W30" s="17"/>
      <c r="Y30" s="15"/>
      <c r="AA30" s="15"/>
      <c r="AC30" s="8"/>
      <c r="AD30" s="8"/>
      <c r="AE30" s="8"/>
    </row>
    <row r="31" spans="1:80" x14ac:dyDescent="0.2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/>
      <c r="Q31" s="2"/>
      <c r="R31" s="3"/>
      <c r="S31" s="7"/>
      <c r="T31" s="26"/>
      <c r="V31" s="18"/>
      <c r="Y31" s="15"/>
      <c r="AA31" s="15"/>
      <c r="AC31" s="8"/>
      <c r="AD31" s="8"/>
      <c r="AE31" s="8"/>
    </row>
    <row r="32" spans="1:80" x14ac:dyDescent="0.2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/>
      <c r="Q32" s="2"/>
      <c r="R32" s="3"/>
      <c r="S32" s="7"/>
      <c r="T32" s="19"/>
      <c r="V32" s="18"/>
      <c r="Y32" s="15"/>
      <c r="AA32" s="15"/>
      <c r="AC32" s="8"/>
      <c r="AD32" s="8"/>
      <c r="AE32" s="8"/>
      <c r="AY32" s="15"/>
      <c r="AZ32" s="15"/>
      <c r="BE32" s="7"/>
      <c r="BF32" s="8"/>
      <c r="BG32" s="7"/>
    </row>
    <row r="33" spans="2:80" x14ac:dyDescent="0.2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/>
      <c r="Q33" s="2"/>
      <c r="R33" s="3"/>
      <c r="S33" s="7"/>
      <c r="T33" s="19"/>
      <c r="V33" s="18"/>
      <c r="Y33" s="15"/>
      <c r="AA33" s="15"/>
      <c r="AC33" s="8"/>
      <c r="AD33" s="8"/>
      <c r="AE33" s="8"/>
      <c r="AY33" s="15"/>
      <c r="AZ33" s="15"/>
      <c r="BE33" s="7"/>
      <c r="BF33" s="8"/>
    </row>
    <row r="34" spans="2:80" s="17" customFormat="1" ht="17" thickBot="1" x14ac:dyDescent="0.25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/>
      <c r="Q34" s="2"/>
      <c r="R34" s="3"/>
      <c r="S34" s="7"/>
      <c r="T34" s="26"/>
      <c r="U34" s="1"/>
      <c r="V34" s="18"/>
      <c r="X34" s="1"/>
      <c r="Y34" s="15"/>
      <c r="Z34" s="1"/>
      <c r="AA34" s="15"/>
      <c r="AB34" s="1"/>
      <c r="AC34" s="8"/>
      <c r="AD34" s="8"/>
      <c r="AE34" s="8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5"/>
      <c r="AZ34" s="15"/>
      <c r="BA34" s="1"/>
      <c r="BB34" s="1"/>
      <c r="BC34" s="1"/>
      <c r="BD34" s="1"/>
      <c r="BE34" s="7"/>
      <c r="BF34" s="8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</row>
    <row r="35" spans="2:80" x14ac:dyDescent="0.2">
      <c r="B35" s="14"/>
      <c r="C35" s="14"/>
      <c r="D35" s="14"/>
      <c r="E35" s="14"/>
      <c r="F35" s="14"/>
      <c r="G35" s="14"/>
      <c r="H35" s="11"/>
      <c r="I35" s="11"/>
      <c r="J35" s="11"/>
      <c r="K35" s="11"/>
      <c r="L35" s="11"/>
      <c r="M35" s="11"/>
      <c r="O35" s="14"/>
      <c r="Q35" s="2"/>
      <c r="R35" s="3"/>
      <c r="S35" s="7"/>
      <c r="T35" s="19"/>
      <c r="V35" s="18"/>
      <c r="Y35" s="15"/>
      <c r="AA35" s="15"/>
      <c r="AC35" s="8"/>
      <c r="AD35" s="8"/>
      <c r="AE35" s="16"/>
      <c r="AY35" s="15"/>
      <c r="AZ35" s="15"/>
      <c r="BE35" s="7"/>
      <c r="BF35" s="8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/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/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/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/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/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/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/>
      <c r="Y42" s="15"/>
      <c r="AA42" s="15"/>
      <c r="AC42" s="8"/>
      <c r="AD42" s="8"/>
      <c r="AE42" s="16"/>
    </row>
    <row r="67" spans="51:58" x14ac:dyDescent="0.2">
      <c r="AY67" s="15"/>
      <c r="AZ67" s="15"/>
      <c r="BE67" s="7"/>
      <c r="BF67" s="7"/>
    </row>
  </sheetData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2026-09-14T19:48:01Z</dcterms:modified>
</cp:coreProperties>
</file>